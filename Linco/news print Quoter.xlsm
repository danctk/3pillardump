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tyles+xml" PartName="/xl/styles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hidden" name="MIXED MEDIA SUMMARY PAGE-------" sheetId="1" r:id="rId3"/>
    <sheet state="visible" name="WEB QUOTER" sheetId="2" r:id="rId4"/>
    <sheet state="visible" name="quoter(sheetfed)" sheetId="3" r:id="rId5"/>
    <sheet state="visible" name="SF QUOTER" sheetId="4" r:id="rId6"/>
    <sheet state="visible" name="quoter (newsprint)" sheetId="5" r:id="rId7"/>
    <sheet state="hidden" name="tester" sheetId="6" r:id="rId8"/>
  </sheets>
  <definedNames>
    <definedName localSheetId="5" name="Mini1">tester!$A$141:$A$202</definedName>
    <definedName localSheetId="5" name="BWMini1">tester!$A$141:$A$230</definedName>
    <definedName name="Mini2">'quoter(sheetfed)'!$A$141:$A$202</definedName>
    <definedName localSheetId="5" name="BWTab">tester!$B$141:$B$320</definedName>
    <definedName localSheetId="5" name="BWStandard">tester!$B$141:$B$320</definedName>
    <definedName localSheetId="5" name="Standard">tester!$B$141:$B$265</definedName>
    <definedName localSheetId="5" name="Mini2">tester!$A$141:$A$202</definedName>
    <definedName name="Tab">'quoter(sheetfed)'!$B$141:$B$265</definedName>
    <definedName name="BWTab">'quoter(sheetfed)'!$B$141:$B$320</definedName>
    <definedName name="BWMini1">'quoter(sheetfed)'!$A$141:$A$230</definedName>
    <definedName localSheetId="5" name="Tab">tester!$B$141:$B$265</definedName>
    <definedName name="BWMini2">'quoter(sheetfed)'!$A$141:$A$230</definedName>
    <definedName localSheetId="5" name="BWMini2">tester!$A$141:$A$230</definedName>
    <definedName name="Mini1">'quoter(sheetfed)'!$A$141:$A$202</definedName>
    <definedName name="BWStandard">'quoter(sheetfed)'!$B$141:$B$320</definedName>
    <definedName name="Standard">'quoter(sheetfed)'!$B$141:$B$265</definedName>
    <definedName hidden="1" localSheetId="2" name="_xlnm._FilterDatabase">'quoter(sheetfed)'!$X$1:$X$253</definedName>
    <definedName hidden="1" localSheetId="5" name="_xlnm._FilterDatabase">tester!$AB$1:$AB$1000</definedName>
  </definedNames>
  <calcPr/>
</workbook>
</file>

<file path=xl/sharedStrings.xml><?xml version="1.0" encoding="utf-8"?>
<sst xmlns="http://schemas.openxmlformats.org/spreadsheetml/2006/main" count="1192" uniqueCount="402">
  <si>
    <t>MIXED MEDIA SUMMARY</t>
  </si>
  <si>
    <t>newsprint</t>
  </si>
  <si>
    <t>sheetfed</t>
  </si>
  <si>
    <t>First</t>
  </si>
  <si>
    <t>Add'l</t>
  </si>
  <si>
    <t>add'l</t>
  </si>
  <si>
    <t>Total</t>
  </si>
  <si>
    <t>**note, please make sure you use the same # of copies for both sheetfed and newsprint for mixed media jobs</t>
  </si>
  <si>
    <t>**also make sure you only use sheetfed's binding for mixed media jobs</t>
  </si>
  <si>
    <t>4c</t>
  </si>
  <si>
    <t>NewsPrint</t>
  </si>
  <si>
    <t>tab</t>
  </si>
  <si>
    <t>stn</t>
  </si>
  <si>
    <t>min</t>
  </si>
  <si>
    <t>WEB</t>
  </si>
  <si>
    <t>Print media type</t>
  </si>
  <si>
    <t>Tabloid</t>
  </si>
  <si>
    <t>Number of copies</t>
  </si>
  <si>
    <t xml:space="preserve">Newsprint Pages (Section 1) </t>
  </si>
  <si>
    <t>Pages (Section 2) (Use if over allowed page #s)</t>
  </si>
  <si>
    <t>Pages (Section 3)</t>
  </si>
  <si>
    <t xml:space="preserve">Pages (Section 4) </t>
  </si>
  <si>
    <t xml:space="preserve">Pages (Section 5) </t>
  </si>
  <si>
    <t xml:space="preserve">Pages (Section 6) </t>
  </si>
  <si>
    <t>Total page #</t>
  </si>
  <si>
    <t xml:space="preserve">Newsprint </t>
  </si>
  <si>
    <r>
      <rPr>
        <rFont val="Arial"/>
        <b/>
        <sz val="10.0"/>
      </rPr>
      <t>(Table A)</t>
    </r>
    <r>
      <rPr>
        <rFont val="Arial"/>
        <b/>
        <sz val="10.0"/>
      </rPr>
      <t xml:space="preserve"> Click and select type</t>
    </r>
  </si>
  <si>
    <t>4/c opt 2</t>
  </si>
  <si>
    <t>Color plates</t>
  </si>
  <si>
    <t># of plates</t>
  </si>
  <si>
    <t>Newsprint</t>
  </si>
  <si>
    <r>
      <rPr>
        <rFont val="Arial"/>
        <b/>
        <sz val="10.0"/>
      </rPr>
      <t>(Table B)</t>
    </r>
    <r>
      <rPr>
        <rFont val="Arial"/>
        <b/>
        <sz val="10.0"/>
      </rPr>
      <t xml:space="preserve"> Click and select type</t>
    </r>
  </si>
  <si>
    <t>35#</t>
  </si>
  <si>
    <t xml:space="preserve"> </t>
  </si>
  <si>
    <t>Paper stock</t>
  </si>
  <si>
    <t># of webs</t>
  </si>
  <si>
    <t>Summary Newsprint</t>
  </si>
  <si>
    <t>Summary Newsprint #2</t>
  </si>
  <si>
    <r>
      <rPr>
        <rFont val="Verdana"/>
        <b/>
        <sz val="10.0"/>
      </rPr>
      <t>Newsprint Table A</t>
    </r>
    <r>
      <rPr>
        <rFont val="Arial"/>
        <b/>
        <sz val="10.0"/>
      </rPr>
      <t>: 4/c color option</t>
    </r>
  </si>
  <si>
    <r>
      <rPr>
        <rFont val="Arial"/>
        <sz val="10.0"/>
      </rPr>
      <t>Discount factor (</t>
    </r>
    <r>
      <rPr>
        <rFont val="Arial"/>
        <b/>
        <sz val="10.0"/>
      </rPr>
      <t>100=100%</t>
    </r>
    <r>
      <rPr>
        <rFont val="Arial"/>
        <sz val="10.0"/>
      </rPr>
      <t>)</t>
    </r>
  </si>
  <si>
    <t>first</t>
  </si>
  <si>
    <t>For news paper only, not color plate and stock</t>
  </si>
  <si>
    <t>4/c opt 1</t>
  </si>
  <si>
    <t xml:space="preserve">Binding </t>
  </si>
  <si>
    <t>None</t>
  </si>
  <si>
    <t>4/c opt 3</t>
  </si>
  <si>
    <t># of sections (use yellow to override)</t>
  </si>
  <si>
    <t>4/c opt 4</t>
  </si>
  <si>
    <t>+</t>
  </si>
  <si>
    <t>inserts</t>
  </si>
  <si>
    <t>=</t>
  </si>
  <si>
    <t>Discount</t>
  </si>
  <si>
    <t>4/c opt 5</t>
  </si>
  <si>
    <t>1/c spot color</t>
  </si>
  <si>
    <t>-</t>
  </si>
  <si>
    <t>*** don't use binding twice for mixed media</t>
  </si>
  <si>
    <t>2/c spot color</t>
  </si>
  <si>
    <t>Waste</t>
  </si>
  <si>
    <t>Y</t>
  </si>
  <si>
    <t>Inserts</t>
  </si>
  <si>
    <r>
      <rPr>
        <rFont val="Arial"/>
        <b/>
        <sz val="10.0"/>
      </rPr>
      <t>Table B</t>
    </r>
    <r>
      <rPr>
        <rFont val="Arial"/>
        <b/>
        <sz val="10.0"/>
      </rPr>
      <t>: paper stock (per 1 web)</t>
    </r>
  </si>
  <si>
    <t>First 1000 cps (incl Waste)</t>
  </si>
  <si>
    <t>Total Inserts</t>
  </si>
  <si>
    <t>50#</t>
  </si>
  <si>
    <t>Plate change $30</t>
  </si>
  <si>
    <t>harder 50LB jobs add additonal 1000 cps for waste on top of normal waste</t>
  </si>
  <si>
    <t>Minitab</t>
  </si>
  <si>
    <t>Standard</t>
  </si>
  <si>
    <t>N</t>
  </si>
  <si>
    <t>Saddle Stitch and Perfect Binding</t>
  </si>
  <si>
    <t>Black and White Magazine</t>
  </si>
  <si>
    <t>Magazine Full Color</t>
  </si>
  <si>
    <t>Linco Printing Inc.</t>
  </si>
  <si>
    <t>Guide</t>
  </si>
  <si>
    <t>8.5x11</t>
  </si>
  <si>
    <t>paper size 19x25</t>
  </si>
  <si>
    <t>Printing Price list</t>
  </si>
  <si>
    <t>8x11</t>
  </si>
  <si>
    <t>mini-tab size</t>
  </si>
  <si>
    <t>SADDLE STITCH</t>
  </si>
  <si>
    <t>PERFECT BIND</t>
  </si>
  <si>
    <t>paper stock 7- lb coated txt</t>
  </si>
  <si>
    <t>mag size 8.5x11</t>
  </si>
  <si>
    <t>Sheet Fed Color</t>
  </si>
  <si>
    <t>11.5X16.5</t>
  </si>
  <si>
    <t>regular mag size</t>
  </si>
  <si>
    <t>PAPER STOCK</t>
  </si>
  <si>
    <t>11.5x16.5</t>
  </si>
  <si>
    <t>19x25</t>
  </si>
  <si>
    <t>19x25 (2ND 8P)</t>
  </si>
  <si>
    <t>Sections</t>
  </si>
  <si>
    <t>Setup</t>
  </si>
  <si>
    <t>Binding</t>
  </si>
  <si>
    <t>Folding</t>
  </si>
  <si>
    <t>S-Stitch</t>
  </si>
  <si>
    <t>Add'l M</t>
  </si>
  <si>
    <t>Perfect B</t>
  </si>
  <si>
    <t>Color Black Ink</t>
  </si>
  <si>
    <t>paper stock 80 lb coated txt</t>
  </si>
  <si>
    <t>100# GLOSS TXT</t>
  </si>
  <si>
    <t>Paper Sheet size 23x25</t>
  </si>
  <si>
    <t>80# MATTE TXT</t>
  </si>
  <si>
    <t>all text</t>
  </si>
  <si>
    <t>text with images</t>
  </si>
  <si>
    <t>8.5X11</t>
  </si>
  <si>
    <t>5.5X8.5</t>
  </si>
  <si>
    <t>6X9</t>
  </si>
  <si>
    <t>SECTION</t>
  </si>
  <si>
    <t>SPOT COLOR</t>
  </si>
  <si>
    <t>100# MATTE TXT</t>
  </si>
  <si>
    <t>PAGES</t>
  </si>
  <si>
    <t>5.5x85</t>
  </si>
  <si>
    <t>6x9</t>
  </si>
  <si>
    <t>SHEET</t>
  </si>
  <si>
    <t xml:space="preserve">FIRSTM </t>
  </si>
  <si>
    <t>ADD'LM</t>
  </si>
  <si>
    <t>FIRST M</t>
  </si>
  <si>
    <t>ADD'L M</t>
  </si>
  <si>
    <t>1/0</t>
  </si>
  <si>
    <t>80# GLOSS COVER</t>
  </si>
  <si>
    <t>1/1</t>
  </si>
  <si>
    <t>100# GLOSS COVER</t>
  </si>
  <si>
    <t>1/2</t>
  </si>
  <si>
    <t>130# GLOSS COVER</t>
  </si>
  <si>
    <t>1/3</t>
  </si>
  <si>
    <t>12 PT KC2S</t>
  </si>
  <si>
    <t>2/0</t>
  </si>
  <si>
    <t xml:space="preserve">12 PT KC1S </t>
  </si>
  <si>
    <t>2/1</t>
  </si>
  <si>
    <t>2/2</t>
  </si>
  <si>
    <t>2/3</t>
  </si>
  <si>
    <t>3/0</t>
  </si>
  <si>
    <t>3/1</t>
  </si>
  <si>
    <t>3/2</t>
  </si>
  <si>
    <t>FOLDING</t>
  </si>
  <si>
    <t>SCORE &amp; FOLD</t>
  </si>
  <si>
    <t>x</t>
  </si>
  <si>
    <t>3/3</t>
  </si>
  <si>
    <t>FIRST 1000</t>
  </si>
  <si>
    <t>ADD'L</t>
  </si>
  <si>
    <t>ONE</t>
  </si>
  <si>
    <t>TWO</t>
  </si>
  <si>
    <t>4 PROCESS COLOR</t>
  </si>
  <si>
    <t>19x25 (2nd 8p)</t>
  </si>
  <si>
    <t>THREE</t>
  </si>
  <si>
    <t>4C/0</t>
  </si>
  <si>
    <t>4C/1C</t>
  </si>
  <si>
    <t>4C/2,3,4C</t>
  </si>
  <si>
    <t>Coating</t>
  </si>
  <si>
    <t>mapping</t>
  </si>
  <si>
    <t>sections</t>
  </si>
  <si>
    <t>bw</t>
  </si>
  <si>
    <t>color</t>
  </si>
  <si>
    <t>cover stock</t>
  </si>
  <si>
    <t>color cover</t>
  </si>
  <si>
    <t>REFERENCES</t>
  </si>
  <si>
    <t>add'</t>
  </si>
  <si>
    <t>images</t>
  </si>
  <si>
    <t>Yes</t>
  </si>
  <si>
    <t>No</t>
  </si>
  <si>
    <t>Saddle Stitch</t>
  </si>
  <si>
    <t>Perfect Bind</t>
  </si>
  <si>
    <t>inside stock</t>
  </si>
  <si>
    <t>60# WHITE OFFSET</t>
  </si>
  <si>
    <t>70# VANILLA ULTRA SMOOTH TXT</t>
  </si>
  <si>
    <t>70# WHITE ULTRA SMOOTH TXT</t>
  </si>
  <si>
    <t>80# GLOSS TXT</t>
  </si>
  <si>
    <t>80# WHITE ULTRA SMOOTH TXT</t>
  </si>
  <si>
    <t>100# MATTE COVER</t>
  </si>
  <si>
    <t>100# UNCOATED COVER</t>
  </si>
  <si>
    <t>80LB GLOSS TXT</t>
  </si>
  <si>
    <t>60LB WHITE OFFSET</t>
  </si>
  <si>
    <t>100LB GLOSS TXT</t>
  </si>
  <si>
    <t>70LB VANILLA ULTRA SMOOTH TXT</t>
  </si>
  <si>
    <t>70LB WHITE ULTRA SMOOTH TXT</t>
  </si>
  <si>
    <t>80LB WHITE ULTRA SMOOTH TXT</t>
  </si>
  <si>
    <t>100LB MATTE TXT</t>
  </si>
  <si>
    <t>100LB GLOSS COVER</t>
  </si>
  <si>
    <t>100LB MATTE COVER</t>
  </si>
  <si>
    <t>100LB UNCOATED COVER</t>
  </si>
  <si>
    <t>130LB GLOSS COVER</t>
  </si>
  <si>
    <t>80LB MATTE TXT</t>
  </si>
  <si>
    <t>(Black/Black)</t>
  </si>
  <si>
    <t>B&amp;W</t>
  </si>
  <si>
    <t>(1Spot/1Spot) or (1Spot + K / 1Spot + K), 1 Spot Color</t>
  </si>
  <si>
    <t>1 Spot Color</t>
  </si>
  <si>
    <t>(2Spot/2Spot) or (2Spot + K / 2Spot + K), 2 Spot colors</t>
  </si>
  <si>
    <t>2 Spot Colors</t>
  </si>
  <si>
    <t>(Full Color / Full Color)</t>
  </si>
  <si>
    <t>Full Color 4/4</t>
  </si>
  <si>
    <t>Mini1</t>
  </si>
  <si>
    <t>Mini2</t>
  </si>
  <si>
    <t>Tab</t>
  </si>
  <si>
    <t>BWMini1</t>
  </si>
  <si>
    <t>BWMini2</t>
  </si>
  <si>
    <t>BWTab</t>
  </si>
  <si>
    <t>BWStandard</t>
  </si>
  <si>
    <t>Mostly Text?</t>
  </si>
  <si>
    <r>
      <rPr>
        <rFont val="Arial"/>
        <b/>
        <sz val="12.0"/>
      </rPr>
      <t>Number of Copies (</t>
    </r>
    <r>
      <rPr>
        <rFont val="Arial"/>
        <b/>
        <color rgb="FFFF0000"/>
        <sz val="12.0"/>
      </rPr>
      <t>add 200 cps waste</t>
    </r>
    <r>
      <rPr>
        <rFont val="Arial"/>
        <b/>
        <sz val="12.0"/>
      </rPr>
      <t>)</t>
    </r>
  </si>
  <si>
    <t>Add 200 CPS for less than 800 cps (EG 700 CPS = 900 CPS) for Waste</t>
  </si>
  <si>
    <t>FINISHED SIZE</t>
  </si>
  <si>
    <t>COVER</t>
  </si>
  <si>
    <t>Is there a separate cover?</t>
  </si>
  <si>
    <t>ad'j first</t>
  </si>
  <si>
    <t>total Add'l</t>
  </si>
  <si>
    <t>inside pages sub Total</t>
  </si>
  <si>
    <r>
      <rPr>
        <rFont val="Arial"/>
        <sz val="12.0"/>
      </rPr>
      <t xml:space="preserve">Cover </t>
    </r>
    <r>
      <rPr>
        <rFont val="Arial"/>
        <b/>
        <sz val="12.0"/>
      </rPr>
      <t>Paper stock</t>
    </r>
  </si>
  <si>
    <t>Cover Color Type</t>
  </si>
  <si>
    <t>Discount for cover pages (not for paper stock)</t>
  </si>
  <si>
    <t>g</t>
  </si>
  <si>
    <t>Summary 1</t>
  </si>
  <si>
    <t>SHEETFED INSIDE PAGES</t>
  </si>
  <si>
    <r>
      <rPr>
        <rFont val="Arial"/>
        <color rgb="FF000000"/>
        <sz val="12.0"/>
      </rPr>
      <t># of</t>
    </r>
    <r>
      <rPr>
        <rFont val="Arial"/>
        <b/>
        <color rgb="FF000000"/>
        <sz val="12.0"/>
      </rPr>
      <t xml:space="preserve"> Black and White</t>
    </r>
    <r>
      <rPr>
        <rFont val="Arial"/>
        <color rgb="FF000000"/>
        <sz val="12.0"/>
      </rPr>
      <t xml:space="preserve"> Pages</t>
    </r>
  </si>
  <si>
    <t>Max 720 pages</t>
  </si>
  <si>
    <r>
      <rPr>
        <rFont val="Arial"/>
        <color rgb="FF000000"/>
        <sz val="12.0"/>
      </rPr>
      <t xml:space="preserve"># of </t>
    </r>
    <r>
      <rPr>
        <rFont val="Arial"/>
        <b/>
        <color rgb="FF000000"/>
        <sz val="12.0"/>
      </rPr>
      <t xml:space="preserve">Full Color </t>
    </r>
    <r>
      <rPr>
        <rFont val="Arial"/>
        <color rgb="FF000000"/>
        <sz val="12.0"/>
      </rPr>
      <t>Pages</t>
    </r>
  </si>
  <si>
    <t>Max 500 pages</t>
  </si>
  <si>
    <r>
      <rPr>
        <rFont val="Arial"/>
        <sz val="12.0"/>
      </rPr>
      <t># of</t>
    </r>
    <r>
      <rPr>
        <rFont val="Arial"/>
        <b/>
        <sz val="12.0"/>
      </rPr>
      <t xml:space="preserve"> Spot Color</t>
    </r>
    <r>
      <rPr>
        <rFont val="Arial"/>
        <sz val="12.0"/>
      </rPr>
      <t xml:space="preserve"> Pages (inside pages)</t>
    </r>
  </si>
  <si>
    <t>(Must re-adjust for waste)</t>
  </si>
  <si>
    <t>How many spot colors? (inside pages)</t>
  </si>
  <si>
    <t>In Email</t>
  </si>
  <si>
    <r>
      <rPr>
        <rFont val="Arial"/>
        <sz val="12.0"/>
      </rPr>
      <t xml:space="preserve">Inside </t>
    </r>
    <r>
      <rPr>
        <rFont val="Arial"/>
        <b/>
        <sz val="12.0"/>
      </rPr>
      <t>Paper stock</t>
    </r>
    <r>
      <rPr>
        <rFont val="Arial"/>
        <sz val="12.0"/>
      </rPr>
      <t xml:space="preserve"> type</t>
    </r>
  </si>
  <si>
    <t>`</t>
  </si>
  <si>
    <t>Discount for Inside pages</t>
  </si>
  <si>
    <t>BINDING</t>
  </si>
  <si>
    <t>SS</t>
  </si>
  <si>
    <t>PB</t>
  </si>
  <si>
    <t>binding type</t>
  </si>
  <si>
    <t>SS 1st k</t>
  </si>
  <si>
    <t>SS add'l</t>
  </si>
  <si>
    <t>PB 1st k</t>
  </si>
  <si>
    <t>PB add'l</t>
  </si>
  <si>
    <t>total add'l</t>
  </si>
  <si>
    <t>TotaL</t>
  </si>
  <si>
    <t>Price Breakdown</t>
  </si>
  <si>
    <t>Reccomended DO NOT DELETE! =&gt;</t>
  </si>
  <si>
    <t>First 1k</t>
  </si>
  <si>
    <t>Add'l 1k</t>
  </si>
  <si>
    <t>Under 1k reduction</t>
  </si>
  <si>
    <t>Inside Pages</t>
  </si>
  <si>
    <t>Discount for binding</t>
  </si>
  <si>
    <t>Spot color (Inside)</t>
  </si>
  <si>
    <t>Paper stock (Cover)</t>
  </si>
  <si>
    <t>OTHER</t>
  </si>
  <si>
    <t>coating first</t>
  </si>
  <si>
    <t>coating add'l</t>
  </si>
  <si>
    <t>total</t>
  </si>
  <si>
    <t>Cover Print</t>
  </si>
  <si>
    <t>Coating Cover (80/30)</t>
  </si>
  <si>
    <t>Paper Stock (Inside)</t>
  </si>
  <si>
    <t>Coating inside pages (30/15)</t>
  </si>
  <si>
    <t>IFERROR(IF(IFERROR(SEARCH("MATTE",G25,1),FALSE)= FALSE,"No","Yes"),"")</t>
  </si>
  <si>
    <t>SS/PB</t>
  </si>
  <si>
    <t>Spot Color Ink order surcharge  
(reg $100 per spot color order, $300 if dayglo or metalic) Or other Flat Surcharge</t>
  </si>
  <si>
    <t>Coating (Cover)</t>
  </si>
  <si>
    <t>Trimming (100/50)</t>
  </si>
  <si>
    <t>Coating (Inside)</t>
  </si>
  <si>
    <t>Add'l charges</t>
  </si>
  <si>
    <t>Trimming</t>
  </si>
  <si>
    <t>Raw Total</t>
  </si>
  <si>
    <t>Adjusted Total</t>
  </si>
  <si>
    <t>Final Total</t>
  </si>
  <si>
    <t>pages 1</t>
  </si>
  <si>
    <t>pages 2</t>
  </si>
  <si>
    <t>Pages 3</t>
  </si>
  <si>
    <t>pages 4</t>
  </si>
  <si>
    <t>pages 5</t>
  </si>
  <si>
    <t>pages 6</t>
  </si>
  <si>
    <t xml:space="preserve">Newspaper quotation </t>
  </si>
  <si>
    <t>Color and paper stock prices are added to this list once they're input</t>
  </si>
  <si>
    <t>binding</t>
  </si>
  <si>
    <t>(hidden tabs)</t>
  </si>
  <si>
    <t>1k</t>
  </si>
  <si>
    <t>2k</t>
  </si>
  <si>
    <t>3k</t>
  </si>
  <si>
    <t>4k</t>
  </si>
  <si>
    <t>5k</t>
  </si>
  <si>
    <t>6k</t>
  </si>
  <si>
    <t>7k</t>
  </si>
  <si>
    <t>8k</t>
  </si>
  <si>
    <t>add'l k</t>
  </si>
  <si>
    <t>black and white mag</t>
  </si>
  <si>
    <t>4x6</t>
  </si>
  <si>
    <t>newsprint inserts</t>
  </si>
  <si>
    <t>mag full color</t>
  </si>
  <si>
    <t>5x7</t>
  </si>
  <si>
    <t>sheetfed color/stock</t>
  </si>
  <si>
    <t>11x17</t>
  </si>
  <si>
    <t>4/0</t>
  </si>
  <si>
    <t>stock</t>
  </si>
  <si>
    <t>4/1</t>
  </si>
  <si>
    <t>poster price</t>
  </si>
  <si>
    <t>20x28</t>
  </si>
  <si>
    <t>4/4</t>
  </si>
  <si>
    <t>25x38</t>
  </si>
  <si>
    <t>per</t>
  </si>
  <si>
    <t>Binding Not included in these pricing above</t>
  </si>
  <si>
    <r>
      <rPr>
        <rFont val="Verdana"/>
        <b/>
        <sz val="10.0"/>
      </rPr>
      <t>Newsprint Table A</t>
    </r>
    <r>
      <rPr>
        <rFont val="Arial"/>
        <b/>
        <sz val="10.0"/>
      </rPr>
      <t>: 4/c color option</t>
    </r>
  </si>
  <si>
    <t>1. Newsprint and General Info</t>
  </si>
  <si>
    <t>Options</t>
  </si>
  <si>
    <t>Calculator #3</t>
  </si>
  <si>
    <r>
      <rPr>
        <rFont val="Arial"/>
        <b/>
        <sz val="10.0"/>
      </rPr>
      <t>(Table A)</t>
    </r>
    <r>
      <rPr>
        <rFont val="Arial"/>
        <b/>
        <sz val="10.0"/>
      </rPr>
      <t xml:space="preserve"> Click and select</t>
    </r>
  </si>
  <si>
    <t>Spot color type</t>
  </si>
  <si>
    <t>Calculator #2</t>
  </si>
  <si>
    <t>Calculator #1</t>
  </si>
  <si>
    <t xml:space="preserve">100# SILK TXT </t>
  </si>
  <si>
    <t>copies</t>
  </si>
  <si>
    <t>100# SLIK MATTE</t>
  </si>
  <si>
    <r>
      <rPr>
        <rFont val="Arial"/>
        <b/>
        <sz val="10.0"/>
      </rPr>
      <t>(Table B)</t>
    </r>
    <r>
      <rPr>
        <rFont val="Arial"/>
        <b/>
        <sz val="10.0"/>
      </rPr>
      <t xml:space="preserve"> Click and select</t>
    </r>
  </si>
  <si>
    <t xml:space="preserve">spot color 1 or 2/c </t>
  </si>
  <si>
    <t># of B/W pages</t>
  </si>
  <si>
    <t># of color pages</t>
  </si>
  <si>
    <r>
      <rPr>
        <rFont val="Arial"/>
        <sz val="10.0"/>
      </rPr>
      <t>Discount factor (</t>
    </r>
    <r>
      <rPr>
        <rFont val="Arial"/>
        <b/>
        <sz val="10.0"/>
      </rPr>
      <t>100=100%</t>
    </r>
    <r>
      <rPr>
        <rFont val="Arial"/>
        <sz val="10.0"/>
      </rPr>
      <t>)</t>
    </r>
  </si>
  <si>
    <r>
      <rPr>
        <rFont val="Arial"/>
        <b/>
        <sz val="10.0"/>
      </rPr>
      <t>Table B</t>
    </r>
    <r>
      <rPr>
        <rFont val="Arial"/>
        <b/>
        <sz val="10.0"/>
      </rPr>
      <t>: paper stock (per 1 web)</t>
    </r>
  </si>
  <si>
    <t>size</t>
  </si>
  <si>
    <t>discount</t>
  </si>
  <si>
    <t>Total first</t>
  </si>
  <si>
    <t>paper size</t>
  </si>
  <si>
    <t>8.5x5.5</t>
  </si>
  <si>
    <t>Grand total</t>
  </si>
  <si>
    <t>change it here</t>
  </si>
  <si>
    <t>Newsprint ONLY summary</t>
  </si>
  <si>
    <t>Print Media Type</t>
  </si>
  <si>
    <t>(must fill)</t>
  </si>
  <si>
    <t>Pages</t>
  </si>
  <si>
    <t xml:space="preserve">Section </t>
  </si>
  <si>
    <t>19x25 (2nd 8P)</t>
  </si>
  <si>
    <t xml:space="preserve">80lb Standard paper  </t>
  </si>
  <si>
    <t>Number of Copies (min 1000cps)</t>
  </si>
  <si>
    <t>Plate</t>
  </si>
  <si>
    <t xml:space="preserve">80lb matt </t>
  </si>
  <si>
    <t>initial</t>
  </si>
  <si>
    <t>80lb gloss cover</t>
  </si>
  <si>
    <t>100lb txt</t>
  </si>
  <si>
    <t>after copeis</t>
  </si>
  <si>
    <t>Total First</t>
  </si>
  <si>
    <t>Total Add'l</t>
  </si>
  <si>
    <t>100lb gloss txt</t>
  </si>
  <si>
    <t>total first</t>
  </si>
  <si>
    <t>paper type</t>
  </si>
  <si>
    <t xml:space="preserve">100lb matt  </t>
  </si>
  <si>
    <t>Grand Total</t>
  </si>
  <si>
    <t>100lb gloss cover</t>
  </si>
  <si>
    <t>Section</t>
  </si>
  <si>
    <t>130lb gloss cover</t>
  </si>
  <si>
    <t>after copies</t>
  </si>
  <si>
    <t>Self</t>
  </si>
  <si>
    <t>waste</t>
  </si>
  <si>
    <t>Total Section</t>
  </si>
  <si>
    <t>Total Sheet</t>
  </si>
  <si>
    <t>grand total</t>
  </si>
  <si>
    <t>Saddle stitch</t>
  </si>
  <si>
    <t>total inserts</t>
  </si>
  <si>
    <t>Perfect bind</t>
  </si>
  <si>
    <t>Total Sections</t>
  </si>
  <si>
    <t>Price</t>
  </si>
  <si>
    <t>Color Legend</t>
  </si>
  <si>
    <t>optional fill</t>
  </si>
  <si>
    <t>Sheetfed Summary sheetfeed only</t>
  </si>
  <si>
    <t>Sheetfed</t>
  </si>
  <si>
    <t>2. Binding</t>
  </si>
  <si>
    <t>must fill</t>
  </si>
  <si>
    <t>info feed from elsewhere</t>
  </si>
  <si>
    <t>***See instruction tab for notes</t>
  </si>
  <si>
    <t># of copies</t>
  </si>
  <si>
    <t>3. Sheetfed Cover and Pages</t>
  </si>
  <si>
    <r>
      <rPr>
        <rFont val="Arial"/>
        <sz val="10.0"/>
      </rPr>
      <t>cover paper size</t>
    </r>
    <r>
      <rPr>
        <rFont val="Arial"/>
        <color rgb="FFFF0000"/>
        <sz val="10.0"/>
      </rPr>
      <t>(for 4pg 8.5x11 mag cover, use 11x17</t>
    </r>
    <r>
      <rPr>
        <rFont val="Arial"/>
        <sz val="10.0"/>
      </rPr>
      <t>)</t>
    </r>
  </si>
  <si>
    <t>Cover/1 Sheet color type</t>
  </si>
  <si>
    <t>FIRST</t>
  </si>
  <si>
    <t># of b/w pages (no discounts)</t>
  </si>
  <si>
    <t># of full color pages</t>
  </si>
  <si>
    <t>Discount for color pages</t>
  </si>
  <si>
    <t>4. SheetFed Paper stock (no discounts)</t>
  </si>
  <si>
    <t>Use paper size</t>
  </si>
  <si>
    <t>Stock Page multiplier</t>
  </si>
  <si>
    <t>Cover Paper stock or poster type (1 sheet)</t>
  </si>
  <si>
    <t>Mixed Media summary</t>
  </si>
  <si>
    <t>Inisde Pages stock type</t>
  </si>
  <si>
    <t># of inside pages with the the stock selected</t>
  </si>
  <si>
    <t>(number of pages based on 8.5x11 size) if 8 pages 8.5x5.5 use 4 pages</t>
  </si>
  <si>
    <t>5. Coating other (manually enter)</t>
  </si>
  <si>
    <t>add'l 1000</t>
  </si>
  <si>
    <t>coating</t>
  </si>
  <si>
    <t>Other charges:</t>
  </si>
  <si>
    <t xml:space="preserve">  description:</t>
  </si>
  <si>
    <t>2. Sheetfed Cover and Pages</t>
  </si>
  <si>
    <r>
      <rPr>
        <rFont val="Arial"/>
        <sz val="10.0"/>
      </rPr>
      <t>cover paper size</t>
    </r>
    <r>
      <rPr>
        <rFont val="Arial"/>
        <color rgb="FFFF0000"/>
        <sz val="10.0"/>
      </rPr>
      <t>(for 4pg 8.5x11 mag cover, use 11x17</t>
    </r>
    <r>
      <rPr>
        <rFont val="Arial"/>
        <sz val="10.0"/>
      </rPr>
      <t>)</t>
    </r>
  </si>
  <si>
    <t>3. SheetFed Paper stock (no discounts)</t>
  </si>
  <si>
    <t>4. Coating other (manually enter)</t>
  </si>
  <si>
    <t>5. Binding</t>
  </si>
  <si>
    <t>NOTE: CONTROL + D WILL CLEAR ALL INFO AND RESETS THE DISCOUNTS TO 100%</t>
  </si>
  <si>
    <t xml:space="preserve">*note 20x28 and 25x38 size only have standard, 100lb and 100lb matt paper. </t>
  </si>
  <si>
    <t>It will not add addtion pricing if you select any of the other stock</t>
  </si>
  <si>
    <t>Poster/Flier  (separate ratings)</t>
  </si>
  <si>
    <t>Size</t>
  </si>
  <si>
    <t>Color type</t>
  </si>
  <si>
    <t>Poster Summary</t>
  </si>
  <si>
    <t>Copies</t>
  </si>
  <si>
    <t>Job Name:</t>
  </si>
  <si>
    <t>Date:</t>
  </si>
  <si>
    <t>Due:</t>
  </si>
  <si>
    <t>Contacts:</t>
  </si>
  <si>
    <t>if( (Tabloid) Number of Black and White pages (Excludes Cover pages): &gt;0, if( (Tabloid) Number of Black and White pages (Excludes Cover pages): &lt;=16 , (((( (Tabloid) Number of Black and White pages (Excludes Cover pages):  /4 )-1) *75)+200), 999),0)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</si>
</sst>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&quot;$&quot;#,##0"/>
    <numFmt numFmtId="165" formatCode="_(* #,##0_);_(* \(#,##0\);_(* &quot;-&quot;??_);_(@_)"/>
    <numFmt numFmtId="166" formatCode="&quot;$&quot;#,##0.00"/>
    <numFmt numFmtId="167" formatCode="0.0"/>
    <numFmt numFmtId="168" formatCode="_(&quot;$&quot;* #,##0.00_);_(&quot;$&quot;* \(#,##0.00\);_(&quot;$&quot;* &quot;-&quot;??_);_(@_)"/>
  </numFmts>
  <fonts count="30">
    <font>
      <sz val="10.0"/>
      <color rgb="FF000000"/>
      <name val="Arial"/>
    </font>
    <font>
      <sz val="10.0"/>
      <name val="Arial"/>
    </font>
    <font>
      <sz val="10.0"/>
      <color rgb="FFFF0000"/>
      <name val="Arial"/>
    </font>
    <font>
      <b/>
      <sz val="10.0"/>
      <name val="Arial"/>
    </font>
    <font>
      <sz val="10.0"/>
      <color rgb="FF000080"/>
      <name val="Arial"/>
    </font>
    <font>
      <sz val="10.0"/>
      <color rgb="FFFF00FF"/>
      <name val="Arial"/>
    </font>
    <font>
      <strike/>
    </font>
    <font/>
    <font>
      <b/>
      <sz val="10.0"/>
      <name val="Verdana"/>
    </font>
    <font>
      <sz val="9.0"/>
      <color rgb="FFFF0000"/>
      <name val="Arial"/>
    </font>
    <font>
      <sz val="10.0"/>
      <color rgb="FF003366"/>
      <name val="Arial"/>
    </font>
    <font>
      <b/>
    </font>
    <font>
      <b/>
      <sz val="12.0"/>
      <name val="Arial"/>
    </font>
    <font>
      <sz val="12.0"/>
      <name val="Arial"/>
    </font>
    <font>
      <u/>
      <sz val="12.0"/>
      <color rgb="FF0000FF"/>
      <name val="Arial"/>
    </font>
    <font>
      <sz val="12.0"/>
      <color rgb="FF0000FF"/>
      <name val="Arial"/>
    </font>
    <font>
      <sz val="9.0"/>
      <name val="Arial"/>
    </font>
    <font>
      <sz val="12.0"/>
      <color rgb="FFFF0000"/>
      <name val="Arial"/>
    </font>
    <font>
      <sz val="12.0"/>
      <color rgb="FF000000"/>
      <name val="Arial"/>
    </font>
    <font>
      <sz val="8.0"/>
      <color rgb="FF222222"/>
      <name val="Arial"/>
    </font>
    <font>
      <strike/>
      <sz val="12.0"/>
      <color rgb="FFFF0000"/>
      <name val="Arial"/>
    </font>
    <font>
      <sz val="12.0"/>
      <color rgb="FF7F7F7F"/>
      <name val="Arial"/>
    </font>
    <font>
      <b/>
      <sz val="12.0"/>
      <color rgb="FFFF0000"/>
      <name val="Arial"/>
    </font>
    <font>
      <sz val="11.0"/>
      <color rgb="FF000000"/>
      <name val="Inconsolata"/>
    </font>
    <font>
      <sz val="12.0"/>
      <color rgb="FFFFFFFF"/>
      <name val="Arial"/>
    </font>
    <font>
      <sz val="10.0"/>
      <color rgb="FFFFFFFF"/>
      <name val="Arial"/>
    </font>
    <font>
      <b/>
      <sz val="10.0"/>
      <color rgb="FFFF0000"/>
      <name val="Arial"/>
    </font>
    <font>
      <b/>
      <i/>
      <sz val="10.0"/>
      <color rgb="FFFF0000"/>
      <name val="Arial"/>
    </font>
    <font>
      <b/>
      <sz val="24.0"/>
      <color rgb="FFFF0000"/>
      <name val="Arial"/>
    </font>
    <font>
      <b/>
      <sz val="11.0"/>
      <name val="Arial"/>
    </font>
  </fonts>
  <fills count="26">
    <fill>
      <patternFill patternType="none"/>
    </fill>
    <fill>
      <patternFill patternType="lightGray"/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DE9D9"/>
        <bgColor rgb="FFFDE9D9"/>
      </patternFill>
    </fill>
    <fill>
      <patternFill patternType="solid">
        <fgColor rgb="FF00FFFF"/>
        <bgColor rgb="FF00FFFF"/>
      </patternFill>
    </fill>
    <fill>
      <patternFill patternType="solid">
        <fgColor rgb="FFEAF1DD"/>
        <bgColor rgb="FFEAF1DD"/>
      </patternFill>
    </fill>
    <fill>
      <patternFill patternType="solid">
        <fgColor rgb="FFFF99CC"/>
        <bgColor rgb="FFFF99CC"/>
      </patternFill>
    </fill>
    <fill>
      <patternFill patternType="solid">
        <fgColor rgb="FF969696"/>
        <bgColor rgb="FF969696"/>
      </patternFill>
    </fill>
    <fill>
      <patternFill patternType="solid">
        <fgColor rgb="FFC0C0C0"/>
        <bgColor rgb="FFC0C0C0"/>
      </patternFill>
    </fill>
    <fill>
      <patternFill patternType="solid">
        <fgColor rgb="FFDBE5F1"/>
        <bgColor rgb="FFDBE5F1"/>
      </patternFill>
    </fill>
    <fill>
      <patternFill patternType="solid">
        <fgColor rgb="FFF2DBDB"/>
        <bgColor rgb="FFF2DBDB"/>
      </patternFill>
    </fill>
    <fill>
      <patternFill patternType="solid">
        <fgColor rgb="FF99CCFF"/>
        <bgColor rgb="FF99CCFF"/>
      </patternFill>
    </fill>
    <fill>
      <patternFill patternType="solid">
        <fgColor rgb="FFFFFF99"/>
        <bgColor rgb="FFFFFF99"/>
      </patternFill>
    </fill>
    <fill>
      <patternFill patternType="solid">
        <fgColor rgb="FF00B0F0"/>
        <bgColor rgb="FF00B0F0"/>
      </patternFill>
    </fill>
    <fill>
      <patternFill patternType="solid">
        <fgColor rgb="FFD6E3BC"/>
        <bgColor rgb="FFD6E3BC"/>
      </patternFill>
    </fill>
    <fill>
      <patternFill patternType="solid">
        <fgColor rgb="FF999999"/>
        <bgColor rgb="FF999999"/>
      </patternFill>
    </fill>
    <fill>
      <patternFill patternType="solid">
        <fgColor rgb="FFDAEEF3"/>
        <bgColor rgb="FFDAEEF3"/>
      </patternFill>
    </fill>
    <fill>
      <patternFill patternType="solid">
        <fgColor rgb="FFDDD9C3"/>
        <bgColor rgb="FFDDD9C3"/>
      </patternFill>
    </fill>
    <fill>
      <patternFill patternType="solid">
        <fgColor rgb="FF000000"/>
        <bgColor rgb="FF000000"/>
      </patternFill>
    </fill>
    <fill>
      <patternFill patternType="solid">
        <fgColor rgb="FF993300"/>
        <bgColor rgb="FF993300"/>
      </patternFill>
    </fill>
    <fill>
      <patternFill patternType="solid">
        <fgColor rgb="FF99CC00"/>
        <bgColor rgb="FF99CC00"/>
      </patternFill>
    </fill>
    <fill>
      <patternFill patternType="solid">
        <fgColor rgb="FFCC99FF"/>
        <bgColor rgb="FFCC99FF"/>
      </patternFill>
    </fill>
  </fills>
  <borders count="106">
    <border/>
    <border>
      <left/>
      <right/>
      <top/>
      <bottom/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/>
      <bottom/>
    </border>
    <border>
      <left/>
      <right style="thin">
        <color rgb="FF000000"/>
      </right>
      <top/>
      <bottom/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/>
      <right/>
      <top style="thin">
        <color rgb="FF000000"/>
      </top>
      <bottom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</border>
    <border>
      <right style="thin">
        <color rgb="FF000000"/>
      </right>
      <top style="thick">
        <color rgb="FF000000"/>
      </top>
      <bottom style="thick">
        <color rgb="FF000000"/>
      </bottom>
    </border>
    <border>
      <top style="thick">
        <color rgb="FF000000"/>
      </top>
      <bottom style="thick">
        <color rgb="FF000000"/>
      </bottom>
    </border>
    <border>
      <left style="thick">
        <color rgb="FF000000"/>
      </left>
      <top style="thick">
        <color rgb="FF000000"/>
      </top>
      <bottom style="thick">
        <color rgb="FF000000"/>
      </bottom>
    </border>
    <border>
      <right style="thick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</border>
    <border>
      <top style="thick">
        <color rgb="FF000000"/>
      </top>
    </border>
    <border>
      <left style="thin">
        <color rgb="FF000000"/>
      </left>
      <right style="thick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ck">
        <color rgb="FF000000"/>
      </left>
      <right style="thick">
        <color rgb="FF000000"/>
      </right>
    </border>
    <border>
      <left style="thin">
        <color rgb="FF000000"/>
      </left>
      <top style="thick">
        <color rgb="FF000000"/>
      </top>
      <bottom style="thick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</border>
    <border>
      <left style="thick">
        <color rgb="FF000000"/>
      </left>
      <right style="thick">
        <color rgb="FF000000"/>
      </right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/>
      <right/>
      <top/>
      <bottom style="medium">
        <color rgb="FF000000"/>
      </bottom>
    </border>
    <border>
      <left/>
      <right/>
      <top style="medium">
        <color rgb="FF000000"/>
      </top>
      <bottom/>
    </border>
    <border>
      <left style="medium">
        <color rgb="FF000000"/>
      </left>
      <right style="medium">
        <color rgb="FF000000"/>
      </right>
      <top/>
      <bottom/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/>
      <bottom style="thick">
        <color rgb="FF000000"/>
      </bottom>
    </border>
    <border>
      <left style="thick">
        <color rgb="FF000000"/>
      </left>
      <right/>
      <top/>
      <bottom style="thin">
        <color rgb="FF000000"/>
      </bottom>
    </border>
    <border>
      <left style="thick">
        <color rgb="FF000000"/>
      </left>
      <right/>
      <top/>
      <bottom/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thin">
        <color rgb="FF000000"/>
      </right>
      <top/>
      <bottom style="thin">
        <color rgb="FF000000"/>
      </bottom>
    </border>
    <border>
      <left/>
      <top/>
      <bottom/>
    </border>
    <border>
      <top/>
      <bottom/>
    </border>
    <border>
      <right/>
      <top/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</border>
    <border>
      <right style="medium">
        <color rgb="FF000000"/>
      </right>
    </border>
    <border>
      <left/>
      <right style="medium">
        <color rgb="FF000000"/>
      </right>
      <top/>
      <bottom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/>
      <top/>
      <bottom/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thin">
        <color rgb="FF000000"/>
      </top>
      <bottom style="thin">
        <color rgb="FF000000"/>
      </bottom>
    </border>
    <border>
      <left/>
      <right style="medium">
        <color rgb="FF000000"/>
      </right>
      <top style="thin">
        <color rgb="FF000000"/>
      </top>
      <bottom/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medium">
        <color rgb="FF000000"/>
      </lef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right style="thick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/>
      <right style="thick">
        <color rgb="FF000000"/>
      </right>
      <top/>
      <bottom/>
    </border>
    <border>
      <right style="thin">
        <color rgb="FF000000"/>
      </right>
      <bottom style="medium">
        <color rgb="FF000000"/>
      </bottom>
    </border>
    <border>
      <left/>
      <right/>
      <top style="thick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</border>
    <border>
      <left style="thin">
        <color rgb="FF000000"/>
      </left>
      <right style="thick">
        <color rgb="FF000000"/>
      </right>
      <top/>
      <bottom/>
    </border>
    <border>
      <left style="thin">
        <color rgb="FF000000"/>
      </left>
      <right style="thick">
        <color rgb="FF000000"/>
      </right>
      <bottom style="thick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medium">
        <color rgb="FF000000"/>
      </left>
      <top style="dotted">
        <color rgb="FF000000"/>
      </top>
      <bottom style="dotted">
        <color rgb="FF000000"/>
      </bottom>
    </border>
    <border>
      <top style="dotted">
        <color rgb="FF000000"/>
      </top>
      <bottom style="dotted">
        <color rgb="FF000000"/>
      </bottom>
    </border>
    <border>
      <right style="medium">
        <color rgb="FF000000"/>
      </right>
      <top style="dotted">
        <color rgb="FF000000"/>
      </top>
      <bottom style="dotted">
        <color rgb="FF000000"/>
      </bottom>
    </border>
    <border>
      <bottom/>
    </border>
  </borders>
  <cellStyleXfs count="1">
    <xf borderId="0" fillId="0" fontId="0" numFmtId="0" applyAlignment="1" applyFont="1"/>
  </cellStyleXfs>
  <cellXfs count="57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wrapText="0"/>
    </xf>
    <xf borderId="1" fillId="2" fontId="1" numFmtId="0" xfId="0" applyAlignment="1" applyBorder="1" applyFill="1" applyFont="1">
      <alignment shrinkToFit="0" wrapText="0"/>
    </xf>
    <xf borderId="2" fillId="0" fontId="1" numFmtId="0" xfId="0" applyAlignment="1" applyBorder="1" applyFont="1">
      <alignment shrinkToFit="0" wrapText="0"/>
    </xf>
    <xf borderId="3" fillId="0" fontId="1" numFmtId="0" xfId="0" applyAlignment="1" applyBorder="1" applyFont="1">
      <alignment shrinkToFit="0" wrapText="0"/>
    </xf>
    <xf borderId="4" fillId="0" fontId="1" numFmtId="0" xfId="0" applyAlignment="1" applyBorder="1" applyFont="1">
      <alignment shrinkToFit="0" wrapText="0"/>
    </xf>
    <xf borderId="0" fillId="0" fontId="1" numFmtId="164" xfId="0" applyAlignment="1" applyFont="1" applyNumberFormat="1">
      <alignment shrinkToFit="0" wrapText="0"/>
    </xf>
    <xf borderId="5" fillId="0" fontId="1" numFmtId="0" xfId="0" applyAlignment="1" applyBorder="1" applyFont="1">
      <alignment shrinkToFit="0" wrapText="0"/>
    </xf>
    <xf borderId="0" fillId="0" fontId="1" numFmtId="0" xfId="0" applyAlignment="1" applyFont="1">
      <alignment shrinkToFit="0" wrapText="0"/>
    </xf>
    <xf borderId="6" fillId="0" fontId="1" numFmtId="0" xfId="0" applyAlignment="1" applyBorder="1" applyFont="1">
      <alignment shrinkToFit="0" wrapText="0"/>
    </xf>
    <xf borderId="0" fillId="0" fontId="1" numFmtId="165" xfId="0" applyAlignment="1" applyFont="1" applyNumberFormat="1">
      <alignment shrinkToFit="0" wrapText="0"/>
    </xf>
    <xf borderId="0" fillId="0" fontId="2" numFmtId="164" xfId="0" applyAlignment="1" applyFont="1" applyNumberFormat="1">
      <alignment shrinkToFit="0" wrapText="0"/>
    </xf>
    <xf borderId="7" fillId="0" fontId="1" numFmtId="0" xfId="0" applyAlignment="1" applyBorder="1" applyFont="1">
      <alignment shrinkToFit="0" wrapText="0"/>
    </xf>
    <xf borderId="8" fillId="0" fontId="1" numFmtId="0" xfId="0" applyAlignment="1" applyBorder="1" applyFont="1">
      <alignment shrinkToFit="0" wrapText="0"/>
    </xf>
    <xf borderId="8" fillId="0" fontId="2" numFmtId="164" xfId="0" applyAlignment="1" applyBorder="1" applyFont="1" applyNumberFormat="1">
      <alignment shrinkToFit="0" wrapText="0"/>
    </xf>
    <xf borderId="9" fillId="0" fontId="1" numFmtId="0" xfId="0" applyAlignment="1" applyBorder="1" applyFont="1">
      <alignment shrinkToFit="0" wrapText="0"/>
    </xf>
    <xf borderId="0" fillId="0" fontId="1" numFmtId="0" xfId="0" applyAlignment="1" applyFont="1">
      <alignment readingOrder="0" shrinkToFit="0" wrapText="0"/>
    </xf>
    <xf borderId="10" fillId="0" fontId="3" numFmtId="0" xfId="0" applyAlignment="1" applyBorder="1" applyFont="1">
      <alignment horizontal="center" shrinkToFit="0" wrapText="0"/>
    </xf>
    <xf borderId="10" fillId="0" fontId="3" numFmtId="0" xfId="0" applyAlignment="1" applyBorder="1" applyFont="1">
      <alignment horizontal="right" shrinkToFit="0" wrapText="0"/>
    </xf>
    <xf borderId="10" fillId="0" fontId="1" numFmtId="0" xfId="0" applyAlignment="1" applyBorder="1" applyFont="1">
      <alignment shrinkToFit="0" wrapText="0"/>
    </xf>
    <xf borderId="10" fillId="0" fontId="1" numFmtId="0" xfId="0" applyAlignment="1" applyBorder="1" applyFont="1">
      <alignment horizontal="right" shrinkToFit="0" wrapText="0"/>
    </xf>
    <xf borderId="10" fillId="3" fontId="1" numFmtId="0" xfId="0" applyAlignment="1" applyBorder="1" applyFill="1" applyFont="1">
      <alignment readingOrder="0" shrinkToFit="0" wrapText="0"/>
    </xf>
    <xf borderId="1" fillId="4" fontId="1" numFmtId="0" xfId="0" applyAlignment="1" applyBorder="1" applyFill="1" applyFont="1">
      <alignment shrinkToFit="0" wrapText="0"/>
    </xf>
    <xf borderId="10" fillId="5" fontId="1" numFmtId="0" xfId="0" applyAlignment="1" applyBorder="1" applyFill="1" applyFont="1">
      <alignment shrinkToFit="0" wrapText="0"/>
    </xf>
    <xf borderId="10" fillId="5" fontId="1" numFmtId="0" xfId="0" applyAlignment="1" applyBorder="1" applyFont="1">
      <alignment horizontal="right" shrinkToFit="0" wrapText="0"/>
    </xf>
    <xf borderId="10" fillId="5" fontId="4" numFmtId="0" xfId="0" applyAlignment="1" applyBorder="1" applyFont="1">
      <alignment shrinkToFit="0" wrapText="0"/>
    </xf>
    <xf borderId="1" fillId="5" fontId="1" numFmtId="0" xfId="0" applyAlignment="1" applyBorder="1" applyFont="1">
      <alignment shrinkToFit="0" wrapText="0"/>
    </xf>
    <xf borderId="10" fillId="3" fontId="1" numFmtId="165" xfId="0" applyAlignment="1" applyBorder="1" applyFont="1" applyNumberFormat="1">
      <alignment readingOrder="0" shrinkToFit="0" wrapText="0"/>
    </xf>
    <xf borderId="10" fillId="2" fontId="4" numFmtId="0" xfId="0" applyAlignment="1" applyBorder="1" applyFont="1">
      <alignment shrinkToFit="0" wrapText="0"/>
    </xf>
    <xf borderId="0" fillId="0" fontId="1" numFmtId="0" xfId="0" applyAlignment="1" applyFont="1">
      <alignment readingOrder="0" shrinkToFit="0" wrapText="0"/>
    </xf>
    <xf borderId="10" fillId="6" fontId="1" numFmtId="0" xfId="0" applyAlignment="1" applyBorder="1" applyFill="1" applyFont="1">
      <alignment shrinkToFit="0" wrapText="0"/>
    </xf>
    <xf borderId="10" fillId="6" fontId="1" numFmtId="0" xfId="0" applyAlignment="1" applyBorder="1" applyFont="1">
      <alignment horizontal="right" shrinkToFit="0" wrapText="0"/>
    </xf>
    <xf borderId="10" fillId="6" fontId="4" numFmtId="0" xfId="0" applyAlignment="1" applyBorder="1" applyFont="1">
      <alignment shrinkToFit="0" wrapText="0"/>
    </xf>
    <xf borderId="1" fillId="6" fontId="1" numFmtId="0" xfId="0" applyAlignment="1" applyBorder="1" applyFont="1">
      <alignment shrinkToFit="0" wrapText="0"/>
    </xf>
    <xf borderId="11" fillId="0" fontId="2" numFmtId="0" xfId="0" applyAlignment="1" applyBorder="1" applyFont="1">
      <alignment shrinkToFit="0" wrapText="0"/>
    </xf>
    <xf borderId="12" fillId="7" fontId="1" numFmtId="0" xfId="0" applyAlignment="1" applyBorder="1" applyFill="1" applyFont="1">
      <alignment readingOrder="0" shrinkToFit="0" wrapText="0"/>
    </xf>
    <xf borderId="11" fillId="0" fontId="5" numFmtId="0" xfId="0" applyAlignment="1" applyBorder="1" applyFont="1">
      <alignment shrinkToFit="0" wrapText="0"/>
    </xf>
    <xf borderId="10" fillId="7" fontId="1" numFmtId="0" xfId="0" applyAlignment="1" applyBorder="1" applyFont="1">
      <alignment readingOrder="0" shrinkToFit="0" wrapText="0"/>
    </xf>
    <xf borderId="11" fillId="0" fontId="1" numFmtId="0" xfId="0" applyAlignment="1" applyBorder="1" applyFont="1">
      <alignment shrinkToFit="0" wrapText="0"/>
    </xf>
    <xf borderId="0" fillId="0" fontId="3" numFmtId="0" xfId="0" applyAlignment="1" applyFont="1">
      <alignment shrinkToFit="0" wrapText="0"/>
    </xf>
    <xf borderId="0" fillId="0" fontId="6" numFmtId="0" xfId="0" applyFont="1"/>
    <xf borderId="0" fillId="0" fontId="7" numFmtId="0" xfId="0" applyAlignment="1" applyFont="1">
      <alignment readingOrder="0"/>
    </xf>
    <xf borderId="0" fillId="0" fontId="4" numFmtId="0" xfId="0" applyAlignment="1" applyFont="1">
      <alignment shrinkToFit="0" wrapText="0"/>
    </xf>
    <xf borderId="13" fillId="2" fontId="8" numFmtId="0" xfId="0" applyAlignment="1" applyBorder="1" applyFont="1">
      <alignment shrinkToFit="0" wrapText="0"/>
    </xf>
    <xf borderId="14" fillId="2" fontId="1" numFmtId="0" xfId="0" applyAlignment="1" applyBorder="1" applyFont="1">
      <alignment horizontal="center" shrinkToFit="0" wrapText="0"/>
    </xf>
    <xf borderId="15" fillId="2" fontId="8" numFmtId="0" xfId="0" applyAlignment="1" applyBorder="1" applyFont="1">
      <alignment shrinkToFit="0" wrapText="0"/>
    </xf>
    <xf borderId="16" fillId="2" fontId="1" numFmtId="0" xfId="0" applyAlignment="1" applyBorder="1" applyFont="1">
      <alignment shrinkToFit="0" wrapText="0"/>
    </xf>
    <xf borderId="1" fillId="2" fontId="1" numFmtId="0" xfId="0" applyAlignment="1" applyBorder="1" applyFont="1">
      <alignment horizontal="right" shrinkToFit="0" wrapText="0"/>
    </xf>
    <xf borderId="17" fillId="2" fontId="1" numFmtId="0" xfId="0" applyAlignment="1" applyBorder="1" applyFont="1">
      <alignment horizontal="right" shrinkToFit="0" wrapText="0"/>
    </xf>
    <xf borderId="16" fillId="8" fontId="1" numFmtId="0" xfId="0" applyAlignment="1" applyBorder="1" applyFill="1" applyFont="1">
      <alignment shrinkToFit="0" wrapText="0"/>
    </xf>
    <xf borderId="1" fillId="8" fontId="1" numFmtId="0" xfId="0" applyAlignment="1" applyBorder="1" applyFont="1">
      <alignment horizontal="right" shrinkToFit="0" wrapText="0"/>
    </xf>
    <xf borderId="17" fillId="8" fontId="8" numFmtId="0" xfId="0" applyAlignment="1" applyBorder="1" applyFont="1">
      <alignment horizontal="right" readingOrder="0" shrinkToFit="0" wrapText="0"/>
    </xf>
    <xf borderId="18" fillId="0" fontId="3" numFmtId="0" xfId="0" applyAlignment="1" applyBorder="1" applyFont="1">
      <alignment shrinkToFit="0" wrapText="0"/>
    </xf>
    <xf borderId="19" fillId="0" fontId="1" numFmtId="0" xfId="0" applyAlignment="1" applyBorder="1" applyFont="1">
      <alignment shrinkToFit="0" wrapText="0"/>
    </xf>
    <xf borderId="20" fillId="0" fontId="1" numFmtId="0" xfId="0" applyAlignment="1" applyBorder="1" applyFont="1">
      <alignment readingOrder="0" shrinkToFit="0" wrapText="0"/>
    </xf>
    <xf borderId="11" fillId="0" fontId="9" numFmtId="0" xfId="0" applyAlignment="1" applyBorder="1" applyFont="1">
      <alignment shrinkToFit="0" wrapText="0"/>
    </xf>
    <xf borderId="21" fillId="7" fontId="1" numFmtId="0" xfId="0" applyAlignment="1" applyBorder="1" applyFont="1">
      <alignment readingOrder="0" shrinkToFit="0" wrapText="0"/>
    </xf>
    <xf borderId="6" fillId="0" fontId="2" numFmtId="164" xfId="0" applyAlignment="1" applyBorder="1" applyFont="1" applyNumberFormat="1">
      <alignment shrinkToFit="0" wrapText="0"/>
    </xf>
    <xf borderId="0" fillId="0" fontId="1" numFmtId="164" xfId="0" applyAlignment="1" applyFont="1" applyNumberFormat="1">
      <alignment shrinkToFit="0" wrapText="0"/>
    </xf>
    <xf borderId="0" fillId="0" fontId="1" numFmtId="165" xfId="0" applyAlignment="1" applyFont="1" applyNumberFormat="1">
      <alignment shrinkToFit="0" wrapText="0"/>
    </xf>
    <xf borderId="22" fillId="0" fontId="9" numFmtId="0" xfId="0" applyAlignment="1" applyBorder="1" applyFont="1">
      <alignment shrinkToFit="0" wrapText="0"/>
    </xf>
    <xf borderId="23" fillId="0" fontId="1" numFmtId="0" xfId="0" applyAlignment="1" applyBorder="1" applyFont="1">
      <alignment shrinkToFit="0" wrapText="0"/>
    </xf>
    <xf borderId="17" fillId="2" fontId="1" numFmtId="0" xfId="0" applyAlignment="1" applyBorder="1" applyFont="1">
      <alignment readingOrder="0" shrinkToFit="0" wrapText="0"/>
    </xf>
    <xf borderId="0" fillId="0" fontId="1" numFmtId="0" xfId="0" applyAlignment="1" applyFont="1">
      <alignment horizontal="right" shrinkToFit="0" wrapText="0"/>
    </xf>
    <xf borderId="0" fillId="0" fontId="9" numFmtId="0" xfId="0" applyAlignment="1" applyFont="1">
      <alignment shrinkToFit="0" wrapText="0"/>
    </xf>
    <xf borderId="24" fillId="2" fontId="1" numFmtId="0" xfId="0" applyAlignment="1" applyBorder="1" applyFont="1">
      <alignment shrinkToFit="0" wrapText="0"/>
    </xf>
    <xf borderId="25" fillId="2" fontId="1" numFmtId="0" xfId="0" applyAlignment="1" applyBorder="1" applyFont="1">
      <alignment shrinkToFit="0" wrapText="0"/>
    </xf>
    <xf borderId="26" fillId="2" fontId="1" numFmtId="0" xfId="0" applyAlignment="1" applyBorder="1" applyFont="1">
      <alignment readingOrder="0" shrinkToFit="0" wrapText="0"/>
    </xf>
    <xf borderId="8" fillId="0" fontId="1" numFmtId="165" xfId="0" applyAlignment="1" applyBorder="1" applyFont="1" applyNumberFormat="1">
      <alignment shrinkToFit="0" wrapText="0"/>
    </xf>
    <xf borderId="9" fillId="0" fontId="2" numFmtId="164" xfId="0" applyAlignment="1" applyBorder="1" applyFont="1" applyNumberFormat="1">
      <alignment shrinkToFit="0" wrapText="0"/>
    </xf>
    <xf borderId="0" fillId="0" fontId="10" numFmtId="0" xfId="0" applyAlignment="1" applyFont="1">
      <alignment shrinkToFit="0" wrapText="0"/>
    </xf>
    <xf borderId="27" fillId="2" fontId="1" numFmtId="0" xfId="0" applyAlignment="1" applyBorder="1" applyFont="1">
      <alignment shrinkToFit="0" wrapText="0"/>
    </xf>
    <xf borderId="5" fillId="0" fontId="1" numFmtId="166" xfId="0" applyAlignment="1" applyBorder="1" applyFont="1" applyNumberFormat="1">
      <alignment horizontal="center" shrinkToFit="0" wrapText="0"/>
    </xf>
    <xf borderId="6" fillId="0" fontId="7" numFmtId="0" xfId="0" applyBorder="1" applyFont="1"/>
    <xf borderId="13" fillId="2" fontId="3" numFmtId="0" xfId="0" applyAlignment="1" applyBorder="1" applyFont="1">
      <alignment shrinkToFit="0" wrapText="0"/>
    </xf>
    <xf borderId="14" fillId="2" fontId="1" numFmtId="0" xfId="0" applyAlignment="1" applyBorder="1" applyFont="1">
      <alignment shrinkToFit="0" wrapText="0"/>
    </xf>
    <xf borderId="15" fillId="2" fontId="1" numFmtId="0" xfId="0" applyAlignment="1" applyBorder="1" applyFont="1">
      <alignment shrinkToFit="0" wrapText="0"/>
    </xf>
    <xf borderId="13" fillId="9" fontId="1" numFmtId="0" xfId="0" applyAlignment="1" applyBorder="1" applyFill="1" applyFont="1">
      <alignment shrinkToFit="0" wrapText="0"/>
    </xf>
    <xf borderId="14" fillId="9" fontId="1" numFmtId="0" xfId="0" applyAlignment="1" applyBorder="1" applyFont="1">
      <alignment shrinkToFit="0" wrapText="0"/>
    </xf>
    <xf borderId="15" fillId="9" fontId="1" numFmtId="164" xfId="0" applyAlignment="1" applyBorder="1" applyFont="1" applyNumberFormat="1">
      <alignment shrinkToFit="0" wrapText="0"/>
    </xf>
    <xf borderId="1" fillId="2" fontId="1" numFmtId="0" xfId="0" applyAlignment="1" applyBorder="1" applyFont="1">
      <alignment readingOrder="0" shrinkToFit="0" wrapText="0"/>
    </xf>
    <xf borderId="25" fillId="2" fontId="1" numFmtId="0" xfId="0" applyAlignment="1" applyBorder="1" applyFont="1">
      <alignment readingOrder="0" shrinkToFit="0" wrapText="0"/>
    </xf>
    <xf borderId="0" fillId="10" fontId="11" numFmtId="0" xfId="0" applyAlignment="1" applyFill="1" applyFont="1">
      <alignment readingOrder="0"/>
    </xf>
    <xf borderId="1" fillId="4" fontId="2" numFmtId="164" xfId="0" applyAlignment="1" applyBorder="1" applyFont="1" applyNumberFormat="1">
      <alignment shrinkToFit="0" wrapText="0"/>
    </xf>
    <xf borderId="1" fillId="4" fontId="1" numFmtId="0" xfId="0" applyAlignment="1" applyBorder="1" applyFont="1">
      <alignment horizontal="right" shrinkToFit="0" wrapText="0"/>
    </xf>
    <xf borderId="1" fillId="4" fontId="1" numFmtId="165" xfId="0" applyAlignment="1" applyBorder="1" applyFont="1" applyNumberFormat="1">
      <alignment shrinkToFit="0" wrapText="0"/>
    </xf>
    <xf borderId="0" fillId="0" fontId="1" numFmtId="0" xfId="0" applyAlignment="1" applyFont="1">
      <alignment horizontal="center" shrinkToFit="0" wrapText="0"/>
    </xf>
    <xf borderId="6" fillId="0" fontId="1" numFmtId="0" xfId="0" applyAlignment="1" applyBorder="1" applyFont="1">
      <alignment horizontal="left" shrinkToFit="0" wrapText="0"/>
    </xf>
    <xf borderId="1" fillId="4" fontId="3" numFmtId="0" xfId="0" applyAlignment="1" applyBorder="1" applyFont="1">
      <alignment horizontal="center" shrinkToFit="0" wrapText="0"/>
    </xf>
    <xf borderId="1" fillId="4" fontId="3" numFmtId="0" xfId="0" applyAlignment="1" applyBorder="1" applyFont="1">
      <alignment shrinkToFit="0" wrapText="0"/>
    </xf>
    <xf borderId="17" fillId="4" fontId="1" numFmtId="0" xfId="0" applyAlignment="1" applyBorder="1" applyFont="1">
      <alignment horizontal="left" shrinkToFit="0" wrapText="0"/>
    </xf>
    <xf borderId="1" fillId="4" fontId="1" numFmtId="0" xfId="0" applyAlignment="1" applyBorder="1" applyFont="1">
      <alignment horizontal="left" shrinkToFit="0" wrapText="0"/>
    </xf>
    <xf borderId="0" fillId="0" fontId="12" numFmtId="0" xfId="0" applyAlignment="1" applyFont="1">
      <alignment shrinkToFit="0" wrapText="0"/>
    </xf>
    <xf borderId="0" fillId="0" fontId="13" numFmtId="0" xfId="0" applyAlignment="1" applyFont="1">
      <alignment horizontal="center" shrinkToFit="0" wrapText="0"/>
    </xf>
    <xf borderId="0" fillId="0" fontId="14" numFmtId="0" xfId="0" applyAlignment="1" applyFont="1">
      <alignment horizontal="center" shrinkToFit="0" wrapText="0"/>
    </xf>
    <xf borderId="1" fillId="2" fontId="1" numFmtId="0" xfId="0" applyAlignment="1" applyBorder="1" applyFont="1">
      <alignment horizontal="center" shrinkToFit="0" wrapText="0"/>
    </xf>
    <xf borderId="1" fillId="2" fontId="12" numFmtId="0" xfId="0" applyAlignment="1" applyBorder="1" applyFont="1">
      <alignment shrinkToFit="0" wrapText="0"/>
    </xf>
    <xf borderId="1" fillId="2" fontId="13" numFmtId="0" xfId="0" applyAlignment="1" applyBorder="1" applyFont="1">
      <alignment horizontal="center" shrinkToFit="0" wrapText="0"/>
    </xf>
    <xf borderId="1" fillId="2" fontId="15" numFmtId="0" xfId="0" applyAlignment="1" applyBorder="1" applyFont="1">
      <alignment horizontal="center" shrinkToFit="0" wrapText="0"/>
    </xf>
    <xf borderId="1" fillId="2" fontId="15" numFmtId="0" xfId="0" applyAlignment="1" applyBorder="1" applyFont="1">
      <alignment horizontal="left" shrinkToFit="0" wrapText="0"/>
    </xf>
    <xf borderId="0" fillId="0" fontId="15" numFmtId="0" xfId="0" applyAlignment="1" applyFont="1">
      <alignment horizontal="center" shrinkToFit="0" wrapText="0"/>
    </xf>
    <xf borderId="0" fillId="0" fontId="15" numFmtId="0" xfId="0" applyAlignment="1" applyFont="1">
      <alignment horizontal="left" shrinkToFit="0" wrapText="0"/>
    </xf>
    <xf borderId="28" fillId="0" fontId="13" numFmtId="0" xfId="0" applyAlignment="1" applyBorder="1" applyFont="1">
      <alignment shrinkToFit="0" wrapText="0"/>
    </xf>
    <xf borderId="29" fillId="0" fontId="13" numFmtId="0" xfId="0" applyAlignment="1" applyBorder="1" applyFont="1">
      <alignment horizontal="center" shrinkToFit="0" wrapText="0"/>
    </xf>
    <xf borderId="30" fillId="0" fontId="13" numFmtId="0" xfId="0" applyAlignment="1" applyBorder="1" applyFont="1">
      <alignment horizontal="center" shrinkToFit="0" wrapText="0"/>
    </xf>
    <xf borderId="29" fillId="0" fontId="16" numFmtId="0" xfId="0" applyAlignment="1" applyBorder="1" applyFont="1">
      <alignment horizontal="center" shrinkToFit="0" wrapText="1"/>
    </xf>
    <xf borderId="31" fillId="0" fontId="3" numFmtId="0" xfId="0" applyAlignment="1" applyBorder="1" applyFont="1">
      <alignment shrinkToFit="0" wrapText="0"/>
    </xf>
    <xf borderId="30" fillId="0" fontId="3" numFmtId="0" xfId="0" applyAlignment="1" applyBorder="1" applyFont="1">
      <alignment shrinkToFit="0" wrapText="0"/>
    </xf>
    <xf borderId="30" fillId="0" fontId="3" numFmtId="0" xfId="0" applyAlignment="1" applyBorder="1" applyFont="1">
      <alignment horizontal="center" shrinkToFit="0" wrapText="0"/>
    </xf>
    <xf borderId="32" fillId="0" fontId="3" numFmtId="0" xfId="0" applyAlignment="1" applyBorder="1" applyFont="1">
      <alignment horizontal="center" shrinkToFit="0" wrapText="0"/>
    </xf>
    <xf borderId="33" fillId="0" fontId="3" numFmtId="0" xfId="0" applyAlignment="1" applyBorder="1" applyFont="1">
      <alignment shrinkToFit="0" wrapText="0"/>
    </xf>
    <xf borderId="34" fillId="0" fontId="3" numFmtId="0" xfId="0" applyAlignment="1" applyBorder="1" applyFont="1">
      <alignment shrinkToFit="0" wrapText="0"/>
    </xf>
    <xf borderId="35" fillId="0" fontId="13" numFmtId="0" xfId="0" applyAlignment="1" applyBorder="1" applyFont="1">
      <alignment shrinkToFit="0" wrapText="0"/>
    </xf>
    <xf borderId="8" fillId="0" fontId="13" numFmtId="1" xfId="0" applyAlignment="1" applyBorder="1" applyFont="1" applyNumberFormat="1">
      <alignment horizontal="center" shrinkToFit="0" wrapText="0"/>
    </xf>
    <xf borderId="9" fillId="0" fontId="13" numFmtId="1" xfId="0" applyAlignment="1" applyBorder="1" applyFont="1" applyNumberFormat="1">
      <alignment horizontal="center" shrinkToFit="0" wrapText="0"/>
    </xf>
    <xf borderId="36" fillId="0" fontId="1" numFmtId="0" xfId="0" applyAlignment="1" applyBorder="1" applyFont="1">
      <alignment horizontal="center" shrinkToFit="0" wrapText="0"/>
    </xf>
    <xf borderId="37" fillId="0" fontId="3" numFmtId="0" xfId="0" applyAlignment="1" applyBorder="1" applyFont="1">
      <alignment shrinkToFit="0" wrapText="0"/>
    </xf>
    <xf borderId="0" fillId="0" fontId="13" numFmtId="0" xfId="0" applyAlignment="1" applyFont="1">
      <alignment shrinkToFit="0" wrapText="0"/>
    </xf>
    <xf borderId="38" fillId="0" fontId="13" numFmtId="0" xfId="0" applyAlignment="1" applyBorder="1" applyFont="1">
      <alignment horizontal="center" shrinkToFit="0" wrapText="0"/>
    </xf>
    <xf borderId="39" fillId="0" fontId="13" numFmtId="0" xfId="0" applyAlignment="1" applyBorder="1" applyFont="1">
      <alignment horizontal="center" shrinkToFit="0" wrapText="0"/>
    </xf>
    <xf borderId="40" fillId="11" fontId="13" numFmtId="0" xfId="0" applyAlignment="1" applyBorder="1" applyFill="1" applyFont="1">
      <alignment shrinkToFit="0" wrapText="0"/>
    </xf>
    <xf borderId="14" fillId="11" fontId="13" numFmtId="1" xfId="0" applyAlignment="1" applyBorder="1" applyFont="1" applyNumberFormat="1">
      <alignment horizontal="center" shrinkToFit="0" wrapText="0"/>
    </xf>
    <xf borderId="15" fillId="11" fontId="13" numFmtId="1" xfId="0" applyAlignment="1" applyBorder="1" applyFont="1" applyNumberFormat="1">
      <alignment horizontal="center" shrinkToFit="0" wrapText="0"/>
    </xf>
    <xf borderId="41" fillId="12" fontId="3" numFmtId="0" xfId="0" applyAlignment="1" applyBorder="1" applyFill="1" applyFont="1">
      <alignment shrinkToFit="0" wrapText="0"/>
    </xf>
    <xf borderId="1" fillId="12" fontId="1" numFmtId="0" xfId="0" applyAlignment="1" applyBorder="1" applyFont="1">
      <alignment shrinkToFit="0" wrapText="0"/>
    </xf>
    <xf borderId="10" fillId="12" fontId="1" numFmtId="0" xfId="0" applyAlignment="1" applyBorder="1" applyFont="1">
      <alignment horizontal="center" shrinkToFit="0" wrapText="0"/>
    </xf>
    <xf borderId="1" fillId="12" fontId="3" numFmtId="0" xfId="0" applyAlignment="1" applyBorder="1" applyFont="1">
      <alignment shrinkToFit="0" wrapText="0"/>
    </xf>
    <xf borderId="42" fillId="13" fontId="3" numFmtId="0" xfId="0" applyAlignment="1" applyBorder="1" applyFill="1" applyFont="1">
      <alignment horizontal="center" shrinkToFit="0" wrapText="0"/>
    </xf>
    <xf borderId="43" fillId="0" fontId="7" numFmtId="0" xfId="0" applyBorder="1" applyFont="1"/>
    <xf borderId="44" fillId="0" fontId="7" numFmtId="0" xfId="0" applyBorder="1" applyFont="1"/>
    <xf borderId="14" fillId="13" fontId="3" numFmtId="0" xfId="0" applyAlignment="1" applyBorder="1" applyFont="1">
      <alignment horizontal="center" shrinkToFit="0" wrapText="0"/>
    </xf>
    <xf borderId="1" fillId="13" fontId="3" numFmtId="0" xfId="0" applyAlignment="1" applyBorder="1" applyFont="1">
      <alignment horizontal="center" shrinkToFit="0" wrapText="0"/>
    </xf>
    <xf borderId="42" fillId="13" fontId="1" numFmtId="0" xfId="0" applyAlignment="1" applyBorder="1" applyFont="1">
      <alignment horizontal="center" shrinkToFit="0" wrapText="0"/>
    </xf>
    <xf borderId="1" fillId="13" fontId="1" numFmtId="0" xfId="0" applyAlignment="1" applyBorder="1" applyFont="1">
      <alignment horizontal="center" shrinkToFit="0" wrapText="0"/>
    </xf>
    <xf borderId="1" fillId="4" fontId="1" numFmtId="0" xfId="0" applyAlignment="1" applyBorder="1" applyFont="1">
      <alignment horizontal="center" shrinkToFit="0" wrapText="0"/>
    </xf>
    <xf borderId="42" fillId="14" fontId="1" numFmtId="0" xfId="0" applyAlignment="1" applyBorder="1" applyFill="1" applyFont="1">
      <alignment horizontal="center" shrinkToFit="0" wrapText="0"/>
    </xf>
    <xf borderId="28" fillId="0" fontId="12" numFmtId="0" xfId="0" applyAlignment="1" applyBorder="1" applyFont="1">
      <alignment horizontal="center" shrinkToFit="0" wrapText="0"/>
    </xf>
    <xf borderId="37" fillId="0" fontId="13" numFmtId="0" xfId="0" applyAlignment="1" applyBorder="1" applyFont="1">
      <alignment horizontal="center" shrinkToFit="0" wrapText="0"/>
    </xf>
    <xf borderId="40" fillId="0" fontId="13" numFmtId="0" xfId="0" applyAlignment="1" applyBorder="1" applyFont="1">
      <alignment shrinkToFit="0" wrapText="0"/>
    </xf>
    <xf borderId="43" fillId="0" fontId="13" numFmtId="1" xfId="0" applyAlignment="1" applyBorder="1" applyFont="1" applyNumberFormat="1">
      <alignment horizontal="center" shrinkToFit="0" wrapText="0"/>
    </xf>
    <xf borderId="44" fillId="0" fontId="13" numFmtId="1" xfId="0" applyAlignment="1" applyBorder="1" applyFont="1" applyNumberFormat="1">
      <alignment horizontal="center" shrinkToFit="0" wrapText="0"/>
    </xf>
    <xf borderId="10" fillId="0" fontId="1" numFmtId="0" xfId="0" applyAlignment="1" applyBorder="1" applyFont="1">
      <alignment horizontal="center" shrinkToFit="0" wrapText="0"/>
    </xf>
    <xf borderId="0" fillId="0" fontId="1" numFmtId="0" xfId="0" applyAlignment="1" applyFont="1">
      <alignment horizontal="left" shrinkToFit="0" wrapText="0"/>
    </xf>
    <xf borderId="10" fillId="4" fontId="3" numFmtId="0" xfId="0" applyAlignment="1" applyBorder="1" applyFont="1">
      <alignment horizontal="center" shrinkToFit="0" wrapText="0"/>
    </xf>
    <xf borderId="45" fillId="4" fontId="3" numFmtId="0" xfId="0" applyAlignment="1" applyBorder="1" applyFont="1">
      <alignment horizontal="center" shrinkToFit="0" wrapText="0"/>
    </xf>
    <xf borderId="46" fillId="4" fontId="3" numFmtId="0" xfId="0" applyAlignment="1" applyBorder="1" applyFont="1">
      <alignment horizontal="center" shrinkToFit="0" wrapText="0"/>
    </xf>
    <xf borderId="47" fillId="4" fontId="3" numFmtId="0" xfId="0" applyAlignment="1" applyBorder="1" applyFont="1">
      <alignment horizontal="center" shrinkToFit="0" wrapText="0"/>
    </xf>
    <xf borderId="35" fillId="0" fontId="12" numFmtId="49" xfId="0" applyAlignment="1" applyBorder="1" applyFont="1" applyNumberFormat="1">
      <alignment horizontal="center" shrinkToFit="0" wrapText="0"/>
    </xf>
    <xf borderId="37" fillId="0" fontId="13" numFmtId="1" xfId="0" applyAlignment="1" applyBorder="1" applyFont="1" applyNumberFormat="1">
      <alignment horizontal="center" shrinkToFit="0" wrapText="0"/>
    </xf>
    <xf borderId="7" fillId="0" fontId="13" numFmtId="1" xfId="0" applyAlignment="1" applyBorder="1" applyFont="1" applyNumberFormat="1">
      <alignment horizontal="center" shrinkToFit="0" wrapText="0"/>
    </xf>
    <xf borderId="36" fillId="0" fontId="13" numFmtId="1" xfId="0" applyAlignment="1" applyBorder="1" applyFont="1" applyNumberFormat="1">
      <alignment horizontal="center" shrinkToFit="0" wrapText="0"/>
    </xf>
    <xf borderId="0" fillId="0" fontId="13" numFmtId="1" xfId="0" applyAlignment="1" applyFont="1" applyNumberFormat="1">
      <alignment horizontal="center" shrinkToFit="0" wrapText="0"/>
    </xf>
    <xf borderId="10" fillId="4" fontId="1" numFmtId="0" xfId="0" applyAlignment="1" applyBorder="1" applyFont="1">
      <alignment horizontal="center" shrinkToFit="0" wrapText="0"/>
    </xf>
    <xf borderId="48" fillId="4" fontId="3" numFmtId="0" xfId="0" applyAlignment="1" applyBorder="1" applyFont="1">
      <alignment horizontal="center" shrinkToFit="0" wrapText="0"/>
    </xf>
    <xf borderId="49" fillId="4" fontId="1" numFmtId="0" xfId="0" applyAlignment="1" applyBorder="1" applyFont="1">
      <alignment horizontal="center" shrinkToFit="0" wrapText="0"/>
    </xf>
    <xf borderId="27" fillId="4" fontId="1" numFmtId="0" xfId="0" applyAlignment="1" applyBorder="1" applyFont="1">
      <alignment horizontal="center" shrinkToFit="0" wrapText="0"/>
    </xf>
    <xf borderId="40" fillId="11" fontId="12" numFmtId="49" xfId="0" applyAlignment="1" applyBorder="1" applyFont="1" applyNumberFormat="1">
      <alignment horizontal="center" shrinkToFit="0" wrapText="0"/>
    </xf>
    <xf borderId="13" fillId="11" fontId="13" numFmtId="1" xfId="0" applyAlignment="1" applyBorder="1" applyFont="1" applyNumberFormat="1">
      <alignment horizontal="center" shrinkToFit="0" wrapText="0"/>
    </xf>
    <xf borderId="10" fillId="11" fontId="13" numFmtId="1" xfId="0" applyAlignment="1" applyBorder="1" applyFont="1" applyNumberFormat="1">
      <alignment horizontal="center" shrinkToFit="0" wrapText="0"/>
    </xf>
    <xf borderId="1" fillId="11" fontId="13" numFmtId="1" xfId="0" applyAlignment="1" applyBorder="1" applyFont="1" applyNumberFormat="1">
      <alignment horizontal="center" shrinkToFit="0" wrapText="0"/>
    </xf>
    <xf borderId="16" fillId="4" fontId="1" numFmtId="0" xfId="0" applyAlignment="1" applyBorder="1" applyFont="1">
      <alignment horizontal="center" shrinkToFit="0" wrapText="0"/>
    </xf>
    <xf borderId="17" fillId="4" fontId="1" numFmtId="0" xfId="0" applyAlignment="1" applyBorder="1" applyFont="1">
      <alignment horizontal="center" shrinkToFit="0" wrapText="0"/>
    </xf>
    <xf borderId="40" fillId="0" fontId="12" numFmtId="49" xfId="0" applyAlignment="1" applyBorder="1" applyFont="1" applyNumberFormat="1">
      <alignment horizontal="center" shrinkToFit="0" wrapText="0"/>
    </xf>
    <xf borderId="42" fillId="0" fontId="13" numFmtId="1" xfId="0" applyAlignment="1" applyBorder="1" applyFont="1" applyNumberFormat="1">
      <alignment horizontal="center" shrinkToFit="0" wrapText="0"/>
    </xf>
    <xf borderId="10" fillId="0" fontId="13" numFmtId="1" xfId="0" applyAlignment="1" applyBorder="1" applyFont="1" applyNumberFormat="1">
      <alignment horizontal="center" shrinkToFit="0" wrapText="0"/>
    </xf>
    <xf borderId="40" fillId="2" fontId="13" numFmtId="0" xfId="0" applyAlignment="1" applyBorder="1" applyFont="1">
      <alignment shrinkToFit="0" wrapText="0"/>
    </xf>
    <xf borderId="14" fillId="2" fontId="13" numFmtId="1" xfId="0" applyAlignment="1" applyBorder="1" applyFont="1" applyNumberFormat="1">
      <alignment horizontal="center" shrinkToFit="0" wrapText="0"/>
    </xf>
    <xf borderId="15" fillId="2" fontId="13" numFmtId="1" xfId="0" applyAlignment="1" applyBorder="1" applyFont="1" applyNumberFormat="1">
      <alignment horizontal="center" shrinkToFit="0" wrapText="0"/>
    </xf>
    <xf borderId="41" fillId="2" fontId="3" numFmtId="0" xfId="0" applyAlignment="1" applyBorder="1" applyFont="1">
      <alignment shrinkToFit="0" wrapText="0"/>
    </xf>
    <xf borderId="10" fillId="2" fontId="1" numFmtId="0" xfId="0" applyAlignment="1" applyBorder="1" applyFont="1">
      <alignment horizontal="center" shrinkToFit="0" wrapText="0"/>
    </xf>
    <xf borderId="1" fillId="2" fontId="3" numFmtId="0" xfId="0" applyAlignment="1" applyBorder="1" applyFont="1">
      <alignment shrinkToFit="0" wrapText="0"/>
    </xf>
    <xf borderId="40" fillId="2" fontId="12" numFmtId="49" xfId="0" applyAlignment="1" applyBorder="1" applyFont="1" applyNumberFormat="1">
      <alignment horizontal="center" shrinkToFit="0" wrapText="0"/>
    </xf>
    <xf borderId="41" fillId="2" fontId="13" numFmtId="1" xfId="0" applyAlignment="1" applyBorder="1" applyFont="1" applyNumberFormat="1">
      <alignment horizontal="center" shrinkToFit="0" wrapText="0"/>
    </xf>
    <xf borderId="13" fillId="2" fontId="13" numFmtId="1" xfId="0" applyAlignment="1" applyBorder="1" applyFont="1" applyNumberFormat="1">
      <alignment horizontal="center" shrinkToFit="0" wrapText="0"/>
    </xf>
    <xf borderId="10" fillId="2" fontId="13" numFmtId="1" xfId="0" applyAlignment="1" applyBorder="1" applyFont="1" applyNumberFormat="1">
      <alignment horizontal="center" shrinkToFit="0" wrapText="0"/>
    </xf>
    <xf borderId="1" fillId="2" fontId="13" numFmtId="1" xfId="0" applyAlignment="1" applyBorder="1" applyFont="1" applyNumberFormat="1">
      <alignment horizontal="center" shrinkToFit="0" wrapText="0"/>
    </xf>
    <xf borderId="10" fillId="0" fontId="13" numFmtId="0" xfId="0" applyAlignment="1" applyBorder="1" applyFont="1">
      <alignment shrinkToFit="0" wrapText="0"/>
    </xf>
    <xf borderId="16" fillId="2" fontId="13" numFmtId="0" xfId="0" applyAlignment="1" applyBorder="1" applyFont="1">
      <alignment shrinkToFit="0" wrapText="0"/>
    </xf>
    <xf borderId="42" fillId="0" fontId="1" numFmtId="0" xfId="0" applyAlignment="1" applyBorder="1" applyFont="1">
      <alignment shrinkToFit="0" wrapText="0"/>
    </xf>
    <xf borderId="44" fillId="0" fontId="1" numFmtId="0" xfId="0" applyAlignment="1" applyBorder="1" applyFont="1">
      <alignment shrinkToFit="0" wrapText="0"/>
    </xf>
    <xf borderId="23" fillId="0" fontId="12" numFmtId="0" xfId="0" applyAlignment="1" applyBorder="1" applyFont="1">
      <alignment shrinkToFit="0" wrapText="0"/>
    </xf>
    <xf borderId="23" fillId="0" fontId="13" numFmtId="0" xfId="0" applyAlignment="1" applyBorder="1" applyFont="1">
      <alignment horizontal="center" shrinkToFit="0" wrapText="0"/>
    </xf>
    <xf borderId="24" fillId="4" fontId="1" numFmtId="0" xfId="0" applyAlignment="1" applyBorder="1" applyFont="1">
      <alignment horizontal="center" shrinkToFit="0" wrapText="0"/>
    </xf>
    <xf borderId="42" fillId="0" fontId="13" numFmtId="0" xfId="0" applyAlignment="1" applyBorder="1" applyFont="1">
      <alignment horizontal="center" shrinkToFit="0" wrapText="0"/>
    </xf>
    <xf borderId="28" fillId="2" fontId="12" numFmtId="0" xfId="0" applyAlignment="1" applyBorder="1" applyFont="1">
      <alignment shrinkToFit="0" wrapText="0"/>
    </xf>
    <xf borderId="50" fillId="2" fontId="13" numFmtId="0" xfId="0" applyAlignment="1" applyBorder="1" applyFont="1">
      <alignment horizontal="center" shrinkToFit="0" wrapText="0"/>
    </xf>
    <xf borderId="41" fillId="2" fontId="13" numFmtId="0" xfId="0" applyAlignment="1" applyBorder="1" applyFont="1">
      <alignment horizontal="center" shrinkToFit="0" wrapText="0"/>
    </xf>
    <xf borderId="35" fillId="0" fontId="12" numFmtId="0" xfId="0" applyAlignment="1" applyBorder="1" applyFont="1">
      <alignment shrinkToFit="0" wrapText="0"/>
    </xf>
    <xf borderId="9" fillId="0" fontId="13" numFmtId="0" xfId="0" applyAlignment="1" applyBorder="1" applyFont="1">
      <alignment horizontal="left" shrinkToFit="0" wrapText="0"/>
    </xf>
    <xf borderId="8" fillId="0" fontId="13" numFmtId="0" xfId="0" applyAlignment="1" applyBorder="1" applyFont="1">
      <alignment horizontal="left" shrinkToFit="0" wrapText="0"/>
    </xf>
    <xf borderId="37" fillId="0" fontId="13" numFmtId="0" xfId="0" applyAlignment="1" applyBorder="1" applyFont="1">
      <alignment horizontal="left" shrinkToFit="0" wrapText="0"/>
    </xf>
    <xf borderId="9" fillId="0" fontId="13" numFmtId="0" xfId="0" applyAlignment="1" applyBorder="1" applyFont="1">
      <alignment horizontal="center" shrinkToFit="0" wrapText="0"/>
    </xf>
    <xf borderId="7" fillId="0" fontId="13" numFmtId="0" xfId="0" applyAlignment="1" applyBorder="1" applyFont="1">
      <alignment horizontal="center" shrinkToFit="0" wrapText="0"/>
    </xf>
    <xf borderId="5" fillId="0" fontId="13" numFmtId="0" xfId="0" applyAlignment="1" applyBorder="1" applyFont="1">
      <alignment horizontal="center" shrinkToFit="0" wrapText="0"/>
    </xf>
    <xf borderId="10" fillId="2" fontId="1" numFmtId="0" xfId="0" applyAlignment="1" applyBorder="1" applyFont="1">
      <alignment shrinkToFit="0" wrapText="0"/>
    </xf>
    <xf borderId="13" fillId="2" fontId="1" numFmtId="0" xfId="0" applyAlignment="1" applyBorder="1" applyFont="1">
      <alignment shrinkToFit="0" wrapText="0"/>
    </xf>
    <xf borderId="40" fillId="2" fontId="12" numFmtId="0" xfId="0" applyAlignment="1" applyBorder="1" applyFont="1">
      <alignment shrinkToFit="0" wrapText="0"/>
    </xf>
    <xf borderId="15" fillId="2" fontId="13" numFmtId="0" xfId="0" applyAlignment="1" applyBorder="1" applyFont="1">
      <alignment horizontal="left" shrinkToFit="0" wrapText="0"/>
    </xf>
    <xf borderId="14" fillId="2" fontId="13" numFmtId="0" xfId="0" applyAlignment="1" applyBorder="1" applyFont="1">
      <alignment horizontal="left" shrinkToFit="0" wrapText="0"/>
    </xf>
    <xf borderId="41" fillId="2" fontId="13" numFmtId="0" xfId="0" applyAlignment="1" applyBorder="1" applyFont="1">
      <alignment horizontal="left" shrinkToFit="0" wrapText="0"/>
    </xf>
    <xf borderId="15" fillId="2" fontId="13" numFmtId="0" xfId="0" applyAlignment="1" applyBorder="1" applyFont="1">
      <alignment horizontal="center" shrinkToFit="0" wrapText="0"/>
    </xf>
    <xf borderId="13" fillId="2" fontId="13" numFmtId="0" xfId="0" applyAlignment="1" applyBorder="1" applyFont="1">
      <alignment horizontal="center" shrinkToFit="0" wrapText="0"/>
    </xf>
    <xf borderId="16" fillId="2" fontId="13" numFmtId="0" xfId="0" applyAlignment="1" applyBorder="1" applyFont="1">
      <alignment horizontal="center" shrinkToFit="0" wrapText="0"/>
    </xf>
    <xf borderId="51" fillId="12" fontId="3" numFmtId="0" xfId="0" applyAlignment="1" applyBorder="1" applyFont="1">
      <alignment shrinkToFit="0" wrapText="0"/>
    </xf>
    <xf borderId="52" fillId="12" fontId="1" numFmtId="0" xfId="0" applyAlignment="1" applyBorder="1" applyFont="1">
      <alignment shrinkToFit="0" wrapText="0"/>
    </xf>
    <xf borderId="25" fillId="12" fontId="1" numFmtId="0" xfId="0" applyAlignment="1" applyBorder="1" applyFont="1">
      <alignment shrinkToFit="0" wrapText="0"/>
    </xf>
    <xf borderId="26" fillId="12" fontId="1" numFmtId="0" xfId="0" applyAlignment="1" applyBorder="1" applyFont="1">
      <alignment shrinkToFit="0" wrapText="0"/>
    </xf>
    <xf borderId="53" fillId="12" fontId="3" numFmtId="0" xfId="0" applyAlignment="1" applyBorder="1" applyFont="1">
      <alignment shrinkToFit="0" wrapText="0"/>
    </xf>
    <xf borderId="40" fillId="0" fontId="12" numFmtId="0" xfId="0" applyAlignment="1" applyBorder="1" applyFont="1">
      <alignment shrinkToFit="0" wrapText="0"/>
    </xf>
    <xf borderId="44" fillId="0" fontId="13" numFmtId="0" xfId="0" applyAlignment="1" applyBorder="1" applyFont="1">
      <alignment horizontal="left" shrinkToFit="0" wrapText="0"/>
    </xf>
    <xf borderId="43" fillId="0" fontId="13" numFmtId="0" xfId="0" applyAlignment="1" applyBorder="1" applyFont="1">
      <alignment horizontal="left" shrinkToFit="0" wrapText="0"/>
    </xf>
    <xf borderId="44" fillId="0" fontId="13" numFmtId="0" xfId="0" applyAlignment="1" applyBorder="1" applyFont="1">
      <alignment horizontal="center" shrinkToFit="0" wrapText="0"/>
    </xf>
    <xf borderId="0" fillId="0" fontId="2" numFmtId="0" xfId="0" applyAlignment="1" applyFont="1">
      <alignment shrinkToFit="0" wrapText="0"/>
    </xf>
    <xf borderId="1" fillId="12" fontId="1" numFmtId="0" xfId="0" applyAlignment="1" applyBorder="1" applyFont="1">
      <alignment horizontal="center" shrinkToFit="0" wrapText="0"/>
    </xf>
    <xf borderId="46" fillId="2" fontId="13" numFmtId="0" xfId="0" applyAlignment="1" applyBorder="1" applyFont="1">
      <alignment shrinkToFit="0" wrapText="0"/>
    </xf>
    <xf borderId="10" fillId="4" fontId="1" numFmtId="0" xfId="0" applyAlignment="1" applyBorder="1" applyFont="1">
      <alignment horizontal="center" readingOrder="0" shrinkToFit="0" wrapText="0"/>
    </xf>
    <xf borderId="40" fillId="11" fontId="12" numFmtId="0" xfId="0" applyAlignment="1" applyBorder="1" applyFont="1">
      <alignment shrinkToFit="0" wrapText="0"/>
    </xf>
    <xf borderId="10" fillId="4" fontId="1" numFmtId="0" xfId="0" applyAlignment="1" applyBorder="1" applyFont="1">
      <alignment shrinkToFit="0" wrapText="0"/>
    </xf>
    <xf borderId="54" fillId="4" fontId="3" numFmtId="0" xfId="0" applyAlignment="1" applyBorder="1" applyFont="1">
      <alignment horizontal="center" shrinkToFit="0" wrapText="0"/>
    </xf>
    <xf borderId="55" fillId="4" fontId="1" numFmtId="0" xfId="0" applyAlignment="1" applyBorder="1" applyFont="1">
      <alignment horizontal="center" shrinkToFit="0" wrapText="0"/>
    </xf>
    <xf borderId="17" fillId="9" fontId="1" numFmtId="0" xfId="0" applyAlignment="1" applyBorder="1" applyFont="1">
      <alignment horizontal="left" shrinkToFit="0" wrapText="0"/>
    </xf>
    <xf borderId="48" fillId="9" fontId="3" numFmtId="0" xfId="0" applyAlignment="1" applyBorder="1" applyFont="1">
      <alignment horizontal="center" shrinkToFit="0" wrapText="0"/>
    </xf>
    <xf borderId="1" fillId="9" fontId="1" numFmtId="0" xfId="0" applyAlignment="1" applyBorder="1" applyFont="1">
      <alignment shrinkToFit="0" wrapText="0"/>
    </xf>
    <xf borderId="1" fillId="9" fontId="1" numFmtId="0" xfId="0" applyAlignment="1" applyBorder="1" applyFont="1">
      <alignment horizontal="center" shrinkToFit="0" wrapText="0"/>
    </xf>
    <xf borderId="17" fillId="9" fontId="1" numFmtId="0" xfId="0" applyAlignment="1" applyBorder="1" applyFont="1">
      <alignment horizontal="center" shrinkToFit="0" wrapText="0"/>
    </xf>
    <xf borderId="16" fillId="9" fontId="1" numFmtId="0" xfId="0" applyAlignment="1" applyBorder="1" applyFont="1">
      <alignment horizontal="center" shrinkToFit="0" wrapText="0"/>
    </xf>
    <xf borderId="26" fillId="4" fontId="1" numFmtId="0" xfId="0" applyAlignment="1" applyBorder="1" applyFont="1">
      <alignment horizontal="center" shrinkToFit="0" wrapText="0"/>
    </xf>
    <xf borderId="1" fillId="15" fontId="1" numFmtId="0" xfId="0" applyAlignment="1" applyBorder="1" applyFill="1" applyFont="1">
      <alignment shrinkToFit="0" wrapText="0"/>
    </xf>
    <xf borderId="56" fillId="14" fontId="1" numFmtId="0" xfId="0" applyAlignment="1" applyBorder="1" applyFont="1">
      <alignment horizontal="center" shrinkToFit="0" wrapText="0"/>
    </xf>
    <xf borderId="57" fillId="0" fontId="7" numFmtId="0" xfId="0" applyBorder="1" applyFont="1"/>
    <xf borderId="58" fillId="0" fontId="7" numFmtId="0" xfId="0" applyBorder="1" applyFont="1"/>
    <xf borderId="6" fillId="0" fontId="1" numFmtId="0" xfId="0" applyAlignment="1" applyBorder="1" applyFont="1">
      <alignment readingOrder="0" shrinkToFit="0" wrapText="0"/>
    </xf>
    <xf borderId="0" fillId="0" fontId="1" numFmtId="49" xfId="0" applyAlignment="1" applyFont="1" applyNumberFormat="1">
      <alignment shrinkToFit="0" wrapText="0"/>
    </xf>
    <xf borderId="0" fillId="0" fontId="1" numFmtId="16" xfId="0" applyAlignment="1" applyFont="1" applyNumberFormat="1">
      <alignment shrinkToFit="0" wrapText="0"/>
    </xf>
    <xf borderId="59" fillId="9" fontId="12" numFmtId="0" xfId="0" applyAlignment="1" applyBorder="1" applyFont="1">
      <alignment horizontal="center" readingOrder="0" shrinkToFit="0" wrapText="0"/>
    </xf>
    <xf borderId="60" fillId="0" fontId="7" numFmtId="0" xfId="0" applyBorder="1" applyFont="1"/>
    <xf borderId="61" fillId="0" fontId="7" numFmtId="0" xfId="0" applyBorder="1" applyFont="1"/>
    <xf borderId="0" fillId="0" fontId="12" numFmtId="0" xfId="0" applyAlignment="1" applyFont="1">
      <alignment horizontal="center" shrinkToFit="0" wrapText="0"/>
    </xf>
    <xf borderId="0" fillId="0" fontId="17" numFmtId="0" xfId="0" applyAlignment="1" applyFont="1">
      <alignment shrinkToFit="0" wrapText="0"/>
    </xf>
    <xf borderId="0" fillId="0" fontId="18" numFmtId="0" xfId="0" applyAlignment="1" applyFont="1">
      <alignment shrinkToFit="0" wrapText="0"/>
    </xf>
    <xf borderId="0" fillId="0" fontId="13" numFmtId="0" xfId="0" applyAlignment="1" applyFont="1">
      <alignment horizontal="center" shrinkToFit="0" vertical="center" wrapText="0"/>
    </xf>
    <xf borderId="0" fillId="0" fontId="13" numFmtId="0" xfId="0" applyAlignment="1" applyFont="1">
      <alignment horizontal="center" readingOrder="0" shrinkToFit="0" vertical="center" wrapText="0"/>
    </xf>
    <xf borderId="0" fillId="0" fontId="17" numFmtId="0" xfId="0" applyAlignment="1" applyFont="1">
      <alignment readingOrder="0" shrinkToFit="0" wrapText="0"/>
    </xf>
    <xf borderId="18" fillId="0" fontId="12" numFmtId="0" xfId="0" applyAlignment="1" applyBorder="1" applyFont="1">
      <alignment shrinkToFit="0" wrapText="0"/>
    </xf>
    <xf borderId="19" fillId="0" fontId="13" numFmtId="0" xfId="0" applyAlignment="1" applyBorder="1" applyFont="1">
      <alignment shrinkToFit="0" wrapText="0"/>
    </xf>
    <xf borderId="20" fillId="16" fontId="13" numFmtId="0" xfId="0" applyAlignment="1" applyBorder="1" applyFill="1" applyFont="1">
      <alignment horizontal="center" readingOrder="0" shrinkToFit="0" vertical="center" wrapText="0"/>
    </xf>
    <xf borderId="11" fillId="0" fontId="12" numFmtId="0" xfId="0" applyAlignment="1" applyBorder="1" applyFont="1">
      <alignment shrinkToFit="0" wrapText="0"/>
    </xf>
    <xf borderId="21" fillId="3" fontId="13" numFmtId="165" xfId="0" applyAlignment="1" applyBorder="1" applyFont="1" applyNumberFormat="1">
      <alignment horizontal="center" readingOrder="0" shrinkToFit="0" vertical="center" wrapText="0"/>
    </xf>
    <xf borderId="22" fillId="0" fontId="13" numFmtId="0" xfId="0" applyAlignment="1" applyBorder="1" applyFont="1">
      <alignment shrinkToFit="0" wrapText="0"/>
    </xf>
    <xf borderId="23" fillId="0" fontId="13" numFmtId="0" xfId="0" applyAlignment="1" applyBorder="1" applyFont="1">
      <alignment shrinkToFit="0" wrapText="0"/>
    </xf>
    <xf borderId="62" fillId="0" fontId="13" numFmtId="0" xfId="0" applyAlignment="1" applyBorder="1" applyFont="1">
      <alignment horizontal="center" shrinkToFit="0" vertical="center" wrapText="0"/>
    </xf>
    <xf borderId="59" fillId="0" fontId="12" numFmtId="0" xfId="0" applyAlignment="1" applyBorder="1" applyFont="1">
      <alignment shrinkToFit="0" wrapText="0"/>
    </xf>
    <xf borderId="60" fillId="0" fontId="12" numFmtId="0" xfId="0" applyAlignment="1" applyBorder="1" applyFont="1">
      <alignment shrinkToFit="0" wrapText="0"/>
    </xf>
    <xf borderId="60" fillId="0" fontId="13" numFmtId="0" xfId="0" applyAlignment="1" applyBorder="1" applyFont="1">
      <alignment shrinkToFit="0" wrapText="0"/>
    </xf>
    <xf borderId="63" fillId="16" fontId="13" numFmtId="0" xfId="0" applyAlignment="1" applyBorder="1" applyFont="1">
      <alignment horizontal="center" readingOrder="0" shrinkToFit="0" vertical="center" wrapText="0"/>
    </xf>
    <xf borderId="0" fillId="0" fontId="13" numFmtId="0" xfId="0" applyAlignment="1" applyFont="1">
      <alignment readingOrder="0" shrinkToFit="0" wrapText="0"/>
    </xf>
    <xf borderId="64" fillId="0" fontId="13" numFmtId="0" xfId="0" applyAlignment="1" applyBorder="1" applyFont="1">
      <alignment horizontal="center" shrinkToFit="0" vertical="center" wrapText="0"/>
    </xf>
    <xf borderId="11" fillId="0" fontId="13" numFmtId="0" xfId="0" applyAlignment="1" applyBorder="1" applyFont="1">
      <alignment shrinkToFit="0" wrapText="0"/>
    </xf>
    <xf borderId="65" fillId="0" fontId="13" numFmtId="0" xfId="0" applyAlignment="1" applyBorder="1" applyFont="1">
      <alignment horizontal="center" shrinkToFit="0" vertical="center" wrapText="0"/>
    </xf>
    <xf borderId="21" fillId="16" fontId="13" numFmtId="0" xfId="0" applyAlignment="1" applyBorder="1" applyFont="1">
      <alignment horizontal="center" readingOrder="0" shrinkToFit="0" vertical="center" wrapText="0"/>
    </xf>
    <xf borderId="1" fillId="17" fontId="18" numFmtId="0" xfId="0" applyAlignment="1" applyBorder="1" applyFill="1" applyFont="1">
      <alignment shrinkToFit="0" wrapText="0"/>
    </xf>
    <xf borderId="1" fillId="4" fontId="13" numFmtId="0" xfId="0" applyAlignment="1" applyBorder="1" applyFont="1">
      <alignment shrinkToFit="0" vertical="center" wrapText="0"/>
    </xf>
    <xf borderId="21" fillId="16" fontId="13" numFmtId="0" xfId="0" applyAlignment="1" applyBorder="1" applyFont="1">
      <alignment readingOrder="0" shrinkToFit="0" vertical="center" wrapText="0"/>
    </xf>
    <xf borderId="1" fillId="18" fontId="17" numFmtId="0" xfId="0" applyAlignment="1" applyBorder="1" applyFill="1" applyFont="1">
      <alignment shrinkToFit="0" wrapText="0"/>
    </xf>
    <xf borderId="0" fillId="0" fontId="19" numFmtId="0" xfId="0" applyAlignment="1" applyFont="1">
      <alignment shrinkToFit="0" wrapText="0"/>
    </xf>
    <xf borderId="11" fillId="0" fontId="20" numFmtId="0" xfId="0" applyAlignment="1" applyBorder="1" applyFont="1">
      <alignment shrinkToFit="0" wrapText="0"/>
    </xf>
    <xf borderId="0" fillId="0" fontId="20" numFmtId="0" xfId="0" applyAlignment="1" applyFont="1">
      <alignment shrinkToFit="0" wrapText="0"/>
    </xf>
    <xf borderId="66" fillId="4" fontId="20" numFmtId="0" xfId="0" applyAlignment="1" applyBorder="1" applyFont="1">
      <alignment horizontal="center" shrinkToFit="0" vertical="center" wrapText="0"/>
    </xf>
    <xf borderId="0" fillId="0" fontId="19" numFmtId="0" xfId="0" applyAlignment="1" applyFont="1">
      <alignment shrinkToFit="0" vertical="center" wrapText="1"/>
    </xf>
    <xf borderId="18" fillId="0" fontId="13" numFmtId="0" xfId="0" applyAlignment="1" applyBorder="1" applyFont="1">
      <alignment shrinkToFit="0" wrapText="0"/>
    </xf>
    <xf borderId="20" fillId="19" fontId="13" numFmtId="0" xfId="0" applyAlignment="1" applyBorder="1" applyFill="1" applyFont="1">
      <alignment horizontal="center" readingOrder="0" shrinkToFit="0" vertical="center" wrapText="0"/>
    </xf>
    <xf borderId="45" fillId="17" fontId="13" numFmtId="0" xfId="0" applyAlignment="1" applyBorder="1" applyFont="1">
      <alignment shrinkToFit="0" wrapText="0"/>
    </xf>
    <xf borderId="67" fillId="19" fontId="13" numFmtId="0" xfId="0" applyAlignment="1" applyBorder="1" applyFont="1">
      <alignment horizontal="center" readingOrder="0" shrinkToFit="0" vertical="center" wrapText="0"/>
    </xf>
    <xf borderId="68" fillId="0" fontId="13" numFmtId="166" xfId="0" applyAlignment="1" applyBorder="1" applyFont="1" applyNumberFormat="1">
      <alignment horizontal="left" shrinkToFit="0" wrapText="0"/>
    </xf>
    <xf borderId="64" fillId="0" fontId="13" numFmtId="0" xfId="0" applyAlignment="1" applyBorder="1" applyFont="1">
      <alignment horizontal="center" readingOrder="0" shrinkToFit="0" vertical="center" wrapText="0"/>
    </xf>
    <xf borderId="68" fillId="0" fontId="13" numFmtId="0" xfId="0" applyAlignment="1" applyBorder="1" applyFont="1">
      <alignment shrinkToFit="0" wrapText="0"/>
    </xf>
    <xf borderId="69" fillId="13" fontId="18" numFmtId="0" xfId="0" applyAlignment="1" applyBorder="1" applyFont="1">
      <alignment shrinkToFit="0" wrapText="0"/>
    </xf>
    <xf borderId="1" fillId="13" fontId="21" numFmtId="0" xfId="0" applyAlignment="1" applyBorder="1" applyFont="1">
      <alignment shrinkToFit="0" vertical="center" wrapText="0"/>
    </xf>
    <xf borderId="1" fillId="13" fontId="13" numFmtId="0" xfId="0" applyAlignment="1" applyBorder="1" applyFont="1">
      <alignment shrinkToFit="0" wrapText="0"/>
    </xf>
    <xf borderId="1" fillId="4" fontId="1" numFmtId="0" xfId="0" applyAlignment="1" applyBorder="1" applyFont="1">
      <alignment shrinkToFit="0" vertical="center" wrapText="1"/>
    </xf>
    <xf borderId="11" fillId="0" fontId="18" numFmtId="0" xfId="0" applyAlignment="1" applyBorder="1" applyFont="1">
      <alignment shrinkToFit="0" wrapText="0"/>
    </xf>
    <xf borderId="65" fillId="0" fontId="13" numFmtId="0" xfId="0" applyAlignment="1" applyBorder="1" applyFont="1">
      <alignment horizontal="center" readingOrder="0" shrinkToFit="0" vertical="center" wrapText="0"/>
    </xf>
    <xf borderId="0" fillId="0" fontId="1" numFmtId="0" xfId="0" applyAlignment="1" applyFont="1">
      <alignment shrinkToFit="0" vertical="center" wrapText="1"/>
    </xf>
    <xf borderId="69" fillId="13" fontId="13" numFmtId="0" xfId="0" applyAlignment="1" applyBorder="1" applyFont="1">
      <alignment shrinkToFit="0" wrapText="0"/>
    </xf>
    <xf borderId="0" fillId="0" fontId="22" numFmtId="0" xfId="0" applyAlignment="1" applyFont="1">
      <alignment horizontal="right" shrinkToFit="0" wrapText="0"/>
    </xf>
    <xf borderId="70" fillId="0" fontId="13" numFmtId="0" xfId="0" applyAlignment="1" applyBorder="1" applyFont="1">
      <alignment shrinkToFit="0" wrapText="0"/>
    </xf>
    <xf borderId="0" fillId="0" fontId="22" numFmtId="0" xfId="0" applyAlignment="1" applyFont="1">
      <alignment shrinkToFit="0" wrapText="0"/>
    </xf>
    <xf borderId="1" fillId="4" fontId="17" numFmtId="0" xfId="0" applyAlignment="1" applyBorder="1" applyFont="1">
      <alignment shrinkToFit="0" wrapText="0"/>
    </xf>
    <xf borderId="20" fillId="7" fontId="13" numFmtId="0" xfId="0" applyAlignment="1" applyBorder="1" applyFont="1">
      <alignment horizontal="center" readingOrder="0" shrinkToFit="0" vertical="center" wrapText="0"/>
    </xf>
    <xf borderId="67" fillId="7" fontId="13" numFmtId="0" xfId="0" applyAlignment="1" applyBorder="1" applyFont="1">
      <alignment horizontal="center" readingOrder="0" shrinkToFit="0" vertical="center" wrapText="0"/>
    </xf>
    <xf borderId="0" fillId="0" fontId="13" numFmtId="0" xfId="0" applyAlignment="1" applyFont="1">
      <alignment horizontal="right" shrinkToFit="0" wrapText="0"/>
    </xf>
    <xf borderId="71" fillId="20" fontId="12" numFmtId="0" xfId="0" applyAlignment="1" applyBorder="1" applyFill="1" applyFont="1">
      <alignment shrinkToFit="0" wrapText="0"/>
    </xf>
    <xf borderId="72" fillId="20" fontId="13" numFmtId="0" xfId="0" applyAlignment="1" applyBorder="1" applyFont="1">
      <alignment shrinkToFit="0" wrapText="0"/>
    </xf>
    <xf borderId="73" fillId="20" fontId="13" numFmtId="0" xfId="0" applyAlignment="1" applyBorder="1" applyFont="1">
      <alignment shrinkToFit="0" wrapText="0"/>
    </xf>
    <xf borderId="11" fillId="0" fontId="17" numFmtId="0" xfId="0" applyAlignment="1" applyBorder="1" applyFont="1">
      <alignment shrinkToFit="0" wrapText="0"/>
    </xf>
    <xf borderId="74" fillId="4" fontId="13" numFmtId="0" xfId="0" applyAlignment="1" applyBorder="1" applyFont="1">
      <alignment horizontal="center" shrinkToFit="0" wrapText="0"/>
    </xf>
    <xf borderId="75" fillId="3" fontId="13" numFmtId="0" xfId="0" applyAlignment="1" applyBorder="1" applyFont="1">
      <alignment horizontal="center" readingOrder="0" shrinkToFit="0" vertical="center" wrapText="0"/>
    </xf>
    <xf borderId="64" fillId="0" fontId="13" numFmtId="0" xfId="0" applyAlignment="1" applyBorder="1" applyFont="1">
      <alignment shrinkToFit="0" wrapText="0"/>
    </xf>
    <xf borderId="1" fillId="4" fontId="13" numFmtId="0" xfId="0" applyAlignment="1" applyBorder="1" applyFont="1">
      <alignment horizontal="center" shrinkToFit="0" wrapText="0"/>
    </xf>
    <xf borderId="76" fillId="4" fontId="13" numFmtId="0" xfId="0" applyAlignment="1" applyBorder="1" applyFont="1">
      <alignment horizontal="center" shrinkToFit="0" vertical="center" wrapText="0"/>
    </xf>
    <xf borderId="1" fillId="18" fontId="18" numFmtId="0" xfId="0" applyAlignment="1" applyBorder="1" applyFont="1">
      <alignment shrinkToFit="0" wrapText="0"/>
    </xf>
    <xf borderId="69" fillId="21" fontId="13" numFmtId="0" xfId="0" applyAlignment="1" applyBorder="1" applyFill="1" applyFont="1">
      <alignment shrinkToFit="0" wrapText="0"/>
    </xf>
    <xf borderId="1" fillId="21" fontId="13" numFmtId="0" xfId="0" applyAlignment="1" applyBorder="1" applyFont="1">
      <alignment shrinkToFit="0" wrapText="0"/>
    </xf>
    <xf borderId="66" fillId="21" fontId="13" numFmtId="0" xfId="0" applyAlignment="1" applyBorder="1" applyFont="1">
      <alignment shrinkToFit="0" wrapText="0"/>
    </xf>
    <xf borderId="65" fillId="0" fontId="13" numFmtId="0" xfId="0" applyAlignment="1" applyBorder="1" applyFont="1">
      <alignment shrinkToFit="0" wrapText="0"/>
    </xf>
    <xf borderId="22" fillId="0" fontId="17" numFmtId="0" xfId="0" applyAlignment="1" applyBorder="1" applyFont="1">
      <alignment shrinkToFit="0" wrapText="0"/>
    </xf>
    <xf borderId="77" fillId="0" fontId="12" numFmtId="0" xfId="0" applyAlignment="1" applyBorder="1" applyFont="1">
      <alignment shrinkToFit="0" wrapText="0"/>
    </xf>
    <xf borderId="78" fillId="0" fontId="13" numFmtId="0" xfId="0" applyAlignment="1" applyBorder="1" applyFont="1">
      <alignment shrinkToFit="0" wrapText="0"/>
    </xf>
    <xf borderId="79" fillId="0" fontId="13" numFmtId="0" xfId="0" applyAlignment="1" applyBorder="1" applyFont="1">
      <alignment shrinkToFit="0" wrapText="0"/>
    </xf>
    <xf borderId="8" fillId="0" fontId="13" numFmtId="0" xfId="0" applyAlignment="1" applyBorder="1" applyFont="1">
      <alignment shrinkToFit="0" wrapText="0"/>
    </xf>
    <xf borderId="9" fillId="0" fontId="13" numFmtId="0" xfId="0" applyAlignment="1" applyBorder="1" applyFont="1">
      <alignment shrinkToFit="0" wrapText="0"/>
    </xf>
    <xf borderId="21" fillId="4" fontId="13" numFmtId="0" xfId="0" applyAlignment="1" applyBorder="1" applyFont="1">
      <alignment horizontal="center" readingOrder="0" shrinkToFit="0" vertical="center" wrapText="0"/>
    </xf>
    <xf borderId="0" fillId="4" fontId="23" numFmtId="0" xfId="0" applyAlignment="1" applyFont="1">
      <alignment horizontal="left" readingOrder="0"/>
    </xf>
    <xf borderId="80" fillId="0" fontId="13" numFmtId="0" xfId="0" applyAlignment="1" applyBorder="1" applyFont="1">
      <alignment horizontal="left" shrinkToFit="0" wrapText="1"/>
    </xf>
    <xf borderId="21" fillId="3" fontId="13" numFmtId="166" xfId="0" applyAlignment="1" applyBorder="1" applyFont="1" applyNumberFormat="1">
      <alignment horizontal="center" readingOrder="0" shrinkToFit="0" vertical="center" wrapText="0"/>
    </xf>
    <xf borderId="0" fillId="0" fontId="17" numFmtId="166" xfId="0" applyAlignment="1" applyFont="1" applyNumberFormat="1">
      <alignment shrinkToFit="0" wrapText="0"/>
    </xf>
    <xf borderId="20" fillId="7" fontId="13" numFmtId="0" xfId="0" applyAlignment="1" applyBorder="1" applyFont="1">
      <alignment horizontal="center" shrinkToFit="0" vertical="center" wrapText="0"/>
    </xf>
    <xf borderId="67" fillId="7" fontId="13" numFmtId="0" xfId="0" applyAlignment="1" applyBorder="1" applyFont="1">
      <alignment horizontal="center" shrinkToFit="0" vertical="center" wrapText="0"/>
    </xf>
    <xf borderId="1" fillId="4" fontId="13" numFmtId="0" xfId="0" applyAlignment="1" applyBorder="1" applyFont="1">
      <alignment shrinkToFit="0" wrapText="0"/>
    </xf>
    <xf borderId="1" fillId="4" fontId="18" numFmtId="0" xfId="0" applyAlignment="1" applyBorder="1" applyFont="1">
      <alignment shrinkToFit="0" wrapText="0"/>
    </xf>
    <xf borderId="69" fillId="4" fontId="13" numFmtId="0" xfId="0" applyAlignment="1" applyBorder="1" applyFont="1">
      <alignment shrinkToFit="0" wrapText="0"/>
    </xf>
    <xf borderId="66" fillId="4" fontId="13" numFmtId="0" xfId="0" applyAlignment="1" applyBorder="1" applyFont="1">
      <alignment shrinkToFit="0" wrapText="0"/>
    </xf>
    <xf borderId="1" fillId="22" fontId="13" numFmtId="0" xfId="0" applyAlignment="1" applyBorder="1" applyFill="1" applyFont="1">
      <alignment shrinkToFit="0" wrapText="0"/>
    </xf>
    <xf borderId="1" fillId="22" fontId="13" numFmtId="0" xfId="0" applyAlignment="1" applyBorder="1" applyFont="1">
      <alignment horizontal="center" shrinkToFit="0" vertical="center" wrapText="0"/>
    </xf>
    <xf borderId="1" fillId="4" fontId="24" numFmtId="0" xfId="0" applyAlignment="1" applyBorder="1" applyFont="1">
      <alignment shrinkToFit="0" wrapText="0"/>
    </xf>
    <xf borderId="69" fillId="4" fontId="24" numFmtId="0" xfId="0" applyAlignment="1" applyBorder="1" applyFont="1">
      <alignment shrinkToFit="0" wrapText="0"/>
    </xf>
    <xf borderId="66" fillId="4" fontId="24" numFmtId="0" xfId="0" applyAlignment="1" applyBorder="1" applyFont="1">
      <alignment shrinkToFit="0" wrapText="0"/>
    </xf>
    <xf borderId="1" fillId="4" fontId="25" numFmtId="0" xfId="0" applyAlignment="1" applyBorder="1" applyFont="1">
      <alignment shrinkToFit="0" wrapText="0"/>
    </xf>
    <xf borderId="1" fillId="21" fontId="13" numFmtId="166" xfId="0" applyAlignment="1" applyBorder="1" applyFont="1" applyNumberFormat="1">
      <alignment shrinkToFit="0" wrapText="0"/>
    </xf>
    <xf borderId="81" fillId="4" fontId="13" numFmtId="0" xfId="0" applyAlignment="1" applyBorder="1" applyFont="1">
      <alignment shrinkToFit="0" wrapText="0"/>
    </xf>
    <xf borderId="62" fillId="0" fontId="13" numFmtId="0" xfId="0" applyAlignment="1" applyBorder="1" applyFont="1">
      <alignment shrinkToFit="0" wrapText="0"/>
    </xf>
    <xf borderId="82" fillId="4" fontId="13" numFmtId="0" xfId="0" applyAlignment="1" applyBorder="1" applyFont="1">
      <alignment shrinkToFit="0" wrapText="0"/>
    </xf>
    <xf borderId="47" fillId="17" fontId="13" numFmtId="0" xfId="0" applyAlignment="1" applyBorder="1" applyFont="1">
      <alignment shrinkToFit="0" wrapText="0"/>
    </xf>
    <xf borderId="1" fillId="17" fontId="13" numFmtId="0" xfId="0" applyAlignment="1" applyBorder="1" applyFont="1">
      <alignment shrinkToFit="0" wrapText="0"/>
    </xf>
    <xf borderId="0" fillId="0" fontId="1" numFmtId="0" xfId="0" applyAlignment="1" applyFont="1">
      <alignment horizontal="center" shrinkToFit="0" vertical="center" wrapText="0"/>
    </xf>
    <xf borderId="0" fillId="0" fontId="0" numFmtId="0" xfId="0" applyAlignment="1" applyFont="1">
      <alignment shrinkToFit="0" wrapText="0"/>
    </xf>
    <xf borderId="0" fillId="0" fontId="2" numFmtId="49" xfId="0" applyAlignment="1" applyFont="1" applyNumberFormat="1">
      <alignment shrinkToFit="0" wrapText="0"/>
    </xf>
    <xf borderId="0" fillId="0" fontId="0" numFmtId="49" xfId="0" applyAlignment="1" applyFont="1" applyNumberFormat="1">
      <alignment shrinkToFit="0" wrapText="0"/>
    </xf>
    <xf borderId="1" fillId="8" fontId="1" numFmtId="0" xfId="0" applyAlignment="1" applyBorder="1" applyFont="1">
      <alignment shrinkToFit="0" wrapText="0"/>
    </xf>
    <xf borderId="4" fillId="0" fontId="1" numFmtId="0" xfId="0" applyAlignment="1" applyBorder="1" applyFont="1">
      <alignment horizontal="right" shrinkToFit="0" wrapText="0"/>
    </xf>
    <xf borderId="4" fillId="0" fontId="1" numFmtId="0" xfId="0" applyAlignment="1" applyBorder="1" applyFont="1">
      <alignment horizontal="left" shrinkToFit="0" wrapText="0"/>
    </xf>
    <xf borderId="1" fillId="23" fontId="1" numFmtId="0" xfId="0" applyAlignment="1" applyBorder="1" applyFill="1" applyFont="1">
      <alignment shrinkToFit="0" wrapText="0"/>
    </xf>
    <xf borderId="0" fillId="0" fontId="1" numFmtId="49" xfId="0" applyAlignment="1" applyFont="1" applyNumberFormat="1">
      <alignment horizontal="center" shrinkToFit="0" wrapText="0"/>
    </xf>
    <xf borderId="0" fillId="0" fontId="1" numFmtId="1" xfId="0" applyAlignment="1" applyFont="1" applyNumberFormat="1">
      <alignment shrinkToFit="0" wrapText="0"/>
    </xf>
    <xf borderId="6" fillId="0" fontId="1" numFmtId="0" xfId="0" applyAlignment="1" applyBorder="1" applyFont="1">
      <alignment horizontal="right" shrinkToFit="0" wrapText="0"/>
    </xf>
    <xf borderId="9" fillId="0" fontId="1" numFmtId="0" xfId="0" applyAlignment="1" applyBorder="1" applyFont="1">
      <alignment horizontal="right" shrinkToFit="0" wrapText="0"/>
    </xf>
    <xf borderId="9" fillId="0" fontId="1" numFmtId="0" xfId="0" applyAlignment="1" applyBorder="1" applyFont="1">
      <alignment horizontal="left" shrinkToFit="0" wrapText="0"/>
    </xf>
    <xf borderId="0" fillId="0" fontId="26" numFmtId="0" xfId="0" applyAlignment="1" applyFont="1">
      <alignment shrinkToFit="0" wrapText="0"/>
    </xf>
    <xf borderId="0" fillId="0" fontId="3" numFmtId="0" xfId="0" applyAlignment="1" applyFont="1">
      <alignment horizontal="center" shrinkToFit="0" wrapText="0"/>
    </xf>
    <xf borderId="0" fillId="0" fontId="3" numFmtId="0" xfId="0" applyAlignment="1" applyFont="1">
      <alignment horizontal="right" shrinkToFit="0" wrapText="0"/>
    </xf>
    <xf borderId="77" fillId="0" fontId="3" numFmtId="0" xfId="0" applyAlignment="1" applyBorder="1" applyFont="1">
      <alignment horizontal="center" shrinkToFit="0" wrapText="0"/>
    </xf>
    <xf borderId="78" fillId="0" fontId="3" numFmtId="0" xfId="0" applyAlignment="1" applyBorder="1" applyFont="1">
      <alignment horizontal="center" shrinkToFit="0" wrapText="0"/>
    </xf>
    <xf borderId="83" fillId="0" fontId="3" numFmtId="0" xfId="0" applyAlignment="1" applyBorder="1" applyFont="1">
      <alignment horizontal="center" shrinkToFit="0" wrapText="0"/>
    </xf>
    <xf borderId="84" fillId="12" fontId="3" numFmtId="0" xfId="0" applyAlignment="1" applyBorder="1" applyFont="1">
      <alignment horizontal="center" shrinkToFit="0" wrapText="0"/>
    </xf>
    <xf borderId="6" fillId="0" fontId="3" numFmtId="0" xfId="0" applyAlignment="1" applyBorder="1" applyFont="1">
      <alignment horizontal="left" shrinkToFit="0" wrapText="0"/>
    </xf>
    <xf borderId="1" fillId="23" fontId="3" numFmtId="0" xfId="0" applyAlignment="1" applyBorder="1" applyFont="1">
      <alignment horizontal="center" shrinkToFit="0" wrapText="0"/>
    </xf>
    <xf borderId="0" fillId="0" fontId="3" numFmtId="49" xfId="0" applyAlignment="1" applyFont="1" applyNumberFormat="1">
      <alignment horizontal="center" shrinkToFit="0" wrapText="0"/>
    </xf>
    <xf borderId="0" fillId="0" fontId="3" numFmtId="1" xfId="0" applyAlignment="1" applyFont="1" applyNumberFormat="1">
      <alignment horizontal="center" shrinkToFit="0" wrapText="0"/>
    </xf>
    <xf borderId="49" fillId="2" fontId="4" numFmtId="0" xfId="0" applyAlignment="1" applyBorder="1" applyFont="1">
      <alignment shrinkToFit="0" wrapText="0"/>
    </xf>
    <xf borderId="65" fillId="0" fontId="1" numFmtId="0" xfId="0" applyAlignment="1" applyBorder="1" applyFont="1">
      <alignment shrinkToFit="0" wrapText="0"/>
    </xf>
    <xf borderId="48" fillId="12" fontId="1" numFmtId="0" xfId="0" applyAlignment="1" applyBorder="1" applyFont="1">
      <alignment shrinkToFit="0" wrapText="0"/>
    </xf>
    <xf borderId="16" fillId="2" fontId="4" numFmtId="0" xfId="0" applyAlignment="1" applyBorder="1" applyFont="1">
      <alignment shrinkToFit="0" wrapText="0"/>
    </xf>
    <xf borderId="8" fillId="0" fontId="1" numFmtId="0" xfId="0" applyAlignment="1" applyBorder="1" applyFont="1">
      <alignment horizontal="center" shrinkToFit="0" wrapText="0"/>
    </xf>
    <xf borderId="8" fillId="0" fontId="1" numFmtId="49" xfId="0" applyAlignment="1" applyBorder="1" applyFont="1" applyNumberFormat="1">
      <alignment shrinkToFit="0" wrapText="0"/>
    </xf>
    <xf borderId="8" fillId="0" fontId="1" numFmtId="1" xfId="0" applyAlignment="1" applyBorder="1" applyFont="1" applyNumberFormat="1">
      <alignment shrinkToFit="0" wrapText="0"/>
    </xf>
    <xf borderId="24" fillId="2" fontId="4" numFmtId="0" xfId="0" applyAlignment="1" applyBorder="1" applyFont="1">
      <alignment shrinkToFit="0" wrapText="0"/>
    </xf>
    <xf borderId="22" fillId="0" fontId="1" numFmtId="0" xfId="0" applyAlignment="1" applyBorder="1" applyFont="1">
      <alignment shrinkToFit="0" wrapText="0"/>
    </xf>
    <xf borderId="62" fillId="0" fontId="1" numFmtId="0" xfId="0" applyAlignment="1" applyBorder="1" applyFont="1">
      <alignment shrinkToFit="0" wrapText="0"/>
    </xf>
    <xf borderId="54" fillId="12" fontId="1" numFmtId="0" xfId="0" applyAlignment="1" applyBorder="1" applyFont="1">
      <alignment shrinkToFit="0" wrapText="0"/>
    </xf>
    <xf borderId="0" fillId="0" fontId="27" numFmtId="0" xfId="0" applyAlignment="1" applyFont="1">
      <alignment shrinkToFit="0" wrapText="0"/>
    </xf>
    <xf borderId="6" fillId="0" fontId="13" numFmtId="0" xfId="0" applyAlignment="1" applyBorder="1" applyFont="1">
      <alignment horizontal="left" shrinkToFit="0" wrapText="0"/>
    </xf>
    <xf borderId="1" fillId="2" fontId="1" numFmtId="0" xfId="0" applyAlignment="1" applyBorder="1" applyFont="1">
      <alignment horizontal="left" shrinkToFit="0" wrapText="0"/>
    </xf>
    <xf borderId="1" fillId="2" fontId="1" numFmtId="1" xfId="0" applyAlignment="1" applyBorder="1" applyFont="1" applyNumberFormat="1">
      <alignment shrinkToFit="0" wrapText="0"/>
    </xf>
    <xf borderId="1" fillId="2" fontId="13" numFmtId="0" xfId="0" applyAlignment="1" applyBorder="1" applyFont="1">
      <alignment shrinkToFit="0" wrapText="0"/>
    </xf>
    <xf borderId="1" fillId="2" fontId="1" numFmtId="49" xfId="0" applyAlignment="1" applyBorder="1" applyFont="1" applyNumberFormat="1">
      <alignment horizontal="center" shrinkToFit="0" wrapText="0"/>
    </xf>
    <xf borderId="1" fillId="2" fontId="1" numFmtId="49" xfId="0" applyAlignment="1" applyBorder="1" applyFont="1" applyNumberFormat="1">
      <alignment shrinkToFit="0" wrapText="0"/>
    </xf>
    <xf borderId="2" fillId="0" fontId="2" numFmtId="1" xfId="0" applyAlignment="1" applyBorder="1" applyFont="1" applyNumberFormat="1">
      <alignment shrinkToFit="0" wrapText="0"/>
    </xf>
    <xf borderId="3" fillId="0" fontId="2" numFmtId="1" xfId="0" applyAlignment="1" applyBorder="1" applyFont="1" applyNumberFormat="1">
      <alignment shrinkToFit="0" wrapText="0"/>
    </xf>
    <xf borderId="17" fillId="8" fontId="8" numFmtId="0" xfId="0" applyAlignment="1" applyBorder="1" applyFont="1">
      <alignment horizontal="right" shrinkToFit="0" wrapText="0"/>
    </xf>
    <xf borderId="85" fillId="0" fontId="13" numFmtId="0" xfId="0" applyAlignment="1" applyBorder="1" applyFont="1">
      <alignment horizontal="center" shrinkToFit="0" wrapText="0"/>
    </xf>
    <xf borderId="2" fillId="0" fontId="3" numFmtId="0" xfId="0" applyAlignment="1" applyBorder="1" applyFont="1">
      <alignment horizontal="center" shrinkToFit="0" wrapText="0"/>
    </xf>
    <xf borderId="86" fillId="0" fontId="1" numFmtId="0" xfId="0" applyAlignment="1" applyBorder="1" applyFont="1">
      <alignment horizontal="center" shrinkToFit="0" wrapText="0"/>
    </xf>
    <xf borderId="68" fillId="0" fontId="3" numFmtId="0" xfId="0" applyAlignment="1" applyBorder="1" applyFont="1">
      <alignment horizontal="center" shrinkToFit="0" wrapText="0"/>
    </xf>
    <xf borderId="87" fillId="4" fontId="3" numFmtId="0" xfId="0" applyAlignment="1" applyBorder="1" applyFont="1">
      <alignment shrinkToFit="0" wrapText="0"/>
    </xf>
    <xf borderId="78" fillId="0" fontId="1" numFmtId="0" xfId="0" applyAlignment="1" applyBorder="1" applyFont="1">
      <alignment shrinkToFit="0" wrapText="0"/>
    </xf>
    <xf borderId="78" fillId="0" fontId="1" numFmtId="0" xfId="0" applyAlignment="1" applyBorder="1" applyFont="1">
      <alignment horizontal="right" shrinkToFit="0" wrapText="0"/>
    </xf>
    <xf borderId="83" fillId="0" fontId="1" numFmtId="0" xfId="0" applyAlignment="1" applyBorder="1" applyFont="1">
      <alignment shrinkToFit="0" wrapText="0"/>
    </xf>
    <xf borderId="1" fillId="10" fontId="1" numFmtId="0" xfId="0" applyAlignment="1" applyBorder="1" applyFont="1">
      <alignment shrinkToFit="0" wrapText="0"/>
    </xf>
    <xf borderId="18" fillId="0" fontId="12" numFmtId="0" xfId="0" applyAlignment="1" applyBorder="1" applyFont="1">
      <alignment horizontal="center" shrinkToFit="0" wrapText="0"/>
    </xf>
    <xf borderId="19" fillId="0" fontId="13" numFmtId="0" xfId="0" applyAlignment="1" applyBorder="1" applyFont="1">
      <alignment horizontal="center" shrinkToFit="0" wrapText="0"/>
    </xf>
    <xf borderId="64" fillId="0" fontId="13" numFmtId="0" xfId="0" applyAlignment="1" applyBorder="1" applyFont="1">
      <alignment horizontal="center" shrinkToFit="0" wrapText="0"/>
    </xf>
    <xf borderId="85" fillId="0" fontId="13" numFmtId="1" xfId="0" applyAlignment="1" applyBorder="1" applyFont="1" applyNumberFormat="1">
      <alignment horizontal="center" shrinkToFit="0" wrapText="0"/>
    </xf>
    <xf borderId="16" fillId="12" fontId="3" numFmtId="0" xfId="0" applyAlignment="1" applyBorder="1" applyFont="1">
      <alignment horizontal="center" shrinkToFit="0" wrapText="0"/>
    </xf>
    <xf borderId="88" fillId="12" fontId="1" numFmtId="0" xfId="0" applyAlignment="1" applyBorder="1" applyFont="1">
      <alignment horizontal="center" shrinkToFit="0" wrapText="0"/>
    </xf>
    <xf borderId="48" fillId="2" fontId="3" numFmtId="0" xfId="0" applyAlignment="1" applyBorder="1" applyFont="1">
      <alignment horizontal="center" shrinkToFit="0" wrapText="0"/>
    </xf>
    <xf borderId="88" fillId="16" fontId="1" numFmtId="0" xfId="0" applyAlignment="1" applyBorder="1" applyFont="1">
      <alignment horizontal="right" shrinkToFit="0" wrapText="0"/>
    </xf>
    <xf borderId="11" fillId="0" fontId="13" numFmtId="0" xfId="0" applyAlignment="1" applyBorder="1" applyFont="1">
      <alignment horizontal="center" shrinkToFit="0" wrapText="0"/>
    </xf>
    <xf borderId="65" fillId="0" fontId="13" numFmtId="0" xfId="0" applyAlignment="1" applyBorder="1" applyFont="1">
      <alignment horizontal="center" shrinkToFit="0" wrapText="0"/>
    </xf>
    <xf borderId="5" fillId="0" fontId="3" numFmtId="0" xfId="0" applyAlignment="1" applyBorder="1" applyFont="1">
      <alignment horizontal="center" shrinkToFit="0" wrapText="0"/>
    </xf>
    <xf borderId="89" fillId="0" fontId="1" numFmtId="0" xfId="0" applyAlignment="1" applyBorder="1" applyFont="1">
      <alignment horizontal="center" shrinkToFit="0" wrapText="0"/>
    </xf>
    <xf borderId="10" fillId="16" fontId="1" numFmtId="0" xfId="0" applyAlignment="1" applyBorder="1" applyFont="1">
      <alignment horizontal="right" shrinkToFit="0" wrapText="0"/>
    </xf>
    <xf borderId="10" fillId="12" fontId="1" numFmtId="0" xfId="0" applyAlignment="1" applyBorder="1" applyFont="1">
      <alignment shrinkToFit="0" wrapText="0"/>
    </xf>
    <xf borderId="21" fillId="12" fontId="1" numFmtId="0" xfId="0" applyAlignment="1" applyBorder="1" applyFont="1">
      <alignment shrinkToFit="0" wrapText="0"/>
    </xf>
    <xf borderId="18" fillId="0" fontId="12" numFmtId="0" xfId="0" applyAlignment="1" applyBorder="1" applyFont="1">
      <alignment horizontal="left" shrinkToFit="0" wrapText="0"/>
    </xf>
    <xf borderId="64" fillId="0" fontId="1" numFmtId="0" xfId="0" applyAlignment="1" applyBorder="1" applyFont="1">
      <alignment shrinkToFit="0" wrapText="0"/>
    </xf>
    <xf borderId="10" fillId="16" fontId="13" numFmtId="0" xfId="0" applyAlignment="1" applyBorder="1" applyFont="1">
      <alignment horizontal="center" shrinkToFit="0" wrapText="0"/>
    </xf>
    <xf borderId="42" fillId="0" fontId="3" numFmtId="0" xfId="0" applyAlignment="1" applyBorder="1" applyFont="1">
      <alignment horizontal="center" shrinkToFit="0" wrapText="0"/>
    </xf>
    <xf borderId="43" fillId="0" fontId="3" numFmtId="0" xfId="0" applyAlignment="1" applyBorder="1" applyFont="1">
      <alignment horizontal="center" shrinkToFit="0" wrapText="0"/>
    </xf>
    <xf borderId="44" fillId="0" fontId="3" numFmtId="0" xfId="0" applyAlignment="1" applyBorder="1" applyFont="1">
      <alignment horizontal="center" shrinkToFit="0" wrapText="0"/>
    </xf>
    <xf borderId="11" fillId="0" fontId="3" numFmtId="0" xfId="0" applyAlignment="1" applyBorder="1" applyFont="1">
      <alignment horizontal="left" shrinkToFit="0" wrapText="0"/>
    </xf>
    <xf borderId="65" fillId="0" fontId="3" numFmtId="0" xfId="0" applyAlignment="1" applyBorder="1" applyFont="1">
      <alignment horizontal="center" shrinkToFit="0" wrapText="0"/>
    </xf>
    <xf borderId="0" fillId="0" fontId="3" numFmtId="9" xfId="0" applyAlignment="1" applyFont="1" applyNumberFormat="1">
      <alignment horizontal="center" shrinkToFit="0" wrapText="0"/>
    </xf>
    <xf borderId="11" fillId="0" fontId="3" numFmtId="0" xfId="0" applyAlignment="1" applyBorder="1" applyFont="1">
      <alignment shrinkToFit="0" wrapText="0"/>
    </xf>
    <xf borderId="4" fillId="0" fontId="1" numFmtId="0" xfId="0" applyAlignment="1" applyBorder="1" applyFont="1">
      <alignment horizontal="center" shrinkToFit="0" wrapText="0"/>
    </xf>
    <xf borderId="65" fillId="0" fontId="1" numFmtId="0" xfId="0" applyAlignment="1" applyBorder="1" applyFont="1">
      <alignment horizontal="center" shrinkToFit="0" wrapText="0"/>
    </xf>
    <xf borderId="90" fillId="0" fontId="3" numFmtId="0" xfId="0" applyAlignment="1" applyBorder="1" applyFont="1">
      <alignment horizontal="center" shrinkToFit="0" wrapText="0"/>
    </xf>
    <xf borderId="60" fillId="0" fontId="3" numFmtId="0" xfId="0" applyAlignment="1" applyBorder="1" applyFont="1">
      <alignment horizontal="center" shrinkToFit="0" wrapText="0"/>
    </xf>
    <xf borderId="19" fillId="0" fontId="3" numFmtId="0" xfId="0" applyAlignment="1" applyBorder="1" applyFont="1">
      <alignment horizontal="center" shrinkToFit="0" wrapText="0"/>
    </xf>
    <xf borderId="89" fillId="0" fontId="3" numFmtId="0" xfId="0" applyAlignment="1" applyBorder="1" applyFont="1">
      <alignment horizontal="center" shrinkToFit="0" wrapText="0"/>
    </xf>
    <xf borderId="64" fillId="0" fontId="3" numFmtId="1" xfId="0" applyAlignment="1" applyBorder="1" applyFont="1" applyNumberFormat="1">
      <alignment horizontal="center" shrinkToFit="0" wrapText="0"/>
    </xf>
    <xf borderId="11" fillId="0" fontId="13" numFmtId="49" xfId="0" applyAlignment="1" applyBorder="1" applyFont="1" applyNumberFormat="1">
      <alignment horizontal="center" shrinkToFit="0" wrapText="0"/>
    </xf>
    <xf borderId="17" fillId="12" fontId="1" numFmtId="0" xfId="0" applyAlignment="1" applyBorder="1" applyFont="1">
      <alignment horizontal="center" shrinkToFit="0" wrapText="0"/>
    </xf>
    <xf borderId="74" fillId="3" fontId="3" numFmtId="0" xfId="0" applyAlignment="1" applyBorder="1" applyFont="1">
      <alignment horizontal="left" shrinkToFit="0" wrapText="0"/>
    </xf>
    <xf borderId="10" fillId="16" fontId="13" numFmtId="165" xfId="0" applyAlignment="1" applyBorder="1" applyFont="1" applyNumberFormat="1">
      <alignment horizontal="center" shrinkToFit="0" wrapText="0"/>
    </xf>
    <xf borderId="69" fillId="2" fontId="1" numFmtId="0" xfId="0" applyAlignment="1" applyBorder="1" applyFont="1">
      <alignment shrinkToFit="0" wrapText="0"/>
    </xf>
    <xf borderId="66" fillId="2" fontId="1" numFmtId="0" xfId="0" applyAlignment="1" applyBorder="1" applyFont="1">
      <alignment shrinkToFit="0" wrapText="0"/>
    </xf>
    <xf borderId="16" fillId="2" fontId="3" numFmtId="0" xfId="0" applyAlignment="1" applyBorder="1" applyFont="1">
      <alignment horizontal="center" shrinkToFit="0" wrapText="0"/>
    </xf>
    <xf borderId="88" fillId="2" fontId="1" numFmtId="0" xfId="0" applyAlignment="1" applyBorder="1" applyFont="1">
      <alignment horizontal="center" shrinkToFit="0" wrapText="0"/>
    </xf>
    <xf borderId="17" fillId="2" fontId="1" numFmtId="0" xfId="0" applyAlignment="1" applyBorder="1" applyFont="1">
      <alignment horizontal="center" shrinkToFit="0" wrapText="0"/>
    </xf>
    <xf borderId="69" fillId="2" fontId="3" numFmtId="0" xfId="0" applyAlignment="1" applyBorder="1" applyFont="1">
      <alignment horizontal="left" shrinkToFit="0" wrapText="0"/>
    </xf>
    <xf borderId="66" fillId="2" fontId="1" numFmtId="0" xfId="0" applyAlignment="1" applyBorder="1" applyFont="1">
      <alignment horizontal="center" shrinkToFit="0" wrapText="0"/>
    </xf>
    <xf borderId="49" fillId="2" fontId="1" numFmtId="0" xfId="0" applyAlignment="1" applyBorder="1" applyFont="1">
      <alignment horizontal="center" shrinkToFit="0" wrapText="0"/>
    </xf>
    <xf borderId="27" fillId="2" fontId="1" numFmtId="0" xfId="0" applyAlignment="1" applyBorder="1" applyFont="1">
      <alignment horizontal="center" shrinkToFit="0" wrapText="0"/>
    </xf>
    <xf borderId="12" fillId="2" fontId="1" numFmtId="1" xfId="0" applyAlignment="1" applyBorder="1" applyFont="1" applyNumberFormat="1">
      <alignment horizontal="center" shrinkToFit="0" wrapText="0"/>
    </xf>
    <xf borderId="1" fillId="2" fontId="1" numFmtId="1" xfId="0" applyAlignment="1" applyBorder="1" applyFont="1" applyNumberFormat="1">
      <alignment horizontal="center" shrinkToFit="0" wrapText="0"/>
    </xf>
    <xf borderId="74" fillId="2" fontId="3" numFmtId="0" xfId="0" applyAlignment="1" applyBorder="1" applyFont="1">
      <alignment shrinkToFit="0" wrapText="0"/>
    </xf>
    <xf borderId="66" fillId="2" fontId="13" numFmtId="0" xfId="0" applyAlignment="1" applyBorder="1" applyFont="1">
      <alignment horizontal="center" shrinkToFit="0" wrapText="0"/>
    </xf>
    <xf borderId="91" fillId="2" fontId="13" numFmtId="1" xfId="0" applyAlignment="1" applyBorder="1" applyFont="1" applyNumberFormat="1">
      <alignment horizontal="center" shrinkToFit="0" wrapText="0"/>
    </xf>
    <xf borderId="74" fillId="3" fontId="3" numFmtId="165" xfId="0" applyAlignment="1" applyBorder="1" applyFont="1" applyNumberFormat="1">
      <alignment horizontal="left" shrinkToFit="0" wrapText="0"/>
    </xf>
    <xf borderId="5" fillId="0" fontId="1" numFmtId="0" xfId="0" applyAlignment="1" applyBorder="1" applyFont="1">
      <alignment horizontal="center" shrinkToFit="0" wrapText="0"/>
    </xf>
    <xf borderId="6" fillId="0" fontId="1" numFmtId="0" xfId="0" applyAlignment="1" applyBorder="1" applyFont="1">
      <alignment horizontal="center" shrinkToFit="0" wrapText="0"/>
    </xf>
    <xf borderId="89" fillId="0" fontId="1" numFmtId="1" xfId="0" applyAlignment="1" applyBorder="1" applyFont="1" applyNumberFormat="1">
      <alignment horizontal="center" shrinkToFit="0" wrapText="0"/>
    </xf>
    <xf borderId="0" fillId="0" fontId="1" numFmtId="1" xfId="0" applyAlignment="1" applyFont="1" applyNumberFormat="1">
      <alignment horizontal="center" shrinkToFit="0" wrapText="0"/>
    </xf>
    <xf borderId="1" fillId="16" fontId="1" numFmtId="0" xfId="0" applyAlignment="1" applyBorder="1" applyFont="1">
      <alignment shrinkToFit="0" wrapText="0"/>
    </xf>
    <xf borderId="10" fillId="16" fontId="1" numFmtId="0" xfId="0" applyAlignment="1" applyBorder="1" applyFont="1">
      <alignment shrinkToFit="0" wrapText="0"/>
    </xf>
    <xf borderId="16" fillId="2" fontId="1" numFmtId="0" xfId="0" applyAlignment="1" applyBorder="1" applyFont="1">
      <alignment horizontal="center" shrinkToFit="0" wrapText="0"/>
    </xf>
    <xf borderId="88" fillId="2" fontId="1" numFmtId="1" xfId="0" applyAlignment="1" applyBorder="1" applyFont="1" applyNumberFormat="1">
      <alignment horizontal="center" shrinkToFit="0" wrapText="0"/>
    </xf>
    <xf borderId="74" fillId="3" fontId="3" numFmtId="165" xfId="0" applyAlignment="1" applyBorder="1" applyFont="1" applyNumberFormat="1">
      <alignment shrinkToFit="0" wrapText="0"/>
    </xf>
    <xf borderId="0" fillId="0" fontId="17" numFmtId="0" xfId="0" applyAlignment="1" applyFont="1">
      <alignment horizontal="center" shrinkToFit="0" wrapText="0"/>
    </xf>
    <xf borderId="65" fillId="0" fontId="17" numFmtId="0" xfId="0" applyAlignment="1" applyBorder="1" applyFont="1">
      <alignment horizontal="center" shrinkToFit="0" wrapText="0"/>
    </xf>
    <xf borderId="89" fillId="0" fontId="13" numFmtId="1" xfId="0" applyAlignment="1" applyBorder="1" applyFont="1" applyNumberFormat="1">
      <alignment horizontal="center" shrinkToFit="0" wrapText="0"/>
    </xf>
    <xf borderId="10" fillId="2" fontId="1" numFmtId="167" xfId="0" applyAlignment="1" applyBorder="1" applyFont="1" applyNumberFormat="1">
      <alignment shrinkToFit="0" wrapText="0"/>
    </xf>
    <xf borderId="21" fillId="2" fontId="1" numFmtId="0" xfId="0" applyAlignment="1" applyBorder="1" applyFont="1">
      <alignment shrinkToFit="0" wrapText="0"/>
    </xf>
    <xf borderId="69" fillId="2" fontId="3" numFmtId="0" xfId="0" applyAlignment="1" applyBorder="1" applyFont="1">
      <alignment shrinkToFit="0" wrapText="0"/>
    </xf>
    <xf borderId="1" fillId="2" fontId="17" numFmtId="0" xfId="0" applyAlignment="1" applyBorder="1" applyFont="1">
      <alignment horizontal="center" shrinkToFit="0" wrapText="0"/>
    </xf>
    <xf borderId="66" fillId="2" fontId="17" numFmtId="0" xfId="0" applyAlignment="1" applyBorder="1" applyFont="1">
      <alignment horizontal="center" shrinkToFit="0" wrapText="0"/>
    </xf>
    <xf borderId="74" fillId="2" fontId="3" numFmtId="0" xfId="0" applyAlignment="1" applyBorder="1" applyFont="1">
      <alignment horizontal="left" shrinkToFit="0" wrapText="0"/>
    </xf>
    <xf borderId="69" fillId="2" fontId="13" numFmtId="49" xfId="0" applyAlignment="1" applyBorder="1" applyFont="1" applyNumberFormat="1">
      <alignment horizontal="center" shrinkToFit="0" wrapText="0"/>
    </xf>
    <xf borderId="0" fillId="0" fontId="28" numFmtId="0" xfId="0" applyAlignment="1" applyFont="1">
      <alignment shrinkToFit="0" wrapText="0"/>
    </xf>
    <xf borderId="49" fillId="2" fontId="1" numFmtId="0" xfId="0" applyAlignment="1" applyBorder="1" applyFont="1">
      <alignment shrinkToFit="0" wrapText="0"/>
    </xf>
    <xf borderId="74" fillId="3" fontId="3" numFmtId="0" xfId="0" applyAlignment="1" applyBorder="1" applyFont="1">
      <alignment shrinkToFit="0" wrapText="0"/>
    </xf>
    <xf borderId="0" fillId="0" fontId="2" numFmtId="0" xfId="0" applyAlignment="1" applyFont="1">
      <alignment horizontal="right" shrinkToFit="0" wrapText="0"/>
    </xf>
    <xf borderId="3" fillId="0" fontId="1" numFmtId="0" xfId="0" applyAlignment="1" applyBorder="1" applyFont="1">
      <alignment horizontal="right" shrinkToFit="0" wrapText="0"/>
    </xf>
    <xf borderId="10" fillId="3" fontId="2" numFmtId="0" xfId="0" applyAlignment="1" applyBorder="1" applyFont="1">
      <alignment horizontal="right" shrinkToFit="0" wrapText="0"/>
    </xf>
    <xf borderId="62" fillId="0" fontId="17" numFmtId="0" xfId="0" applyAlignment="1" applyBorder="1" applyFont="1">
      <alignment horizontal="center" shrinkToFit="0" wrapText="0"/>
    </xf>
    <xf borderId="10" fillId="3" fontId="2" numFmtId="165" xfId="0" applyAlignment="1" applyBorder="1" applyFont="1" applyNumberFormat="1">
      <alignment shrinkToFit="0" wrapText="0"/>
    </xf>
    <xf borderId="23" fillId="0" fontId="17" numFmtId="0" xfId="0" applyAlignment="1" applyBorder="1" applyFont="1">
      <alignment shrinkToFit="0" wrapText="0"/>
    </xf>
    <xf borderId="92" fillId="0" fontId="13" numFmtId="0" xfId="0" applyAlignment="1" applyBorder="1" applyFont="1">
      <alignment horizontal="left" shrinkToFit="0" wrapText="0"/>
    </xf>
    <xf borderId="10" fillId="16" fontId="2" numFmtId="0" xfId="0" applyAlignment="1" applyBorder="1" applyFont="1">
      <alignment shrinkToFit="0" wrapText="0"/>
    </xf>
    <xf borderId="5" fillId="0" fontId="1" numFmtId="0" xfId="0" applyAlignment="1" applyBorder="1" applyFont="1">
      <alignment horizontal="right" shrinkToFit="0" wrapText="0"/>
    </xf>
    <xf borderId="18" fillId="0" fontId="13" numFmtId="0" xfId="0" applyAlignment="1" applyBorder="1" applyFont="1">
      <alignment horizontal="center" shrinkToFit="0" wrapText="0"/>
    </xf>
    <xf borderId="17" fillId="2" fontId="1" numFmtId="0" xfId="0" applyAlignment="1" applyBorder="1" applyFont="1">
      <alignment shrinkToFit="0" wrapText="0"/>
    </xf>
    <xf borderId="1" fillId="2" fontId="2" numFmtId="0" xfId="0" applyAlignment="1" applyBorder="1" applyFont="1">
      <alignment horizontal="center" shrinkToFit="0" wrapText="0"/>
    </xf>
    <xf borderId="66" fillId="2" fontId="2" numFmtId="0" xfId="0" applyAlignment="1" applyBorder="1" applyFont="1">
      <alignment horizontal="center" shrinkToFit="0" wrapText="0"/>
    </xf>
    <xf borderId="17" fillId="2" fontId="13" numFmtId="0" xfId="0" applyAlignment="1" applyBorder="1" applyFont="1">
      <alignment horizontal="center" shrinkToFit="0" wrapText="0"/>
    </xf>
    <xf borderId="93" fillId="2" fontId="13" numFmtId="0" xfId="0" applyAlignment="1" applyBorder="1" applyFont="1">
      <alignment horizontal="center" shrinkToFit="0" wrapText="0"/>
    </xf>
    <xf borderId="69" fillId="2" fontId="13" numFmtId="0" xfId="0" applyAlignment="1" applyBorder="1" applyFont="1">
      <alignment horizontal="center" shrinkToFit="0" wrapText="0"/>
    </xf>
    <xf borderId="6" fillId="0" fontId="13" numFmtId="0" xfId="0" applyAlignment="1" applyBorder="1" applyFont="1">
      <alignment horizontal="center" shrinkToFit="0" wrapText="0"/>
    </xf>
    <xf borderId="8" fillId="0" fontId="13" numFmtId="0" xfId="0" applyAlignment="1" applyBorder="1" applyFont="1">
      <alignment horizontal="center" shrinkToFit="0" wrapText="0"/>
    </xf>
    <xf borderId="94" fillId="0" fontId="13" numFmtId="0" xfId="0" applyAlignment="1" applyBorder="1" applyFont="1">
      <alignment horizontal="center" shrinkToFit="0" wrapText="0"/>
    </xf>
    <xf borderId="11" fillId="0" fontId="17" numFmtId="0" xfId="0" applyAlignment="1" applyBorder="1" applyFont="1">
      <alignment horizontal="center" shrinkToFit="0" wrapText="0"/>
    </xf>
    <xf borderId="14" fillId="2" fontId="13" numFmtId="0" xfId="0" applyAlignment="1" applyBorder="1" applyFont="1">
      <alignment horizontal="center" shrinkToFit="0" wrapText="0"/>
    </xf>
    <xf borderId="95" fillId="2" fontId="13" numFmtId="0" xfId="0" applyAlignment="1" applyBorder="1" applyFont="1">
      <alignment horizontal="center" shrinkToFit="0" wrapText="0"/>
    </xf>
    <xf borderId="25" fillId="2" fontId="1" numFmtId="0" xfId="0" applyAlignment="1" applyBorder="1" applyFont="1">
      <alignment horizontal="left" shrinkToFit="0" wrapText="0"/>
    </xf>
    <xf borderId="0" fillId="0" fontId="1" numFmtId="165" xfId="0" applyAlignment="1" applyFont="1" applyNumberFormat="1">
      <alignment horizontal="right" shrinkToFit="0" wrapText="0"/>
    </xf>
    <xf borderId="43" fillId="0" fontId="13" numFmtId="0" xfId="0" applyAlignment="1" applyBorder="1" applyFont="1">
      <alignment horizontal="center" shrinkToFit="0" wrapText="0"/>
    </xf>
    <xf borderId="96" fillId="0" fontId="13" numFmtId="0" xfId="0" applyAlignment="1" applyBorder="1" applyFont="1">
      <alignment horizontal="center" shrinkToFit="0" wrapText="0"/>
    </xf>
    <xf borderId="1" fillId="2" fontId="2" numFmtId="0" xfId="0" applyAlignment="1" applyBorder="1" applyFont="1">
      <alignment shrinkToFit="0" wrapText="0"/>
    </xf>
    <xf borderId="66" fillId="2" fontId="2" numFmtId="0" xfId="0" applyAlignment="1" applyBorder="1" applyFont="1">
      <alignment shrinkToFit="0" wrapText="0"/>
    </xf>
    <xf borderId="81" fillId="2" fontId="13" numFmtId="0" xfId="0" applyAlignment="1" applyBorder="1" applyFont="1">
      <alignment horizontal="center" shrinkToFit="0" wrapText="0"/>
    </xf>
    <xf borderId="97" fillId="2" fontId="17" numFmtId="0" xfId="0" applyAlignment="1" applyBorder="1" applyFont="1">
      <alignment horizontal="center" shrinkToFit="0" wrapText="0"/>
    </xf>
    <xf borderId="16" fillId="2" fontId="1" numFmtId="0" xfId="0" applyAlignment="1" applyBorder="1" applyFont="1">
      <alignment horizontal="right" shrinkToFit="0" wrapText="0"/>
    </xf>
    <xf borderId="24" fillId="12" fontId="3" numFmtId="0" xfId="0" applyAlignment="1" applyBorder="1" applyFont="1">
      <alignment horizontal="center" shrinkToFit="0" wrapText="0"/>
    </xf>
    <xf borderId="98" fillId="12" fontId="1" numFmtId="0" xfId="0" applyAlignment="1" applyBorder="1" applyFont="1">
      <alignment horizontal="center" shrinkToFit="0" wrapText="0"/>
    </xf>
    <xf borderId="65" fillId="0" fontId="2" numFmtId="0" xfId="0" applyAlignment="1" applyBorder="1" applyFont="1">
      <alignment shrinkToFit="0" wrapText="0"/>
    </xf>
    <xf borderId="2" fillId="0" fontId="1" numFmtId="0" xfId="0" applyAlignment="1" applyBorder="1" applyFont="1">
      <alignment horizontal="center" shrinkToFit="0" wrapText="0"/>
    </xf>
    <xf borderId="7" fillId="0" fontId="1" numFmtId="0" xfId="0" applyAlignment="1" applyBorder="1" applyFont="1">
      <alignment horizontal="right" shrinkToFit="0" wrapText="0"/>
    </xf>
    <xf borderId="8" fillId="0" fontId="1" numFmtId="165" xfId="0" applyAlignment="1" applyBorder="1" applyFont="1" applyNumberFormat="1">
      <alignment horizontal="right" shrinkToFit="0" wrapText="0"/>
    </xf>
    <xf borderId="22" fillId="0" fontId="3" numFmtId="0" xfId="0" applyAlignment="1" applyBorder="1" applyFont="1">
      <alignment horizontal="left" shrinkToFit="0" wrapText="0"/>
    </xf>
    <xf borderId="23" fillId="0" fontId="1" numFmtId="0" xfId="0" applyAlignment="1" applyBorder="1" applyFont="1">
      <alignment horizontal="center" shrinkToFit="0" wrapText="0"/>
    </xf>
    <xf borderId="23" fillId="0" fontId="2" numFmtId="0" xfId="0" applyAlignment="1" applyBorder="1" applyFont="1">
      <alignment horizontal="center" shrinkToFit="0" wrapText="0"/>
    </xf>
    <xf borderId="62" fillId="0" fontId="2" numFmtId="0" xfId="0" applyAlignment="1" applyBorder="1" applyFont="1">
      <alignment horizontal="center" shrinkToFit="0" wrapText="0"/>
    </xf>
    <xf borderId="16" fillId="12" fontId="1" numFmtId="0" xfId="0" applyAlignment="1" applyBorder="1" applyFont="1">
      <alignment horizontal="center" shrinkToFit="0" wrapText="0"/>
    </xf>
    <xf borderId="54" fillId="2" fontId="3" numFmtId="0" xfId="0" applyAlignment="1" applyBorder="1" applyFont="1">
      <alignment horizontal="center" shrinkToFit="0" wrapText="0"/>
    </xf>
    <xf borderId="55" fillId="2" fontId="1" numFmtId="0" xfId="0" applyAlignment="1" applyBorder="1" applyFont="1">
      <alignment horizontal="center" shrinkToFit="0" wrapText="0"/>
    </xf>
    <xf borderId="0" fillId="0" fontId="3" numFmtId="0" xfId="0" applyAlignment="1" applyFont="1">
      <alignment horizontal="left" shrinkToFit="0" wrapText="0"/>
    </xf>
    <xf borderId="25" fillId="2" fontId="1" numFmtId="0" xfId="0" applyAlignment="1" applyBorder="1" applyFont="1">
      <alignment horizontal="right" shrinkToFit="0" wrapText="0"/>
    </xf>
    <xf borderId="26" fillId="12" fontId="1" numFmtId="0" xfId="0" applyAlignment="1" applyBorder="1" applyFont="1">
      <alignment horizontal="center" shrinkToFit="0" wrapText="0"/>
    </xf>
    <xf borderId="0" fillId="0" fontId="5" numFmtId="0" xfId="0" applyAlignment="1" applyFont="1">
      <alignment shrinkToFit="0" wrapText="0"/>
    </xf>
    <xf borderId="22" fillId="0" fontId="3" numFmtId="0" xfId="0" applyAlignment="1" applyBorder="1" applyFont="1">
      <alignment shrinkToFit="0" wrapText="0"/>
    </xf>
    <xf borderId="46" fillId="16" fontId="1" numFmtId="0" xfId="0" applyAlignment="1" applyBorder="1" applyFont="1">
      <alignment shrinkToFit="0" wrapText="0"/>
    </xf>
    <xf borderId="62" fillId="0" fontId="2" numFmtId="0" xfId="0" applyAlignment="1" applyBorder="1" applyFont="1">
      <alignment shrinkToFit="0" wrapText="0"/>
    </xf>
    <xf borderId="1" fillId="24" fontId="1" numFmtId="0" xfId="0" applyAlignment="1" applyBorder="1" applyFill="1" applyFont="1">
      <alignment shrinkToFit="0" wrapText="0"/>
    </xf>
    <xf borderId="79" fillId="0" fontId="1" numFmtId="0" xfId="0" applyAlignment="1" applyBorder="1" applyFont="1">
      <alignment shrinkToFit="0" wrapText="0"/>
    </xf>
    <xf borderId="8" fillId="0" fontId="1" numFmtId="0" xfId="0" applyAlignment="1" applyBorder="1" applyFont="1">
      <alignment horizontal="right" shrinkToFit="0" wrapText="0"/>
    </xf>
    <xf borderId="24" fillId="2" fontId="1" numFmtId="0" xfId="0" applyAlignment="1" applyBorder="1" applyFont="1">
      <alignment horizontal="center" shrinkToFit="0" wrapText="0"/>
    </xf>
    <xf borderId="26" fillId="2" fontId="1" numFmtId="0" xfId="0" applyAlignment="1" applyBorder="1" applyFont="1">
      <alignment horizontal="center" shrinkToFit="0" wrapText="0"/>
    </xf>
    <xf borderId="98" fillId="2" fontId="1" numFmtId="1" xfId="0" applyAlignment="1" applyBorder="1" applyFont="1" applyNumberFormat="1">
      <alignment horizontal="center" shrinkToFit="0" wrapText="0"/>
    </xf>
    <xf borderId="1" fillId="23" fontId="2" numFmtId="0" xfId="0" applyAlignment="1" applyBorder="1" applyFont="1">
      <alignment shrinkToFit="0" wrapText="0"/>
    </xf>
    <xf borderId="81" fillId="10" fontId="1" numFmtId="0" xfId="0" applyAlignment="1" applyBorder="1" applyFont="1">
      <alignment shrinkToFit="0" wrapText="0"/>
    </xf>
    <xf borderId="46" fillId="10" fontId="1" numFmtId="0" xfId="0" applyAlignment="1" applyBorder="1" applyFont="1">
      <alignment shrinkToFit="0" wrapText="0"/>
    </xf>
    <xf borderId="46" fillId="10" fontId="1" numFmtId="0" xfId="0" applyAlignment="1" applyBorder="1" applyFont="1">
      <alignment horizontal="right" shrinkToFit="0" wrapText="0"/>
    </xf>
    <xf borderId="46" fillId="10" fontId="1" numFmtId="165" xfId="0" applyAlignment="1" applyBorder="1" applyFont="1" applyNumberFormat="1">
      <alignment shrinkToFit="0" wrapText="0"/>
    </xf>
    <xf borderId="97" fillId="10" fontId="2" numFmtId="0" xfId="0" applyAlignment="1" applyBorder="1" applyFont="1">
      <alignment shrinkToFit="0" wrapText="0"/>
    </xf>
    <xf borderId="10" fillId="3" fontId="2" numFmtId="0" xfId="0" applyAlignment="1" applyBorder="1" applyFont="1">
      <alignment shrinkToFit="0" wrapText="0"/>
    </xf>
    <xf borderId="18" fillId="0" fontId="1" numFmtId="0" xfId="0" applyAlignment="1" applyBorder="1" applyFont="1">
      <alignment shrinkToFit="0" wrapText="0"/>
    </xf>
    <xf borderId="19" fillId="0" fontId="1" numFmtId="0" xfId="0" applyAlignment="1" applyBorder="1" applyFont="1">
      <alignment horizontal="right" shrinkToFit="0" wrapText="0"/>
    </xf>
    <xf borderId="99" fillId="3" fontId="1" numFmtId="0" xfId="0" applyAlignment="1" applyBorder="1" applyFont="1">
      <alignment shrinkToFit="0" wrapText="0"/>
    </xf>
    <xf borderId="64" fillId="0" fontId="2" numFmtId="0" xfId="0" applyAlignment="1" applyBorder="1" applyFont="1">
      <alignment shrinkToFit="0" wrapText="0"/>
    </xf>
    <xf borderId="10" fillId="25" fontId="1" numFmtId="0" xfId="0" applyAlignment="1" applyBorder="1" applyFill="1" applyFont="1">
      <alignment shrinkToFit="0" wrapText="0"/>
    </xf>
    <xf borderId="100" fillId="25" fontId="1" numFmtId="0" xfId="0" applyAlignment="1" applyBorder="1" applyFont="1">
      <alignment horizontal="right" shrinkToFit="0" wrapText="0"/>
    </xf>
    <xf borderId="100" fillId="16" fontId="1" numFmtId="0" xfId="0" applyAlignment="1" applyBorder="1" applyFont="1">
      <alignment shrinkToFit="0" wrapText="0"/>
    </xf>
    <xf borderId="98" fillId="25" fontId="1" numFmtId="165" xfId="0" applyAlignment="1" applyBorder="1" applyFont="1" applyNumberFormat="1">
      <alignment shrinkToFit="0" wrapText="0"/>
    </xf>
    <xf borderId="9" fillId="0" fontId="2" numFmtId="0" xfId="0" applyAlignment="1" applyBorder="1" applyFont="1">
      <alignment shrinkToFit="0" wrapText="0"/>
    </xf>
    <xf borderId="5" fillId="0" fontId="29" numFmtId="0" xfId="0" applyAlignment="1" applyBorder="1" applyFont="1">
      <alignment shrinkToFit="0" wrapText="0"/>
    </xf>
    <xf borderId="99" fillId="16" fontId="1" numFmtId="0" xfId="0" applyAlignment="1" applyBorder="1" applyFont="1">
      <alignment shrinkToFit="0" wrapText="0"/>
    </xf>
    <xf borderId="12" fillId="16" fontId="1" numFmtId="0" xfId="0" applyAlignment="1" applyBorder="1" applyFont="1">
      <alignment shrinkToFit="0" wrapText="0"/>
    </xf>
    <xf borderId="6" fillId="0" fontId="1" numFmtId="164" xfId="0" applyAlignment="1" applyBorder="1" applyFont="1" applyNumberFormat="1">
      <alignment shrinkToFit="0" wrapText="0"/>
    </xf>
    <xf borderId="7" fillId="0" fontId="3" numFmtId="0" xfId="0" applyAlignment="1" applyBorder="1" applyFont="1">
      <alignment horizontal="center" shrinkToFit="0" wrapText="0"/>
    </xf>
    <xf borderId="7" fillId="0" fontId="1" numFmtId="0" xfId="0" applyAlignment="1" applyBorder="1" applyFont="1">
      <alignment horizontal="center" shrinkToFit="0" wrapText="0"/>
    </xf>
    <xf borderId="16" fillId="10" fontId="1" numFmtId="0" xfId="0" applyAlignment="1" applyBorder="1" applyFont="1">
      <alignment shrinkToFit="0" wrapText="0"/>
    </xf>
    <xf borderId="1" fillId="10" fontId="1" numFmtId="0" xfId="0" applyAlignment="1" applyBorder="1" applyFont="1">
      <alignment horizontal="right" shrinkToFit="0" wrapText="0"/>
    </xf>
    <xf borderId="17" fillId="10" fontId="1" numFmtId="164" xfId="0" applyAlignment="1" applyBorder="1" applyFont="1" applyNumberFormat="1">
      <alignment shrinkToFit="0" wrapText="0"/>
    </xf>
    <xf borderId="23" fillId="0" fontId="1" numFmtId="0" xfId="0" applyAlignment="1" applyBorder="1" applyFont="1">
      <alignment horizontal="right" shrinkToFit="0" wrapText="0"/>
    </xf>
    <xf borderId="9" fillId="0" fontId="1" numFmtId="0" xfId="0" applyAlignment="1" applyBorder="1" applyFont="1">
      <alignment horizontal="center" shrinkToFit="0" wrapText="0"/>
    </xf>
    <xf borderId="101" fillId="16" fontId="1" numFmtId="0" xfId="0" applyAlignment="1" applyBorder="1" applyFont="1">
      <alignment shrinkToFit="0" wrapText="0"/>
    </xf>
    <xf borderId="102" fillId="0" fontId="1" numFmtId="0" xfId="0" applyAlignment="1" applyBorder="1" applyFont="1">
      <alignment shrinkToFit="0" wrapText="0"/>
    </xf>
    <xf borderId="103" fillId="0" fontId="1" numFmtId="0" xfId="0" applyAlignment="1" applyBorder="1" applyFont="1">
      <alignment shrinkToFit="0" wrapText="0"/>
    </xf>
    <xf borderId="103" fillId="0" fontId="1" numFmtId="0" xfId="0" applyAlignment="1" applyBorder="1" applyFont="1">
      <alignment horizontal="right" shrinkToFit="0" wrapText="0"/>
    </xf>
    <xf borderId="104" fillId="0" fontId="1" numFmtId="0" xfId="0" applyAlignment="1" applyBorder="1" applyFont="1">
      <alignment shrinkToFit="0" wrapText="0"/>
    </xf>
    <xf borderId="98" fillId="16" fontId="1" numFmtId="0" xfId="0" applyAlignment="1" applyBorder="1" applyFont="1">
      <alignment shrinkToFit="0" wrapText="0"/>
    </xf>
    <xf borderId="47" fillId="16" fontId="1" numFmtId="0" xfId="0" applyAlignment="1" applyBorder="1" applyFont="1">
      <alignment shrinkToFit="0" wrapText="0"/>
    </xf>
    <xf borderId="20" fillId="16" fontId="1" numFmtId="0" xfId="0" applyAlignment="1" applyBorder="1" applyFont="1">
      <alignment shrinkToFit="0" wrapText="0"/>
    </xf>
    <xf borderId="21" fillId="16" fontId="1" numFmtId="0" xfId="0" applyAlignment="1" applyBorder="1" applyFont="1">
      <alignment shrinkToFit="0" wrapText="0"/>
    </xf>
    <xf borderId="100" fillId="16" fontId="1" numFmtId="0" xfId="0" applyAlignment="1" applyBorder="1" applyFont="1">
      <alignment horizontal="right" shrinkToFit="0" wrapText="0"/>
    </xf>
    <xf borderId="67" fillId="16" fontId="1" numFmtId="0" xfId="0" applyAlignment="1" applyBorder="1" applyFont="1">
      <alignment shrinkToFit="0" wrapText="0"/>
    </xf>
    <xf borderId="1" fillId="24" fontId="1" numFmtId="0" xfId="0" applyAlignment="1" applyBorder="1" applyFont="1">
      <alignment horizontal="right" shrinkToFit="0" wrapText="0"/>
    </xf>
    <xf borderId="17" fillId="10" fontId="2" numFmtId="164" xfId="0" applyAlignment="1" applyBorder="1" applyFont="1" applyNumberFormat="1">
      <alignment shrinkToFit="0" wrapText="0"/>
    </xf>
    <xf borderId="1" fillId="15" fontId="1" numFmtId="0" xfId="0" applyAlignment="1" applyBorder="1" applyFont="1">
      <alignment horizontal="left" shrinkToFit="0" wrapText="0"/>
    </xf>
    <xf borderId="1" fillId="15" fontId="1" numFmtId="49" xfId="0" applyAlignment="1" applyBorder="1" applyFont="1" applyNumberFormat="1">
      <alignment horizontal="center" shrinkToFit="0" wrapText="0"/>
    </xf>
    <xf borderId="1" fillId="15" fontId="1" numFmtId="49" xfId="0" applyAlignment="1" applyBorder="1" applyFont="1" applyNumberFormat="1">
      <alignment shrinkToFit="0" wrapText="0"/>
    </xf>
    <xf borderId="1" fillId="15" fontId="1" numFmtId="1" xfId="0" applyAlignment="1" applyBorder="1" applyFont="1" applyNumberFormat="1">
      <alignment shrinkToFit="0" wrapText="0"/>
    </xf>
    <xf borderId="1" fillId="15" fontId="1" numFmtId="0" xfId="0" applyAlignment="1" applyBorder="1" applyFont="1">
      <alignment horizontal="right" shrinkToFit="0" wrapText="0"/>
    </xf>
    <xf borderId="9" fillId="0" fontId="1" numFmtId="164" xfId="0" applyAlignment="1" applyBorder="1" applyFont="1" applyNumberFormat="1">
      <alignment shrinkToFit="0" wrapText="0"/>
    </xf>
    <xf borderId="6" fillId="0" fontId="2" numFmtId="0" xfId="0" applyAlignment="1" applyBorder="1" applyFont="1">
      <alignment shrinkToFit="0" wrapText="0"/>
    </xf>
    <xf borderId="8" fillId="0" fontId="9" numFmtId="0" xfId="0" applyAlignment="1" applyBorder="1" applyFont="1">
      <alignment shrinkToFit="0" wrapText="0"/>
    </xf>
    <xf borderId="1" fillId="10" fontId="12" numFmtId="0" xfId="0" applyAlignment="1" applyBorder="1" applyFont="1">
      <alignment shrinkToFit="0" wrapText="0"/>
    </xf>
    <xf borderId="3" fillId="0" fontId="2" numFmtId="0" xfId="0" applyAlignment="1" applyBorder="1" applyFont="1">
      <alignment shrinkToFit="0" wrapText="0"/>
    </xf>
    <xf borderId="4" fillId="0" fontId="2" numFmtId="1" xfId="0" applyAlignment="1" applyBorder="1" applyFont="1" applyNumberFormat="1">
      <alignment shrinkToFit="0" wrapText="0"/>
    </xf>
    <xf borderId="12" fillId="16" fontId="1" numFmtId="168" xfId="0" applyAlignment="1" applyBorder="1" applyFont="1" applyNumberFormat="1">
      <alignment shrinkToFit="0" wrapText="0"/>
    </xf>
    <xf borderId="10" fillId="16" fontId="1" numFmtId="168" xfId="0" applyAlignment="1" applyBorder="1" applyFont="1" applyNumberFormat="1">
      <alignment shrinkToFit="0" wrapText="0"/>
    </xf>
    <xf borderId="98" fillId="16" fontId="1" numFmtId="168" xfId="0" applyAlignment="1" applyBorder="1" applyFont="1" applyNumberFormat="1">
      <alignment shrinkToFit="0" wrapText="0"/>
    </xf>
    <xf borderId="57" fillId="4" fontId="3" numFmtId="0" xfId="0" applyAlignment="1" applyBorder="1" applyFont="1">
      <alignment horizontal="center" shrinkToFit="0" wrapText="0"/>
    </xf>
    <xf borderId="1" fillId="4" fontId="3" numFmtId="0" xfId="0" applyAlignment="1" applyBorder="1" applyFont="1">
      <alignment readingOrder="0" shrinkToFit="0" wrapText="0"/>
    </xf>
    <xf borderId="10" fillId="13" fontId="1" numFmtId="0" xfId="0" applyAlignment="1" applyBorder="1" applyFont="1">
      <alignment horizontal="center" shrinkToFit="0" wrapText="0"/>
    </xf>
    <xf borderId="105" fillId="4" fontId="3" numFmtId="0" xfId="0" applyAlignment="1" applyBorder="1" applyFont="1">
      <alignment horizontal="center" shrinkToFit="0" wrapText="0"/>
    </xf>
    <xf borderId="57" fillId="4" fontId="3" numFmtId="0" xfId="0" applyAlignment="1" applyBorder="1" applyFont="1">
      <alignment horizontal="center" readingOrder="0" shrinkToFit="0" wrapText="0"/>
    </xf>
    <xf borderId="57" fillId="4" fontId="1" numFmtId="0" xfId="0" applyAlignment="1" applyBorder="1" applyFont="1">
      <alignment shrinkToFit="0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552450</xdr:colOff>
      <xdr:row>0</xdr:row>
      <xdr:rowOff>0</xdr:rowOff>
    </xdr:from>
    <xdr:ext cx="1895475" cy="361950"/>
    <xdr:sp>
      <xdr:nvSpPr>
        <xdr:cNvPr id="3" name="Shape 3"/>
        <xdr:cNvSpPr/>
      </xdr:nvSpPr>
      <xdr:spPr>
        <a:xfrm>
          <a:off x="4398263" y="3608550"/>
          <a:ext cx="1895475" cy="342900"/>
        </a:xfrm>
        <a:prstGeom prst="rect">
          <a:avLst/>
        </a:prstGeom>
        <a:solidFill>
          <a:schemeClr val="lt1"/>
        </a:solidFill>
        <a:ln cap="flat" cmpd="sng" w="9525">
          <a:solidFill>
            <a:srgbClr val="40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0" lIns="18275" spcFirstLastPara="1" rIns="0" wrap="square" tIns="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2400">
              <a:solidFill>
                <a:srgbClr val="00B0F0"/>
              </a:solidFill>
            </a:rPr>
            <a:t>Clear all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352425</xdr:colOff>
      <xdr:row>1</xdr:row>
      <xdr:rowOff>104775</xdr:rowOff>
    </xdr:from>
    <xdr:ext cx="1314450" cy="514350"/>
    <xdr:sp>
      <xdr:nvSpPr>
        <xdr:cNvPr id="5" name="Shape 5"/>
        <xdr:cNvSpPr/>
      </xdr:nvSpPr>
      <xdr:spPr>
        <a:xfrm>
          <a:off x="1924050" y="1962150"/>
          <a:ext cx="1295400" cy="495300"/>
        </a:xfrm>
        <a:prstGeom prst="rect">
          <a:avLst/>
        </a:prstGeom>
        <a:solidFill>
          <a:srgbClr val="CFE2F3"/>
        </a:solidFill>
        <a:ln cap="flat" cmpd="sng" w="9525">
          <a:solidFill>
            <a:srgbClr val="00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CLEAR ALL</a:t>
          </a: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25</xdr:col>
      <xdr:colOff>457200</xdr:colOff>
      <xdr:row>20</xdr:row>
      <xdr:rowOff>114300</xdr:rowOff>
    </xdr:from>
    <xdr:ext cx="6448425" cy="1381125"/>
    <xdr:sp>
      <xdr:nvSpPr>
        <xdr:cNvPr id="6" name="Shape 6"/>
        <xdr:cNvSpPr/>
      </xdr:nvSpPr>
      <xdr:spPr>
        <a:xfrm>
          <a:off x="2131313" y="3098963"/>
          <a:ext cx="6429375" cy="1362075"/>
        </a:xfrm>
        <a:prstGeom prst="rect">
          <a:avLst/>
        </a:prstGeom>
      </xdr:spPr>
      <xdr:txBody>
        <a:bodyPr>
          <a:prstTxWarp prst="textPlain"/>
        </a:bodyPr>
        <a:lstStyle/>
        <a:p>
          <a:pPr lvl="0" algn="ctr"/>
          <a:r>
            <a:rPr b="0" i="0">
              <a:ln cap="flat" cmpd="sng" w="19050">
                <a:solidFill>
                  <a:srgbClr val="99CCFF"/>
                </a:solidFill>
                <a:prstDash val="solid"/>
                <a:round/>
                <a:headEnd len="sm" w="sm" type="none"/>
                <a:tailEnd len="sm" w="sm" type="none"/>
              </a:ln>
              <a:solidFill>
                <a:srgbClr val="0066CC"/>
              </a:solidFill>
              <a:latin typeface="Impact"/>
            </a:rPr>
            <a:t>Change it here</a:t>
          </a:r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9.5"/>
    <col customWidth="1" min="2" max="2" width="7.63"/>
    <col customWidth="1" min="3" max="3" width="11.25"/>
    <col customWidth="1" min="4" max="9" width="7.63"/>
    <col customWidth="1" hidden="1" min="10" max="12" width="0.13"/>
    <col customWidth="1" min="13" max="26" width="7.63"/>
  </cols>
  <sheetData>
    <row r="1" ht="12.75" customHeight="1">
      <c r="A1" s="1"/>
      <c r="C1" s="1"/>
      <c r="J1" s="1"/>
      <c r="K1" s="1"/>
      <c r="L1" s="1"/>
    </row>
    <row r="2" ht="12.75" customHeight="1">
      <c r="A2" s="2" t="s">
        <v>0</v>
      </c>
      <c r="B2" s="2"/>
      <c r="C2" s="2"/>
      <c r="D2" s="2"/>
      <c r="E2" s="2"/>
      <c r="J2" s="1"/>
      <c r="K2" s="1"/>
      <c r="L2" s="1"/>
    </row>
    <row r="3" ht="12.75" customHeight="1">
      <c r="A3" s="1"/>
      <c r="C3" s="1"/>
      <c r="J3" s="1"/>
      <c r="K3" s="1"/>
      <c r="L3" s="1"/>
    </row>
    <row r="4" ht="12.75" customHeight="1">
      <c r="A4" s="3" t="s">
        <v>1</v>
      </c>
      <c r="B4" s="4" t="str">
        <f>'quoter (newsprint)'!R130</f>
        <v>Tabloid</v>
      </c>
      <c r="C4" s="4"/>
      <c r="D4" s="4"/>
      <c r="E4" s="5"/>
      <c r="J4" s="1" t="str">
        <f>'quoter (newsprint)'!R139</f>
        <v>first</v>
      </c>
      <c r="K4" s="1">
        <f>'quoter (newsprint)'!S139</f>
        <v>1000</v>
      </c>
      <c r="L4" s="6">
        <f>'quoter (newsprint)'!T139</f>
        <v>335.5</v>
      </c>
    </row>
    <row r="5" ht="12.75" customHeight="1">
      <c r="A5" s="7"/>
      <c r="B5" s="8" t="str">
        <f>'quoter (newsprint)'!R131</f>
        <v>20 pages</v>
      </c>
      <c r="C5" s="8"/>
      <c r="D5" s="8"/>
      <c r="E5" s="9"/>
      <c r="J5" s="1" t="str">
        <f>'quoter (newsprint)'!R140</f>
        <v>add'l</v>
      </c>
      <c r="K5" s="10">
        <f>'quoter (newsprint)'!S140</f>
        <v>0</v>
      </c>
      <c r="L5" s="6" t="str">
        <f>'quoter (newsprint)'!T140</f>
        <v/>
      </c>
    </row>
    <row r="6" ht="12.75" customHeight="1">
      <c r="A6" s="7"/>
      <c r="B6" s="8" t="str">
        <f>'quoter (newsprint)'!R132</f>
        <v> 4/c Plates</v>
      </c>
      <c r="C6" s="8"/>
      <c r="D6" s="8"/>
      <c r="E6" s="9"/>
      <c r="J6" s="1"/>
      <c r="K6" s="1"/>
      <c r="L6" s="1"/>
    </row>
    <row r="7" ht="12.75" customHeight="1">
      <c r="A7" s="7"/>
      <c r="B7" s="8" t="str">
        <f>'quoter (newsprint)'!R133</f>
        <v/>
      </c>
      <c r="C7" s="8"/>
      <c r="D7" s="8"/>
      <c r="E7" s="9"/>
      <c r="J7" s="1" t="str">
        <f>'quoter (newsprint)'!R142</f>
        <v>add'l</v>
      </c>
      <c r="K7" s="1" t="str">
        <f>'quoter (newsprint)'!S142</f>
        <v> </v>
      </c>
      <c r="L7" s="6" t="str">
        <f>'quoter (newsprint)'!T142</f>
        <v/>
      </c>
    </row>
    <row r="8" ht="12.75" customHeight="1">
      <c r="A8" s="7" t="s">
        <v>2</v>
      </c>
      <c r="B8" s="8" t="str">
        <f>'quoter(sheetfed)'!#REF!</f>
        <v>#ERROR!</v>
      </c>
      <c r="C8" s="8"/>
      <c r="D8" s="8" t="str">
        <f>'quoter(sheetfed)'!#REF!</f>
        <v>#ERROR!</v>
      </c>
      <c r="E8" s="9"/>
      <c r="J8" s="1"/>
      <c r="K8" s="1"/>
      <c r="L8" s="1"/>
    </row>
    <row r="9" ht="12.75" customHeight="1">
      <c r="A9" s="7"/>
      <c r="B9" s="8" t="str">
        <f>'quoter(sheetfed)'!#REF!</f>
        <v>#ERROR!</v>
      </c>
      <c r="C9" s="8"/>
      <c r="D9" s="8" t="str">
        <f>'quoter(sheetfed)'!#REF!</f>
        <v>#ERROR!</v>
      </c>
      <c r="E9" s="9"/>
      <c r="J9" s="1" t="str">
        <f>'quoter (newsprint)'!R144</f>
        <v>total</v>
      </c>
      <c r="K9" s="10">
        <f>'quoter (newsprint)'!S144</f>
        <v>1000</v>
      </c>
      <c r="L9" s="6">
        <f>'quoter (newsprint)'!T144</f>
        <v>335.5</v>
      </c>
    </row>
    <row r="10" ht="12.75" customHeight="1">
      <c r="A10" s="7"/>
      <c r="B10" s="8" t="str">
        <f>'quoter(sheetfed)'!#REF!</f>
        <v>#ERROR!</v>
      </c>
      <c r="C10" s="8"/>
      <c r="D10" s="8" t="str">
        <f>'quoter(sheetfed)'!#REF!</f>
        <v>#ERROR!</v>
      </c>
      <c r="E10" s="9"/>
      <c r="J10" s="1"/>
      <c r="K10" s="1"/>
      <c r="L10" s="1"/>
    </row>
    <row r="11" ht="12.75" customHeight="1">
      <c r="A11" s="7"/>
      <c r="B11" s="8" t="str">
        <f>'quoter(sheetfed)'!#REF!</f>
        <v>#ERROR!</v>
      </c>
      <c r="C11" s="8"/>
      <c r="D11" s="8"/>
      <c r="E11" s="9"/>
      <c r="J11" s="1"/>
      <c r="K11" s="1"/>
      <c r="L11" s="1"/>
    </row>
    <row r="12" ht="12.75" customHeight="1">
      <c r="A12" s="7"/>
      <c r="B12" s="8"/>
      <c r="C12" s="8"/>
      <c r="D12" s="8"/>
      <c r="E12" s="9"/>
      <c r="J12" s="1" t="str">
        <f>'quoter(sheetfed)'!#REF!</f>
        <v>#ERROR!</v>
      </c>
      <c r="K12" s="1" t="str">
        <f>'quoter(sheetfed)'!#REF!</f>
        <v>#ERROR!</v>
      </c>
      <c r="L12" s="1" t="str">
        <f>'quoter(sheetfed)'!#REF!</f>
        <v>#ERROR!</v>
      </c>
    </row>
    <row r="13" ht="12.75" customHeight="1">
      <c r="A13" s="7"/>
      <c r="B13" s="8" t="s">
        <v>3</v>
      </c>
      <c r="C13" s="8" t="str">
        <f t="shared" ref="C13:C14" si="1">K12</f>
        <v>#ERROR!</v>
      </c>
      <c r="D13" s="11" t="str">
        <f t="shared" ref="D13:D14" si="2">SUM(L4,L12)</f>
        <v>#ERROR!</v>
      </c>
      <c r="E13" s="9"/>
      <c r="J13" s="1" t="str">
        <f>'quoter(sheetfed)'!#REF!</f>
        <v>#ERROR!</v>
      </c>
      <c r="K13" s="1" t="str">
        <f>'quoter(sheetfed)'!#REF!</f>
        <v>#ERROR!</v>
      </c>
      <c r="L13" s="1" t="str">
        <f>'quoter(sheetfed)'!#REF!</f>
        <v>#ERROR!</v>
      </c>
    </row>
    <row r="14" ht="12.75" customHeight="1">
      <c r="A14" s="7"/>
      <c r="B14" s="8" t="s">
        <v>4</v>
      </c>
      <c r="C14" s="8" t="str">
        <f t="shared" si="1"/>
        <v>#ERROR!</v>
      </c>
      <c r="D14" s="11" t="str">
        <f t="shared" si="2"/>
        <v>#ERROR!</v>
      </c>
      <c r="E14" s="9"/>
      <c r="J14" s="1"/>
      <c r="K14" s="1"/>
      <c r="L14" s="1"/>
    </row>
    <row r="15" ht="12.75" customHeight="1">
      <c r="A15" s="7"/>
      <c r="B15" s="8"/>
      <c r="C15" s="8"/>
      <c r="D15" s="11"/>
      <c r="E15" s="9"/>
      <c r="J15" s="1" t="str">
        <f>'quoter(sheetfed)'!#REF!</f>
        <v>#ERROR!</v>
      </c>
      <c r="K15" s="1" t="str">
        <f>'quoter(sheetfed)'!#REF!</f>
        <v>#ERROR!</v>
      </c>
      <c r="L15" s="1" t="str">
        <f>'quoter(sheetfed)'!#REF!</f>
        <v>#ERROR!</v>
      </c>
    </row>
    <row r="16" ht="12.75" customHeight="1">
      <c r="A16" s="7"/>
      <c r="B16" s="8" t="s">
        <v>5</v>
      </c>
      <c r="C16" s="8" t="str">
        <f>K15</f>
        <v>#ERROR!</v>
      </c>
      <c r="D16" s="11" t="str">
        <f>SUM(L7,L15)</f>
        <v>#ERROR!</v>
      </c>
      <c r="E16" s="9"/>
      <c r="J16" s="1"/>
      <c r="K16" s="1"/>
      <c r="L16" s="1"/>
    </row>
    <row r="17" ht="12.75" customHeight="1">
      <c r="A17" s="7"/>
      <c r="B17" s="8"/>
      <c r="C17" s="8"/>
      <c r="D17" s="11"/>
      <c r="E17" s="9"/>
      <c r="J17" s="1" t="str">
        <f>'quoter(sheetfed)'!#REF!</f>
        <v>#ERROR!</v>
      </c>
      <c r="K17" s="1" t="str">
        <f>'quoter(sheetfed)'!#REF!</f>
        <v>#ERROR!</v>
      </c>
      <c r="L17" s="1" t="str">
        <f>'quoter(sheetfed)'!#REF!</f>
        <v>#ERROR!</v>
      </c>
    </row>
    <row r="18" ht="12.75" customHeight="1">
      <c r="A18" s="12"/>
      <c r="B18" s="13" t="s">
        <v>6</v>
      </c>
      <c r="C18" s="13" t="str">
        <f>K17</f>
        <v>#ERROR!</v>
      </c>
      <c r="D18" s="14" t="str">
        <f>SUM(L9,L17)</f>
        <v>#ERROR!</v>
      </c>
      <c r="E18" s="15"/>
      <c r="J18" s="1"/>
      <c r="K18" s="1"/>
      <c r="L18" s="1"/>
    </row>
    <row r="19" ht="12.75" customHeight="1">
      <c r="A19" s="1"/>
      <c r="C19" s="1"/>
      <c r="J19" s="1"/>
      <c r="K19" s="1"/>
      <c r="L19" s="1"/>
    </row>
    <row r="20" ht="12.75" customHeight="1">
      <c r="A20" s="1"/>
      <c r="C20" s="1"/>
      <c r="J20" s="1"/>
      <c r="K20" s="1"/>
      <c r="L20" s="1"/>
    </row>
    <row r="21" ht="12.75" customHeight="1">
      <c r="A21" s="1" t="s">
        <v>7</v>
      </c>
      <c r="C21" s="1"/>
      <c r="J21" s="1"/>
      <c r="K21" s="1"/>
      <c r="L21" s="1"/>
    </row>
    <row r="22" ht="12.75" customHeight="1">
      <c r="A22" s="1" t="s">
        <v>8</v>
      </c>
      <c r="C22" s="1"/>
      <c r="J22" s="1"/>
      <c r="K22" s="1"/>
      <c r="L22" s="1"/>
    </row>
    <row r="23" ht="12.75" customHeight="1">
      <c r="A23" s="1"/>
      <c r="C23" s="1"/>
      <c r="J23" s="1"/>
      <c r="K23" s="1"/>
      <c r="L23" s="1"/>
    </row>
    <row r="24" ht="12.75" customHeight="1">
      <c r="A24" s="1"/>
      <c r="C24" s="1"/>
      <c r="J24" s="1"/>
      <c r="K24" s="1"/>
      <c r="L24" s="1"/>
    </row>
    <row r="25" ht="12.75" customHeight="1">
      <c r="A25" s="1"/>
      <c r="C25" s="1"/>
      <c r="J25" s="1"/>
      <c r="K25" s="1"/>
      <c r="L25" s="1"/>
    </row>
    <row r="26" ht="12.75" customHeight="1">
      <c r="A26" s="1"/>
      <c r="C26" s="1"/>
      <c r="J26" s="1"/>
      <c r="K26" s="1"/>
      <c r="L26" s="1"/>
    </row>
    <row r="27" ht="12.75" customHeight="1">
      <c r="A27" s="1"/>
      <c r="C27" s="1"/>
      <c r="J27" s="1"/>
      <c r="K27" s="1"/>
      <c r="L27" s="1"/>
    </row>
    <row r="28" ht="12.75" customHeight="1">
      <c r="A28" s="1"/>
      <c r="C28" s="1"/>
      <c r="J28" s="1"/>
      <c r="K28" s="1"/>
      <c r="L28" s="1"/>
    </row>
    <row r="29" ht="12.75" customHeight="1">
      <c r="A29" s="1"/>
      <c r="C29" s="1"/>
      <c r="J29" s="1"/>
      <c r="K29" s="1"/>
      <c r="L29" s="1"/>
    </row>
    <row r="30" ht="12.75" customHeight="1">
      <c r="A30" s="1"/>
      <c r="C30" s="1"/>
      <c r="J30" s="1"/>
      <c r="K30" s="1"/>
      <c r="L30" s="1"/>
    </row>
    <row r="31" ht="12.75" customHeight="1">
      <c r="A31" s="1"/>
      <c r="C31" s="1"/>
      <c r="J31" s="1"/>
      <c r="K31" s="1"/>
      <c r="L31" s="1"/>
    </row>
    <row r="32" ht="12.75" customHeight="1">
      <c r="A32" s="1"/>
      <c r="C32" s="1"/>
      <c r="J32" s="1"/>
      <c r="K32" s="1"/>
      <c r="L32" s="1"/>
    </row>
    <row r="33" ht="12.75" customHeight="1">
      <c r="A33" s="1"/>
      <c r="C33" s="1"/>
      <c r="J33" s="1"/>
      <c r="K33" s="1"/>
      <c r="L33" s="1"/>
    </row>
    <row r="34" ht="12.75" customHeight="1">
      <c r="A34" s="1"/>
      <c r="C34" s="1"/>
      <c r="J34" s="1"/>
      <c r="K34" s="1"/>
      <c r="L34" s="1"/>
    </row>
    <row r="35" ht="12.75" customHeight="1">
      <c r="A35" s="1"/>
      <c r="C35" s="1"/>
      <c r="J35" s="1"/>
      <c r="K35" s="1"/>
      <c r="L35" s="1"/>
    </row>
    <row r="36" ht="12.75" customHeight="1">
      <c r="A36" s="1"/>
      <c r="C36" s="1"/>
      <c r="J36" s="1"/>
      <c r="K36" s="1"/>
      <c r="L36" s="1"/>
    </row>
    <row r="37" ht="12.75" customHeight="1">
      <c r="A37" s="1"/>
      <c r="C37" s="1"/>
      <c r="J37" s="1"/>
      <c r="K37" s="1"/>
      <c r="L37" s="1"/>
    </row>
    <row r="38" ht="12.75" customHeight="1">
      <c r="A38" s="1"/>
      <c r="C38" s="1"/>
      <c r="J38" s="1"/>
      <c r="K38" s="1"/>
      <c r="L38" s="1"/>
    </row>
    <row r="39" ht="12.75" customHeight="1">
      <c r="A39" s="1"/>
      <c r="C39" s="1"/>
      <c r="J39" s="1"/>
      <c r="K39" s="1"/>
      <c r="L39" s="1"/>
    </row>
    <row r="40" ht="12.75" customHeight="1">
      <c r="A40" s="1"/>
      <c r="C40" s="1"/>
      <c r="J40" s="1"/>
      <c r="K40" s="1"/>
      <c r="L40" s="1"/>
    </row>
    <row r="41" ht="12.75" customHeight="1">
      <c r="A41" s="1"/>
      <c r="C41" s="1"/>
      <c r="J41" s="1"/>
      <c r="K41" s="1"/>
      <c r="L41" s="1"/>
    </row>
    <row r="42" ht="12.75" customHeight="1">
      <c r="A42" s="1"/>
      <c r="C42" s="1"/>
      <c r="J42" s="1"/>
      <c r="K42" s="1"/>
      <c r="L42" s="1"/>
    </row>
    <row r="43" ht="12.75" customHeight="1">
      <c r="A43" s="1"/>
      <c r="C43" s="1"/>
      <c r="J43" s="1"/>
      <c r="K43" s="1"/>
      <c r="L43" s="1"/>
    </row>
    <row r="44" ht="12.75" customHeight="1">
      <c r="A44" s="1"/>
      <c r="C44" s="1"/>
      <c r="J44" s="1"/>
      <c r="K44" s="1"/>
      <c r="L44" s="1"/>
    </row>
    <row r="45" ht="12.75" customHeight="1">
      <c r="A45" s="1"/>
      <c r="C45" s="1"/>
      <c r="J45" s="1"/>
      <c r="K45" s="1"/>
      <c r="L45" s="1"/>
    </row>
    <row r="46" ht="12.75" customHeight="1">
      <c r="A46" s="1"/>
      <c r="C46" s="1"/>
      <c r="J46" s="1"/>
      <c r="K46" s="1"/>
      <c r="L46" s="1"/>
    </row>
    <row r="47" ht="12.75" customHeight="1">
      <c r="A47" s="1"/>
      <c r="C47" s="1"/>
      <c r="J47" s="1"/>
      <c r="K47" s="1"/>
      <c r="L47" s="1"/>
    </row>
    <row r="48" ht="12.75" customHeight="1">
      <c r="A48" s="1"/>
      <c r="C48" s="1"/>
      <c r="J48" s="1"/>
      <c r="K48" s="1"/>
      <c r="L48" s="1"/>
    </row>
    <row r="49" ht="12.75" customHeight="1">
      <c r="A49" s="1"/>
      <c r="C49" s="1"/>
      <c r="J49" s="1"/>
      <c r="K49" s="1"/>
      <c r="L49" s="1"/>
    </row>
    <row r="50" ht="12.75" customHeight="1">
      <c r="A50" s="1"/>
      <c r="C50" s="1"/>
      <c r="J50" s="1"/>
      <c r="K50" s="1"/>
      <c r="L50" s="1"/>
    </row>
    <row r="51" ht="12.75" customHeight="1">
      <c r="A51" s="1"/>
      <c r="C51" s="1"/>
      <c r="J51" s="1"/>
      <c r="K51" s="1"/>
      <c r="L51" s="1"/>
    </row>
    <row r="52" ht="12.75" customHeight="1">
      <c r="A52" s="1"/>
      <c r="C52" s="1"/>
      <c r="J52" s="1"/>
      <c r="K52" s="1"/>
      <c r="L52" s="1"/>
    </row>
    <row r="53" ht="12.75" customHeight="1">
      <c r="A53" s="1"/>
      <c r="C53" s="1"/>
      <c r="J53" s="1"/>
      <c r="K53" s="1"/>
      <c r="L53" s="1"/>
    </row>
    <row r="54" ht="12.75" customHeight="1">
      <c r="A54" s="1"/>
      <c r="C54" s="1"/>
      <c r="J54" s="1"/>
      <c r="K54" s="1"/>
      <c r="L54" s="1"/>
    </row>
    <row r="55" ht="12.75" customHeight="1">
      <c r="A55" s="1"/>
      <c r="C55" s="1"/>
      <c r="J55" s="1"/>
      <c r="K55" s="1"/>
      <c r="L55" s="1"/>
    </row>
    <row r="56" ht="12.75" customHeight="1">
      <c r="A56" s="1"/>
      <c r="C56" s="1"/>
      <c r="J56" s="1"/>
      <c r="K56" s="1"/>
      <c r="L56" s="1"/>
    </row>
    <row r="57" ht="12.75" customHeight="1">
      <c r="A57" s="1"/>
      <c r="C57" s="1"/>
      <c r="J57" s="1"/>
      <c r="K57" s="1"/>
      <c r="L57" s="1"/>
    </row>
    <row r="58" ht="12.75" customHeight="1">
      <c r="A58" s="1"/>
      <c r="C58" s="1"/>
      <c r="J58" s="1"/>
      <c r="K58" s="1"/>
      <c r="L58" s="1"/>
    </row>
    <row r="59" ht="12.75" customHeight="1">
      <c r="A59" s="1"/>
      <c r="C59" s="1"/>
      <c r="J59" s="1"/>
      <c r="K59" s="1"/>
      <c r="L59" s="1"/>
    </row>
    <row r="60" ht="12.75" customHeight="1">
      <c r="A60" s="1"/>
      <c r="C60" s="1"/>
      <c r="J60" s="1"/>
      <c r="K60" s="1"/>
      <c r="L60" s="1"/>
    </row>
    <row r="61" ht="12.75" customHeight="1">
      <c r="A61" s="1"/>
      <c r="C61" s="1"/>
      <c r="J61" s="1"/>
      <c r="K61" s="1"/>
      <c r="L61" s="1"/>
    </row>
    <row r="62" ht="12.75" customHeight="1">
      <c r="A62" s="1"/>
      <c r="C62" s="1"/>
      <c r="J62" s="1"/>
      <c r="K62" s="1"/>
      <c r="L62" s="1"/>
    </row>
    <row r="63" ht="12.75" customHeight="1">
      <c r="A63" s="1"/>
      <c r="C63" s="1"/>
      <c r="J63" s="1"/>
      <c r="K63" s="1"/>
      <c r="L63" s="1"/>
    </row>
    <row r="64" ht="12.75" customHeight="1">
      <c r="A64" s="1"/>
      <c r="C64" s="1"/>
      <c r="J64" s="1"/>
      <c r="K64" s="1"/>
      <c r="L64" s="1"/>
    </row>
    <row r="65" ht="12.75" customHeight="1">
      <c r="A65" s="1"/>
      <c r="C65" s="1"/>
      <c r="J65" s="1"/>
      <c r="K65" s="1"/>
      <c r="L65" s="1"/>
    </row>
    <row r="66" ht="12.75" customHeight="1">
      <c r="A66" s="1"/>
      <c r="C66" s="1"/>
      <c r="J66" s="1"/>
      <c r="K66" s="1"/>
      <c r="L66" s="1"/>
    </row>
    <row r="67" ht="12.75" customHeight="1">
      <c r="A67" s="1"/>
      <c r="C67" s="1"/>
      <c r="J67" s="1"/>
      <c r="K67" s="1"/>
      <c r="L67" s="1"/>
    </row>
    <row r="68" ht="12.75" customHeight="1">
      <c r="A68" s="1"/>
      <c r="C68" s="1"/>
      <c r="J68" s="1"/>
      <c r="K68" s="1"/>
      <c r="L68" s="1"/>
    </row>
    <row r="69" ht="12.75" customHeight="1">
      <c r="A69" s="1"/>
      <c r="C69" s="1"/>
      <c r="J69" s="1"/>
      <c r="K69" s="1"/>
      <c r="L69" s="1"/>
    </row>
    <row r="70" ht="12.75" customHeight="1">
      <c r="A70" s="1"/>
      <c r="C70" s="1"/>
      <c r="J70" s="1"/>
      <c r="K70" s="1"/>
      <c r="L70" s="1"/>
    </row>
    <row r="71" ht="12.75" customHeight="1">
      <c r="A71" s="1"/>
      <c r="C71" s="1"/>
      <c r="J71" s="1"/>
      <c r="K71" s="1"/>
      <c r="L71" s="1"/>
    </row>
    <row r="72" ht="12.75" customHeight="1">
      <c r="A72" s="1"/>
      <c r="C72" s="1"/>
      <c r="J72" s="1"/>
      <c r="K72" s="1"/>
      <c r="L72" s="1"/>
    </row>
    <row r="73" ht="12.75" customHeight="1">
      <c r="A73" s="1"/>
      <c r="C73" s="1"/>
      <c r="J73" s="1"/>
      <c r="K73" s="1"/>
      <c r="L73" s="1"/>
    </row>
    <row r="74" ht="12.75" customHeight="1">
      <c r="A74" s="1"/>
      <c r="C74" s="1"/>
      <c r="J74" s="1"/>
      <c r="K74" s="1"/>
      <c r="L74" s="1"/>
    </row>
    <row r="75" ht="12.75" customHeight="1">
      <c r="A75" s="1"/>
      <c r="C75" s="1"/>
      <c r="J75" s="1"/>
      <c r="K75" s="1"/>
      <c r="L75" s="1"/>
    </row>
    <row r="76" ht="12.75" customHeight="1">
      <c r="A76" s="1"/>
      <c r="C76" s="1"/>
      <c r="J76" s="1"/>
      <c r="K76" s="1"/>
      <c r="L76" s="1"/>
    </row>
    <row r="77" ht="12.75" customHeight="1">
      <c r="A77" s="1"/>
      <c r="C77" s="1"/>
      <c r="J77" s="1"/>
      <c r="K77" s="1"/>
      <c r="L77" s="1"/>
    </row>
    <row r="78" ht="12.75" customHeight="1">
      <c r="A78" s="1"/>
      <c r="C78" s="1"/>
      <c r="J78" s="1"/>
      <c r="K78" s="1"/>
      <c r="L78" s="1"/>
    </row>
    <row r="79" ht="12.75" customHeight="1">
      <c r="A79" s="1"/>
      <c r="C79" s="1"/>
      <c r="J79" s="1"/>
      <c r="K79" s="1"/>
      <c r="L79" s="1"/>
    </row>
    <row r="80" ht="12.75" customHeight="1">
      <c r="A80" s="1"/>
      <c r="C80" s="1"/>
      <c r="J80" s="1"/>
      <c r="K80" s="1"/>
      <c r="L80" s="1"/>
    </row>
    <row r="81" ht="12.75" customHeight="1">
      <c r="A81" s="1"/>
      <c r="C81" s="1"/>
      <c r="J81" s="1"/>
      <c r="K81" s="1"/>
      <c r="L81" s="1"/>
    </row>
    <row r="82" ht="12.75" customHeight="1">
      <c r="A82" s="1"/>
      <c r="C82" s="1"/>
      <c r="J82" s="1"/>
      <c r="K82" s="1"/>
      <c r="L82" s="1"/>
    </row>
    <row r="83" ht="12.75" customHeight="1">
      <c r="A83" s="1"/>
      <c r="C83" s="1"/>
      <c r="J83" s="1"/>
      <c r="K83" s="1"/>
      <c r="L83" s="1"/>
    </row>
    <row r="84" ht="12.75" customHeight="1">
      <c r="A84" s="1"/>
      <c r="C84" s="1"/>
      <c r="J84" s="1"/>
      <c r="K84" s="1"/>
      <c r="L84" s="1"/>
    </row>
    <row r="85" ht="12.75" customHeight="1">
      <c r="A85" s="1"/>
      <c r="C85" s="1"/>
      <c r="J85" s="1"/>
      <c r="K85" s="1"/>
      <c r="L85" s="1"/>
    </row>
    <row r="86" ht="12.75" customHeight="1">
      <c r="A86" s="1"/>
      <c r="C86" s="1"/>
      <c r="J86" s="1"/>
      <c r="K86" s="1"/>
      <c r="L86" s="1"/>
    </row>
    <row r="87" ht="12.75" customHeight="1">
      <c r="A87" s="1"/>
      <c r="C87" s="1"/>
      <c r="J87" s="1"/>
      <c r="K87" s="1"/>
      <c r="L87" s="1"/>
    </row>
    <row r="88" ht="12.75" customHeight="1">
      <c r="A88" s="1"/>
      <c r="C88" s="1"/>
      <c r="J88" s="1"/>
      <c r="K88" s="1"/>
      <c r="L88" s="1"/>
    </row>
    <row r="89" ht="12.75" customHeight="1">
      <c r="A89" s="1"/>
      <c r="C89" s="1"/>
      <c r="J89" s="1"/>
      <c r="K89" s="1"/>
      <c r="L89" s="1"/>
    </row>
    <row r="90" ht="12.75" customHeight="1">
      <c r="A90" s="1"/>
      <c r="C90" s="1"/>
      <c r="J90" s="1"/>
      <c r="K90" s="1"/>
      <c r="L90" s="1"/>
    </row>
    <row r="91" ht="12.75" customHeight="1">
      <c r="A91" s="1"/>
      <c r="C91" s="1"/>
      <c r="J91" s="1"/>
      <c r="K91" s="1"/>
      <c r="L91" s="1"/>
    </row>
    <row r="92" ht="12.75" customHeight="1">
      <c r="A92" s="1"/>
      <c r="C92" s="1"/>
      <c r="J92" s="1"/>
      <c r="K92" s="1"/>
      <c r="L92" s="1"/>
    </row>
    <row r="93" ht="12.75" customHeight="1">
      <c r="A93" s="1"/>
      <c r="C93" s="1"/>
      <c r="J93" s="1"/>
      <c r="K93" s="1"/>
      <c r="L93" s="1"/>
    </row>
    <row r="94" ht="12.75" customHeight="1">
      <c r="A94" s="1"/>
      <c r="C94" s="1"/>
      <c r="J94" s="1"/>
      <c r="K94" s="1"/>
      <c r="L94" s="1"/>
    </row>
    <row r="95" ht="12.75" customHeight="1">
      <c r="A95" s="1"/>
      <c r="C95" s="1"/>
      <c r="J95" s="1"/>
      <c r="K95" s="1"/>
      <c r="L95" s="1"/>
    </row>
    <row r="96" ht="12.75" customHeight="1">
      <c r="A96" s="1"/>
      <c r="C96" s="1"/>
      <c r="J96" s="1"/>
      <c r="K96" s="1"/>
      <c r="L96" s="1"/>
    </row>
    <row r="97" ht="12.75" customHeight="1">
      <c r="A97" s="1"/>
      <c r="C97" s="1"/>
      <c r="J97" s="1"/>
      <c r="K97" s="1"/>
      <c r="L97" s="1"/>
    </row>
    <row r="98" ht="12.75" customHeight="1">
      <c r="A98" s="1"/>
      <c r="C98" s="1"/>
      <c r="J98" s="1"/>
      <c r="K98" s="1"/>
      <c r="L98" s="1"/>
    </row>
    <row r="99" ht="12.75" customHeight="1">
      <c r="A99" s="1"/>
      <c r="C99" s="1"/>
      <c r="J99" s="1"/>
      <c r="K99" s="1"/>
      <c r="L99" s="1"/>
    </row>
    <row r="100" ht="12.75" customHeight="1">
      <c r="A100" s="1"/>
      <c r="C100" s="1"/>
      <c r="J100" s="1"/>
      <c r="K100" s="1"/>
      <c r="L100" s="1"/>
    </row>
    <row r="101" ht="12.75" customHeight="1">
      <c r="A101" s="1"/>
      <c r="C101" s="1"/>
      <c r="J101" s="1"/>
      <c r="K101" s="1"/>
      <c r="L101" s="1"/>
    </row>
    <row r="102" ht="12.75" customHeight="1">
      <c r="A102" s="1"/>
      <c r="C102" s="1"/>
      <c r="J102" s="1"/>
      <c r="K102" s="1"/>
      <c r="L102" s="1"/>
    </row>
    <row r="103" ht="12.75" customHeight="1">
      <c r="A103" s="1"/>
      <c r="C103" s="1"/>
      <c r="J103" s="1"/>
      <c r="K103" s="1"/>
      <c r="L103" s="1"/>
    </row>
    <row r="104" ht="12.75" customHeight="1">
      <c r="A104" s="1"/>
      <c r="C104" s="1"/>
      <c r="J104" s="1"/>
      <c r="K104" s="1"/>
      <c r="L104" s="1"/>
    </row>
    <row r="105" ht="12.75" customHeight="1">
      <c r="A105" s="1"/>
      <c r="C105" s="1"/>
      <c r="J105" s="1"/>
      <c r="K105" s="1"/>
      <c r="L105" s="1"/>
    </row>
    <row r="106" ht="12.75" customHeight="1">
      <c r="A106" s="1"/>
      <c r="C106" s="1"/>
      <c r="J106" s="1"/>
      <c r="K106" s="1"/>
      <c r="L106" s="1"/>
    </row>
    <row r="107" ht="12.75" customHeight="1">
      <c r="A107" s="1"/>
      <c r="C107" s="1"/>
      <c r="J107" s="1"/>
      <c r="K107" s="1"/>
      <c r="L107" s="1"/>
    </row>
    <row r="108" ht="12.75" customHeight="1">
      <c r="A108" s="1"/>
      <c r="C108" s="1"/>
      <c r="J108" s="1"/>
      <c r="K108" s="1"/>
      <c r="L108" s="1"/>
    </row>
    <row r="109" ht="12.75" customHeight="1">
      <c r="A109" s="1"/>
      <c r="C109" s="1"/>
      <c r="J109" s="1"/>
      <c r="K109" s="1"/>
      <c r="L109" s="1"/>
    </row>
    <row r="110" ht="12.75" customHeight="1">
      <c r="A110" s="1"/>
      <c r="C110" s="1"/>
      <c r="J110" s="1"/>
      <c r="K110" s="1"/>
      <c r="L110" s="1"/>
    </row>
    <row r="111" ht="12.75" customHeight="1">
      <c r="A111" s="1"/>
      <c r="C111" s="1"/>
      <c r="J111" s="1"/>
      <c r="K111" s="1"/>
      <c r="L111" s="1"/>
    </row>
    <row r="112" ht="12.75" customHeight="1">
      <c r="A112" s="1"/>
      <c r="C112" s="1"/>
      <c r="J112" s="1"/>
      <c r="K112" s="1"/>
      <c r="L112" s="1"/>
    </row>
    <row r="113" ht="12.75" customHeight="1">
      <c r="A113" s="1"/>
      <c r="C113" s="1"/>
      <c r="J113" s="1"/>
      <c r="K113" s="1"/>
      <c r="L113" s="1"/>
    </row>
    <row r="114" ht="12.75" customHeight="1">
      <c r="A114" s="1"/>
      <c r="C114" s="1"/>
      <c r="J114" s="1"/>
      <c r="K114" s="1"/>
      <c r="L114" s="1"/>
    </row>
    <row r="115" ht="12.75" customHeight="1">
      <c r="A115" s="1"/>
      <c r="C115" s="1"/>
      <c r="J115" s="1"/>
      <c r="K115" s="1"/>
      <c r="L115" s="1"/>
    </row>
    <row r="116" ht="12.75" customHeight="1">
      <c r="A116" s="1"/>
      <c r="C116" s="1"/>
      <c r="J116" s="1"/>
      <c r="K116" s="1"/>
      <c r="L116" s="1"/>
    </row>
    <row r="117" ht="12.75" customHeight="1">
      <c r="A117" s="1"/>
      <c r="C117" s="1"/>
      <c r="J117" s="1"/>
      <c r="K117" s="1"/>
      <c r="L117" s="1"/>
    </row>
    <row r="118" ht="12.75" customHeight="1">
      <c r="A118" s="1"/>
      <c r="C118" s="1"/>
      <c r="J118" s="1"/>
      <c r="K118" s="1"/>
      <c r="L118" s="1"/>
    </row>
    <row r="119" ht="12.75" customHeight="1">
      <c r="A119" s="1"/>
      <c r="C119" s="1"/>
      <c r="J119" s="1"/>
      <c r="K119" s="1"/>
      <c r="L119" s="1"/>
    </row>
    <row r="120" ht="12.75" customHeight="1">
      <c r="A120" s="1"/>
      <c r="C120" s="1"/>
      <c r="J120" s="1"/>
      <c r="K120" s="1"/>
      <c r="L120" s="1"/>
    </row>
    <row r="121" ht="12.75" customHeight="1">
      <c r="A121" s="1"/>
      <c r="C121" s="1"/>
      <c r="J121" s="1"/>
      <c r="K121" s="1"/>
      <c r="L121" s="1"/>
    </row>
    <row r="122" ht="12.75" customHeight="1">
      <c r="A122" s="1"/>
      <c r="C122" s="1"/>
      <c r="J122" s="1"/>
      <c r="K122" s="1"/>
      <c r="L122" s="1"/>
    </row>
    <row r="123" ht="12.75" customHeight="1">
      <c r="A123" s="1"/>
      <c r="C123" s="1"/>
      <c r="J123" s="1"/>
      <c r="K123" s="1"/>
      <c r="L123" s="1"/>
    </row>
    <row r="124" ht="12.75" customHeight="1">
      <c r="A124" s="1"/>
      <c r="C124" s="1"/>
      <c r="J124" s="1"/>
      <c r="K124" s="1"/>
      <c r="L124" s="1"/>
    </row>
    <row r="125" ht="12.75" customHeight="1">
      <c r="A125" s="1"/>
      <c r="C125" s="1"/>
      <c r="J125" s="1"/>
      <c r="K125" s="1"/>
      <c r="L125" s="1"/>
    </row>
    <row r="126" ht="12.75" customHeight="1">
      <c r="A126" s="1"/>
      <c r="C126" s="1"/>
      <c r="J126" s="1"/>
      <c r="K126" s="1"/>
      <c r="L126" s="1"/>
    </row>
    <row r="127" ht="12.75" customHeight="1">
      <c r="A127" s="1"/>
      <c r="C127" s="1"/>
      <c r="J127" s="1"/>
      <c r="K127" s="1"/>
      <c r="L127" s="1"/>
    </row>
    <row r="128" ht="12.75" customHeight="1">
      <c r="A128" s="1"/>
      <c r="C128" s="1"/>
      <c r="J128" s="1"/>
      <c r="K128" s="1"/>
      <c r="L128" s="1"/>
    </row>
    <row r="129" ht="12.75" customHeight="1">
      <c r="A129" s="1"/>
      <c r="C129" s="1"/>
      <c r="J129" s="1"/>
      <c r="K129" s="1"/>
      <c r="L129" s="1"/>
    </row>
    <row r="130" ht="12.75" customHeight="1">
      <c r="A130" s="1"/>
      <c r="C130" s="1"/>
      <c r="J130" s="1"/>
      <c r="K130" s="1"/>
      <c r="L130" s="1"/>
    </row>
    <row r="131" ht="12.75" customHeight="1">
      <c r="A131" s="1"/>
      <c r="C131" s="1"/>
      <c r="J131" s="1"/>
      <c r="K131" s="1"/>
      <c r="L131" s="1"/>
    </row>
    <row r="132" ht="12.75" customHeight="1">
      <c r="A132" s="1"/>
      <c r="C132" s="1"/>
      <c r="J132" s="1"/>
      <c r="K132" s="1"/>
      <c r="L132" s="1"/>
    </row>
    <row r="133" ht="12.75" customHeight="1">
      <c r="A133" s="1"/>
      <c r="C133" s="1"/>
      <c r="J133" s="1"/>
      <c r="K133" s="1"/>
      <c r="L133" s="1"/>
    </row>
    <row r="134" ht="12.75" customHeight="1">
      <c r="A134" s="1"/>
      <c r="C134" s="1"/>
      <c r="J134" s="1"/>
      <c r="K134" s="1"/>
      <c r="L134" s="1"/>
    </row>
    <row r="135" ht="12.75" customHeight="1">
      <c r="A135" s="1"/>
      <c r="C135" s="1"/>
      <c r="J135" s="1"/>
      <c r="K135" s="1"/>
      <c r="L135" s="1"/>
    </row>
    <row r="136" ht="12.75" customHeight="1">
      <c r="A136" s="1"/>
      <c r="C136" s="1"/>
      <c r="J136" s="1"/>
      <c r="K136" s="1"/>
      <c r="L136" s="1"/>
    </row>
    <row r="137" ht="12.75" customHeight="1">
      <c r="A137" s="1"/>
      <c r="C137" s="1"/>
      <c r="J137" s="1"/>
      <c r="K137" s="1"/>
      <c r="L137" s="1"/>
    </row>
    <row r="138" ht="12.75" customHeight="1">
      <c r="A138" s="1"/>
      <c r="C138" s="1"/>
      <c r="J138" s="1"/>
      <c r="K138" s="1"/>
      <c r="L138" s="1"/>
    </row>
    <row r="139" ht="12.75" customHeight="1">
      <c r="A139" s="1"/>
      <c r="C139" s="1"/>
      <c r="J139" s="1"/>
      <c r="K139" s="1"/>
      <c r="L139" s="1"/>
    </row>
    <row r="140" ht="12.75" customHeight="1">
      <c r="A140" s="1"/>
      <c r="C140" s="1"/>
      <c r="J140" s="1"/>
      <c r="K140" s="1"/>
      <c r="L140" s="1"/>
    </row>
    <row r="141" ht="12.75" customHeight="1">
      <c r="A141" s="1"/>
      <c r="C141" s="1"/>
      <c r="J141" s="1"/>
      <c r="K141" s="1"/>
      <c r="L141" s="1"/>
    </row>
    <row r="142" ht="12.75" customHeight="1">
      <c r="A142" s="1"/>
      <c r="C142" s="1"/>
      <c r="J142" s="1"/>
      <c r="K142" s="1"/>
      <c r="L142" s="1"/>
    </row>
    <row r="143" ht="12.75" customHeight="1">
      <c r="A143" s="1"/>
      <c r="C143" s="1"/>
      <c r="J143" s="1"/>
      <c r="K143" s="1"/>
      <c r="L143" s="1"/>
    </row>
    <row r="144" ht="12.75" customHeight="1">
      <c r="A144" s="1"/>
      <c r="C144" s="1"/>
      <c r="J144" s="1"/>
      <c r="K144" s="1"/>
      <c r="L144" s="1"/>
    </row>
    <row r="145" ht="12.75" customHeight="1">
      <c r="A145" s="1"/>
      <c r="C145" s="1"/>
      <c r="J145" s="1"/>
      <c r="K145" s="1"/>
      <c r="L145" s="1"/>
    </row>
    <row r="146" ht="12.75" customHeight="1">
      <c r="A146" s="1"/>
      <c r="C146" s="1"/>
      <c r="J146" s="1"/>
      <c r="K146" s="1"/>
      <c r="L146" s="1"/>
    </row>
    <row r="147" ht="12.75" customHeight="1">
      <c r="A147" s="1"/>
      <c r="C147" s="1"/>
      <c r="J147" s="1"/>
      <c r="K147" s="1"/>
      <c r="L147" s="1"/>
    </row>
    <row r="148" ht="12.75" customHeight="1">
      <c r="A148" s="1"/>
      <c r="C148" s="1"/>
      <c r="J148" s="1"/>
      <c r="K148" s="1"/>
      <c r="L148" s="1"/>
    </row>
    <row r="149" ht="12.75" customHeight="1">
      <c r="A149" s="1"/>
      <c r="C149" s="1"/>
      <c r="J149" s="1"/>
      <c r="K149" s="1"/>
      <c r="L149" s="1"/>
    </row>
    <row r="150" ht="12.75" customHeight="1">
      <c r="A150" s="1"/>
      <c r="C150" s="1"/>
      <c r="J150" s="1"/>
      <c r="K150" s="1"/>
      <c r="L150" s="1"/>
    </row>
    <row r="151" ht="12.75" customHeight="1">
      <c r="A151" s="1"/>
      <c r="C151" s="1"/>
      <c r="J151" s="1"/>
      <c r="K151" s="1"/>
      <c r="L151" s="1"/>
    </row>
    <row r="152" ht="12.75" customHeight="1">
      <c r="A152" s="1"/>
      <c r="C152" s="1"/>
      <c r="J152" s="1"/>
      <c r="K152" s="1"/>
      <c r="L152" s="1"/>
    </row>
    <row r="153" ht="12.75" customHeight="1">
      <c r="A153" s="1"/>
      <c r="C153" s="1"/>
      <c r="J153" s="1"/>
      <c r="K153" s="1"/>
      <c r="L153" s="1"/>
    </row>
    <row r="154" ht="12.75" customHeight="1">
      <c r="A154" s="1"/>
      <c r="C154" s="1"/>
      <c r="J154" s="1"/>
      <c r="K154" s="1"/>
      <c r="L154" s="1"/>
    </row>
    <row r="155" ht="12.75" customHeight="1">
      <c r="A155" s="1"/>
      <c r="C155" s="1"/>
      <c r="J155" s="1"/>
      <c r="K155" s="1"/>
      <c r="L155" s="1"/>
    </row>
    <row r="156" ht="12.75" customHeight="1">
      <c r="A156" s="1"/>
      <c r="C156" s="1"/>
      <c r="J156" s="1"/>
      <c r="K156" s="1"/>
      <c r="L156" s="1"/>
    </row>
    <row r="157" ht="12.75" customHeight="1">
      <c r="A157" s="1"/>
      <c r="C157" s="1"/>
      <c r="J157" s="1"/>
      <c r="K157" s="1"/>
      <c r="L157" s="1"/>
    </row>
    <row r="158" ht="12.75" customHeight="1">
      <c r="A158" s="1"/>
      <c r="C158" s="1"/>
      <c r="J158" s="1"/>
      <c r="K158" s="1"/>
      <c r="L158" s="1"/>
    </row>
    <row r="159" ht="12.75" customHeight="1">
      <c r="A159" s="1"/>
      <c r="C159" s="1"/>
      <c r="J159" s="1"/>
      <c r="K159" s="1"/>
      <c r="L159" s="1"/>
    </row>
    <row r="160" ht="12.75" customHeight="1">
      <c r="A160" s="1"/>
      <c r="C160" s="1"/>
      <c r="J160" s="1"/>
      <c r="K160" s="1"/>
      <c r="L160" s="1"/>
    </row>
    <row r="161" ht="12.75" customHeight="1">
      <c r="A161" s="1"/>
      <c r="C161" s="1"/>
      <c r="J161" s="1"/>
      <c r="K161" s="1"/>
      <c r="L161" s="1"/>
    </row>
    <row r="162" ht="12.75" customHeight="1">
      <c r="A162" s="1"/>
      <c r="C162" s="1"/>
      <c r="J162" s="1"/>
      <c r="K162" s="1"/>
      <c r="L162" s="1"/>
    </row>
    <row r="163" ht="12.75" customHeight="1">
      <c r="A163" s="1"/>
      <c r="C163" s="1"/>
      <c r="J163" s="1"/>
      <c r="K163" s="1"/>
      <c r="L163" s="1"/>
    </row>
    <row r="164" ht="12.75" customHeight="1">
      <c r="A164" s="1"/>
      <c r="C164" s="1"/>
      <c r="J164" s="1"/>
      <c r="K164" s="1"/>
      <c r="L164" s="1"/>
    </row>
    <row r="165" ht="12.75" customHeight="1">
      <c r="A165" s="1"/>
      <c r="C165" s="1"/>
      <c r="J165" s="1"/>
      <c r="K165" s="1"/>
      <c r="L165" s="1"/>
    </row>
    <row r="166" ht="12.75" customHeight="1">
      <c r="A166" s="1"/>
      <c r="C166" s="1"/>
      <c r="J166" s="1"/>
      <c r="K166" s="1"/>
      <c r="L166" s="1"/>
    </row>
    <row r="167" ht="12.75" customHeight="1">
      <c r="A167" s="1"/>
      <c r="C167" s="1"/>
      <c r="J167" s="1"/>
      <c r="K167" s="1"/>
      <c r="L167" s="1"/>
    </row>
    <row r="168" ht="12.75" customHeight="1">
      <c r="A168" s="1"/>
      <c r="C168" s="1"/>
      <c r="J168" s="1"/>
      <c r="K168" s="1"/>
      <c r="L168" s="1"/>
    </row>
    <row r="169" ht="12.75" customHeight="1">
      <c r="A169" s="1"/>
      <c r="C169" s="1"/>
      <c r="J169" s="1"/>
      <c r="K169" s="1"/>
      <c r="L169" s="1"/>
    </row>
    <row r="170" ht="12.75" customHeight="1">
      <c r="A170" s="1"/>
      <c r="C170" s="1"/>
      <c r="J170" s="1"/>
      <c r="K170" s="1"/>
      <c r="L170" s="1"/>
    </row>
    <row r="171" ht="12.75" customHeight="1">
      <c r="A171" s="1"/>
      <c r="C171" s="1"/>
      <c r="J171" s="1"/>
      <c r="K171" s="1"/>
      <c r="L171" s="1"/>
    </row>
    <row r="172" ht="12.75" customHeight="1">
      <c r="A172" s="1"/>
      <c r="C172" s="1"/>
      <c r="J172" s="1"/>
      <c r="K172" s="1"/>
      <c r="L172" s="1"/>
    </row>
    <row r="173" ht="12.75" customHeight="1">
      <c r="A173" s="1"/>
      <c r="C173" s="1"/>
      <c r="J173" s="1"/>
      <c r="K173" s="1"/>
      <c r="L173" s="1"/>
    </row>
    <row r="174" ht="12.75" customHeight="1">
      <c r="A174" s="1"/>
      <c r="C174" s="1"/>
      <c r="J174" s="1"/>
      <c r="K174" s="1"/>
      <c r="L174" s="1"/>
    </row>
    <row r="175" ht="12.75" customHeight="1">
      <c r="A175" s="1"/>
      <c r="C175" s="1"/>
      <c r="J175" s="1"/>
      <c r="K175" s="1"/>
      <c r="L175" s="1"/>
    </row>
    <row r="176" ht="12.75" customHeight="1">
      <c r="A176" s="1"/>
      <c r="C176" s="1"/>
      <c r="J176" s="1"/>
      <c r="K176" s="1"/>
      <c r="L176" s="1"/>
    </row>
    <row r="177" ht="12.75" customHeight="1">
      <c r="A177" s="1"/>
      <c r="C177" s="1"/>
      <c r="J177" s="1"/>
      <c r="K177" s="1"/>
      <c r="L177" s="1"/>
    </row>
    <row r="178" ht="12.75" customHeight="1">
      <c r="A178" s="1"/>
      <c r="C178" s="1"/>
      <c r="J178" s="1"/>
      <c r="K178" s="1"/>
      <c r="L178" s="1"/>
    </row>
    <row r="179" ht="12.75" customHeight="1">
      <c r="A179" s="1"/>
      <c r="C179" s="1"/>
      <c r="J179" s="1"/>
      <c r="K179" s="1"/>
      <c r="L179" s="1"/>
    </row>
    <row r="180" ht="12.75" customHeight="1">
      <c r="A180" s="1"/>
      <c r="C180" s="1"/>
      <c r="J180" s="1"/>
      <c r="K180" s="1"/>
      <c r="L180" s="1"/>
    </row>
    <row r="181" ht="12.75" customHeight="1">
      <c r="A181" s="1"/>
      <c r="C181" s="1"/>
      <c r="J181" s="1"/>
      <c r="K181" s="1"/>
      <c r="L181" s="1"/>
    </row>
    <row r="182" ht="12.75" customHeight="1">
      <c r="A182" s="1"/>
      <c r="C182" s="1"/>
      <c r="J182" s="1"/>
      <c r="K182" s="1"/>
      <c r="L182" s="1"/>
    </row>
    <row r="183" ht="12.75" customHeight="1">
      <c r="A183" s="1"/>
      <c r="C183" s="1"/>
      <c r="J183" s="1"/>
      <c r="K183" s="1"/>
      <c r="L183" s="1"/>
    </row>
    <row r="184" ht="12.75" customHeight="1">
      <c r="A184" s="1"/>
      <c r="C184" s="1"/>
      <c r="J184" s="1"/>
      <c r="K184" s="1"/>
      <c r="L184" s="1"/>
    </row>
    <row r="185" ht="12.75" customHeight="1">
      <c r="A185" s="1"/>
      <c r="C185" s="1"/>
      <c r="J185" s="1"/>
      <c r="K185" s="1"/>
      <c r="L185" s="1"/>
    </row>
    <row r="186" ht="12.75" customHeight="1">
      <c r="A186" s="1"/>
      <c r="C186" s="1"/>
      <c r="J186" s="1"/>
      <c r="K186" s="1"/>
      <c r="L186" s="1"/>
    </row>
    <row r="187" ht="12.75" customHeight="1">
      <c r="A187" s="1"/>
      <c r="C187" s="1"/>
      <c r="J187" s="1"/>
      <c r="K187" s="1"/>
      <c r="L187" s="1"/>
    </row>
    <row r="188" ht="12.75" customHeight="1">
      <c r="A188" s="1"/>
      <c r="C188" s="1"/>
      <c r="J188" s="1"/>
      <c r="K188" s="1"/>
      <c r="L188" s="1"/>
    </row>
    <row r="189" ht="12.75" customHeight="1">
      <c r="A189" s="1"/>
      <c r="C189" s="1"/>
      <c r="J189" s="1"/>
      <c r="K189" s="1"/>
      <c r="L189" s="1"/>
    </row>
    <row r="190" ht="12.75" customHeight="1">
      <c r="A190" s="1"/>
      <c r="C190" s="1"/>
      <c r="J190" s="1"/>
      <c r="K190" s="1"/>
      <c r="L190" s="1"/>
    </row>
    <row r="191" ht="12.75" customHeight="1">
      <c r="A191" s="1"/>
      <c r="C191" s="1"/>
      <c r="J191" s="1"/>
      <c r="K191" s="1"/>
      <c r="L191" s="1"/>
    </row>
    <row r="192" ht="12.75" customHeight="1">
      <c r="A192" s="1"/>
      <c r="C192" s="1"/>
      <c r="J192" s="1"/>
      <c r="K192" s="1"/>
      <c r="L192" s="1"/>
    </row>
    <row r="193" ht="12.75" customHeight="1">
      <c r="A193" s="1"/>
      <c r="C193" s="1"/>
      <c r="J193" s="1"/>
      <c r="K193" s="1"/>
      <c r="L193" s="1"/>
    </row>
    <row r="194" ht="12.75" customHeight="1">
      <c r="A194" s="1"/>
      <c r="C194" s="1"/>
      <c r="J194" s="1"/>
      <c r="K194" s="1"/>
      <c r="L194" s="1"/>
    </row>
    <row r="195" ht="12.75" customHeight="1">
      <c r="A195" s="1"/>
      <c r="C195" s="1"/>
      <c r="J195" s="1"/>
      <c r="K195" s="1"/>
      <c r="L195" s="1"/>
    </row>
    <row r="196" ht="12.75" customHeight="1">
      <c r="A196" s="1"/>
      <c r="C196" s="1"/>
      <c r="J196" s="1"/>
      <c r="K196" s="1"/>
      <c r="L196" s="1"/>
    </row>
    <row r="197" ht="12.75" customHeight="1">
      <c r="A197" s="1"/>
      <c r="C197" s="1"/>
      <c r="J197" s="1"/>
      <c r="K197" s="1"/>
      <c r="L197" s="1"/>
    </row>
    <row r="198" ht="12.75" customHeight="1">
      <c r="A198" s="1"/>
      <c r="C198" s="1"/>
      <c r="J198" s="1"/>
      <c r="K198" s="1"/>
      <c r="L198" s="1"/>
    </row>
    <row r="199" ht="12.75" customHeight="1">
      <c r="A199" s="1"/>
      <c r="C199" s="1"/>
      <c r="J199" s="1"/>
      <c r="K199" s="1"/>
      <c r="L199" s="1"/>
    </row>
    <row r="200" ht="12.75" customHeight="1">
      <c r="A200" s="1"/>
      <c r="C200" s="1"/>
      <c r="J200" s="1"/>
      <c r="K200" s="1"/>
      <c r="L200" s="1"/>
    </row>
    <row r="201" ht="12.75" customHeight="1">
      <c r="A201" s="1"/>
      <c r="C201" s="1"/>
      <c r="J201" s="1"/>
      <c r="K201" s="1"/>
      <c r="L201" s="1"/>
    </row>
    <row r="202" ht="12.75" customHeight="1">
      <c r="A202" s="1"/>
      <c r="C202" s="1"/>
      <c r="J202" s="1"/>
      <c r="K202" s="1"/>
      <c r="L202" s="1"/>
    </row>
    <row r="203" ht="12.75" customHeight="1">
      <c r="A203" s="1"/>
      <c r="C203" s="1"/>
      <c r="J203" s="1"/>
      <c r="K203" s="1"/>
      <c r="L203" s="1"/>
    </row>
    <row r="204" ht="12.75" customHeight="1">
      <c r="A204" s="1"/>
      <c r="C204" s="1"/>
      <c r="J204" s="1"/>
      <c r="K204" s="1"/>
      <c r="L204" s="1"/>
    </row>
    <row r="205" ht="12.75" customHeight="1">
      <c r="A205" s="1"/>
      <c r="C205" s="1"/>
      <c r="J205" s="1"/>
      <c r="K205" s="1"/>
      <c r="L205" s="1"/>
    </row>
    <row r="206" ht="12.75" customHeight="1">
      <c r="A206" s="1"/>
      <c r="C206" s="1"/>
      <c r="J206" s="1"/>
      <c r="K206" s="1"/>
      <c r="L206" s="1"/>
    </row>
    <row r="207" ht="12.75" customHeight="1">
      <c r="A207" s="1"/>
      <c r="C207" s="1"/>
      <c r="J207" s="1"/>
      <c r="K207" s="1"/>
      <c r="L207" s="1"/>
    </row>
    <row r="208" ht="12.75" customHeight="1">
      <c r="A208" s="1"/>
      <c r="C208" s="1"/>
      <c r="J208" s="1"/>
      <c r="K208" s="1"/>
      <c r="L208" s="1"/>
    </row>
    <row r="209" ht="12.75" customHeight="1">
      <c r="A209" s="1"/>
      <c r="C209" s="1"/>
      <c r="J209" s="1"/>
      <c r="K209" s="1"/>
      <c r="L209" s="1"/>
    </row>
    <row r="210" ht="12.75" customHeight="1">
      <c r="A210" s="1"/>
      <c r="C210" s="1"/>
      <c r="J210" s="1"/>
      <c r="K210" s="1"/>
      <c r="L210" s="1"/>
    </row>
    <row r="211" ht="12.75" customHeight="1">
      <c r="A211" s="1"/>
      <c r="C211" s="1"/>
      <c r="J211" s="1"/>
      <c r="K211" s="1"/>
      <c r="L211" s="1"/>
    </row>
    <row r="212" ht="12.75" customHeight="1">
      <c r="A212" s="1"/>
      <c r="C212" s="1"/>
      <c r="J212" s="1"/>
      <c r="K212" s="1"/>
      <c r="L212" s="1"/>
    </row>
    <row r="213" ht="12.75" customHeight="1">
      <c r="A213" s="1"/>
      <c r="C213" s="1"/>
      <c r="J213" s="1"/>
      <c r="K213" s="1"/>
      <c r="L213" s="1"/>
    </row>
    <row r="214" ht="12.75" customHeight="1">
      <c r="A214" s="1"/>
      <c r="C214" s="1"/>
      <c r="J214" s="1"/>
      <c r="K214" s="1"/>
      <c r="L214" s="1"/>
    </row>
    <row r="215" ht="12.75" customHeight="1">
      <c r="A215" s="1"/>
      <c r="C215" s="1"/>
      <c r="J215" s="1"/>
      <c r="K215" s="1"/>
      <c r="L215" s="1"/>
    </row>
    <row r="216" ht="12.75" customHeight="1">
      <c r="A216" s="1"/>
      <c r="C216" s="1"/>
      <c r="J216" s="1"/>
      <c r="K216" s="1"/>
      <c r="L216" s="1"/>
    </row>
    <row r="217" ht="12.75" customHeight="1">
      <c r="A217" s="1"/>
      <c r="C217" s="1"/>
      <c r="J217" s="1"/>
      <c r="K217" s="1"/>
      <c r="L217" s="1"/>
    </row>
    <row r="218" ht="12.75" customHeight="1">
      <c r="A218" s="1"/>
      <c r="C218" s="1"/>
      <c r="J218" s="1"/>
      <c r="K218" s="1"/>
      <c r="L218" s="1"/>
    </row>
    <row r="219" ht="12.75" customHeight="1">
      <c r="A219" s="1"/>
      <c r="C219" s="1"/>
      <c r="J219" s="1"/>
      <c r="K219" s="1"/>
      <c r="L219" s="1"/>
    </row>
    <row r="220" ht="12.75" customHeight="1">
      <c r="A220" s="1"/>
      <c r="C220" s="1"/>
      <c r="J220" s="1"/>
      <c r="K220" s="1"/>
      <c r="L220" s="1"/>
    </row>
    <row r="221" ht="12.75" customHeight="1">
      <c r="A221" s="1"/>
      <c r="C221" s="1"/>
      <c r="J221" s="1"/>
      <c r="K221" s="1"/>
      <c r="L221" s="1"/>
    </row>
    <row r="222" ht="12.75" customHeight="1">
      <c r="A222" s="1"/>
      <c r="C222" s="1"/>
      <c r="J222" s="1"/>
      <c r="K222" s="1"/>
      <c r="L222" s="1"/>
    </row>
    <row r="223" ht="12.75" customHeight="1">
      <c r="A223" s="1"/>
      <c r="C223" s="1"/>
      <c r="J223" s="1"/>
      <c r="K223" s="1"/>
      <c r="L223" s="1"/>
    </row>
    <row r="224" ht="12.75" customHeight="1">
      <c r="A224" s="1"/>
      <c r="C224" s="1"/>
      <c r="J224" s="1"/>
      <c r="K224" s="1"/>
      <c r="L224" s="1"/>
    </row>
    <row r="225" ht="12.75" customHeight="1">
      <c r="A225" s="1"/>
      <c r="C225" s="1"/>
      <c r="J225" s="1"/>
      <c r="K225" s="1"/>
      <c r="L225" s="1"/>
    </row>
    <row r="226" ht="12.75" customHeight="1">
      <c r="A226" s="1"/>
      <c r="C226" s="1"/>
      <c r="J226" s="1"/>
      <c r="K226" s="1"/>
      <c r="L226" s="1"/>
    </row>
    <row r="227" ht="12.75" customHeight="1">
      <c r="A227" s="1"/>
      <c r="C227" s="1"/>
      <c r="J227" s="1"/>
      <c r="K227" s="1"/>
      <c r="L227" s="1"/>
    </row>
    <row r="228" ht="12.75" customHeight="1">
      <c r="A228" s="1"/>
      <c r="C228" s="1"/>
      <c r="J228" s="1"/>
      <c r="K228" s="1"/>
      <c r="L228" s="1"/>
    </row>
    <row r="229" ht="12.75" customHeight="1">
      <c r="A229" s="1"/>
      <c r="C229" s="1"/>
      <c r="J229" s="1"/>
      <c r="K229" s="1"/>
      <c r="L229" s="1"/>
    </row>
    <row r="230" ht="12.75" customHeight="1">
      <c r="A230" s="1"/>
      <c r="C230" s="1"/>
      <c r="J230" s="1"/>
      <c r="K230" s="1"/>
      <c r="L230" s="1"/>
    </row>
    <row r="231" ht="12.75" customHeight="1">
      <c r="A231" s="1"/>
      <c r="C231" s="1"/>
      <c r="J231" s="1"/>
      <c r="K231" s="1"/>
      <c r="L231" s="1"/>
    </row>
    <row r="232" ht="12.75" customHeight="1">
      <c r="A232" s="1"/>
      <c r="C232" s="1"/>
      <c r="J232" s="1"/>
      <c r="K232" s="1"/>
      <c r="L232" s="1"/>
    </row>
    <row r="233" ht="12.75" customHeight="1">
      <c r="A233" s="1"/>
      <c r="C233" s="1"/>
      <c r="J233" s="1"/>
      <c r="K233" s="1"/>
      <c r="L233" s="1"/>
    </row>
    <row r="234" ht="12.75" customHeight="1">
      <c r="A234" s="1"/>
      <c r="C234" s="1"/>
      <c r="J234" s="1"/>
      <c r="K234" s="1"/>
      <c r="L234" s="1"/>
    </row>
    <row r="235" ht="12.75" customHeight="1">
      <c r="A235" s="1"/>
      <c r="C235" s="1"/>
      <c r="J235" s="1"/>
      <c r="K235" s="1"/>
      <c r="L235" s="1"/>
    </row>
    <row r="236" ht="12.75" customHeight="1">
      <c r="A236" s="1"/>
      <c r="C236" s="1"/>
      <c r="J236" s="1"/>
      <c r="K236" s="1"/>
      <c r="L236" s="1"/>
    </row>
    <row r="237" ht="12.75" customHeight="1">
      <c r="A237" s="1"/>
      <c r="C237" s="1"/>
      <c r="J237" s="1"/>
      <c r="K237" s="1"/>
      <c r="L237" s="1"/>
    </row>
    <row r="238" ht="12.75" customHeight="1">
      <c r="A238" s="1"/>
      <c r="C238" s="1"/>
      <c r="J238" s="1"/>
      <c r="K238" s="1"/>
      <c r="L238" s="1"/>
    </row>
    <row r="239" ht="12.75" customHeight="1">
      <c r="A239" s="1"/>
      <c r="C239" s="1"/>
      <c r="J239" s="1"/>
      <c r="K239" s="1"/>
      <c r="L239" s="1"/>
    </row>
    <row r="240" ht="12.75" customHeight="1">
      <c r="A240" s="1"/>
      <c r="C240" s="1"/>
      <c r="J240" s="1"/>
      <c r="K240" s="1"/>
      <c r="L240" s="1"/>
    </row>
    <row r="241" ht="12.75" customHeight="1">
      <c r="A241" s="1"/>
      <c r="C241" s="1"/>
      <c r="J241" s="1"/>
      <c r="K241" s="1"/>
      <c r="L241" s="1"/>
    </row>
    <row r="242" ht="12.75" customHeight="1">
      <c r="A242" s="1"/>
      <c r="C242" s="1"/>
      <c r="J242" s="1"/>
      <c r="K242" s="1"/>
      <c r="L242" s="1"/>
    </row>
    <row r="243" ht="12.75" customHeight="1">
      <c r="A243" s="1"/>
      <c r="C243" s="1"/>
      <c r="J243" s="1"/>
      <c r="K243" s="1"/>
      <c r="L243" s="1"/>
    </row>
    <row r="244" ht="12.75" customHeight="1">
      <c r="A244" s="1"/>
      <c r="C244" s="1"/>
      <c r="J244" s="1"/>
      <c r="K244" s="1"/>
      <c r="L244" s="1"/>
    </row>
    <row r="245" ht="12.75" customHeight="1">
      <c r="A245" s="1"/>
      <c r="C245" s="1"/>
      <c r="J245" s="1"/>
      <c r="K245" s="1"/>
      <c r="L245" s="1"/>
    </row>
    <row r="246" ht="12.75" customHeight="1">
      <c r="A246" s="1"/>
      <c r="C246" s="1"/>
      <c r="J246" s="1"/>
      <c r="K246" s="1"/>
      <c r="L246" s="1"/>
    </row>
    <row r="247" ht="12.75" customHeight="1">
      <c r="A247" s="1"/>
      <c r="C247" s="1"/>
      <c r="J247" s="1"/>
      <c r="K247" s="1"/>
      <c r="L247" s="1"/>
    </row>
    <row r="248" ht="12.75" customHeight="1">
      <c r="A248" s="1"/>
      <c r="C248" s="1"/>
      <c r="J248" s="1"/>
      <c r="K248" s="1"/>
      <c r="L248" s="1"/>
    </row>
    <row r="249" ht="12.75" customHeight="1">
      <c r="A249" s="1"/>
      <c r="C249" s="1"/>
      <c r="J249" s="1"/>
      <c r="K249" s="1"/>
      <c r="L249" s="1"/>
    </row>
    <row r="250" ht="12.75" customHeight="1">
      <c r="A250" s="1"/>
      <c r="C250" s="1"/>
      <c r="J250" s="1"/>
      <c r="K250" s="1"/>
      <c r="L250" s="1"/>
    </row>
    <row r="251" ht="12.75" customHeight="1">
      <c r="A251" s="1"/>
      <c r="C251" s="1"/>
      <c r="J251" s="1"/>
      <c r="K251" s="1"/>
      <c r="L251" s="1"/>
    </row>
    <row r="252" ht="12.75" customHeight="1">
      <c r="A252" s="1"/>
      <c r="C252" s="1"/>
      <c r="J252" s="1"/>
      <c r="K252" s="1"/>
      <c r="L252" s="1"/>
    </row>
    <row r="253" ht="12.75" customHeight="1">
      <c r="A253" s="1"/>
      <c r="C253" s="1"/>
      <c r="J253" s="1"/>
      <c r="K253" s="1"/>
      <c r="L253" s="1"/>
    </row>
    <row r="254" ht="12.75" customHeight="1">
      <c r="A254" s="1"/>
      <c r="C254" s="1"/>
      <c r="J254" s="1"/>
      <c r="K254" s="1"/>
      <c r="L254" s="1"/>
    </row>
    <row r="255" ht="12.75" customHeight="1">
      <c r="A255" s="1"/>
      <c r="C255" s="1"/>
      <c r="J255" s="1"/>
      <c r="K255" s="1"/>
      <c r="L255" s="1"/>
    </row>
    <row r="256" ht="12.75" customHeight="1">
      <c r="A256" s="1"/>
      <c r="C256" s="1"/>
      <c r="J256" s="1"/>
      <c r="K256" s="1"/>
      <c r="L256" s="1"/>
    </row>
    <row r="257" ht="12.75" customHeight="1">
      <c r="A257" s="1"/>
      <c r="C257" s="1"/>
      <c r="J257" s="1"/>
      <c r="K257" s="1"/>
      <c r="L257" s="1"/>
    </row>
    <row r="258" ht="12.75" customHeight="1">
      <c r="A258" s="1"/>
      <c r="C258" s="1"/>
      <c r="J258" s="1"/>
      <c r="K258" s="1"/>
      <c r="L258" s="1"/>
    </row>
    <row r="259" ht="12.75" customHeight="1">
      <c r="A259" s="1"/>
      <c r="C259" s="1"/>
      <c r="J259" s="1"/>
      <c r="K259" s="1"/>
      <c r="L259" s="1"/>
    </row>
    <row r="260" ht="12.75" customHeight="1">
      <c r="A260" s="1"/>
      <c r="C260" s="1"/>
      <c r="J260" s="1"/>
      <c r="K260" s="1"/>
      <c r="L260" s="1"/>
    </row>
    <row r="261" ht="12.75" customHeight="1">
      <c r="A261" s="1"/>
      <c r="C261" s="1"/>
      <c r="J261" s="1"/>
      <c r="K261" s="1"/>
      <c r="L261" s="1"/>
    </row>
    <row r="262" ht="12.75" customHeight="1">
      <c r="A262" s="1"/>
      <c r="C262" s="1"/>
      <c r="J262" s="1"/>
      <c r="K262" s="1"/>
      <c r="L262" s="1"/>
    </row>
    <row r="263" ht="12.75" customHeight="1">
      <c r="A263" s="1"/>
      <c r="C263" s="1"/>
      <c r="J263" s="1"/>
      <c r="K263" s="1"/>
      <c r="L263" s="1"/>
    </row>
    <row r="264" ht="12.75" customHeight="1">
      <c r="A264" s="1"/>
      <c r="C264" s="1"/>
      <c r="J264" s="1"/>
      <c r="K264" s="1"/>
      <c r="L264" s="1"/>
    </row>
    <row r="265" ht="12.75" customHeight="1">
      <c r="A265" s="1"/>
      <c r="C265" s="1"/>
      <c r="J265" s="1"/>
      <c r="K265" s="1"/>
      <c r="L265" s="1"/>
    </row>
    <row r="266" ht="12.75" customHeight="1">
      <c r="A266" s="1"/>
      <c r="C266" s="1"/>
      <c r="J266" s="1"/>
      <c r="K266" s="1"/>
      <c r="L266" s="1"/>
    </row>
    <row r="267" ht="12.75" customHeight="1">
      <c r="A267" s="1"/>
      <c r="C267" s="1"/>
      <c r="J267" s="1"/>
      <c r="K267" s="1"/>
      <c r="L267" s="1"/>
    </row>
    <row r="268" ht="12.75" customHeight="1">
      <c r="A268" s="1"/>
      <c r="C268" s="1"/>
      <c r="J268" s="1"/>
      <c r="K268" s="1"/>
      <c r="L268" s="1"/>
    </row>
    <row r="269" ht="12.75" customHeight="1">
      <c r="A269" s="1"/>
      <c r="C269" s="1"/>
      <c r="J269" s="1"/>
      <c r="K269" s="1"/>
      <c r="L269" s="1"/>
    </row>
    <row r="270" ht="12.75" customHeight="1">
      <c r="A270" s="1"/>
      <c r="C270" s="1"/>
      <c r="J270" s="1"/>
      <c r="K270" s="1"/>
      <c r="L270" s="1"/>
    </row>
    <row r="271" ht="12.75" customHeight="1">
      <c r="A271" s="1"/>
      <c r="C271" s="1"/>
      <c r="J271" s="1"/>
      <c r="K271" s="1"/>
      <c r="L271" s="1"/>
    </row>
    <row r="272" ht="12.75" customHeight="1">
      <c r="A272" s="1"/>
      <c r="C272" s="1"/>
      <c r="J272" s="1"/>
      <c r="K272" s="1"/>
      <c r="L272" s="1"/>
    </row>
    <row r="273" ht="12.75" customHeight="1">
      <c r="A273" s="1"/>
      <c r="C273" s="1"/>
      <c r="J273" s="1"/>
      <c r="K273" s="1"/>
      <c r="L273" s="1"/>
    </row>
    <row r="274" ht="12.75" customHeight="1">
      <c r="A274" s="1"/>
      <c r="C274" s="1"/>
      <c r="J274" s="1"/>
      <c r="K274" s="1"/>
      <c r="L274" s="1"/>
    </row>
    <row r="275" ht="12.75" customHeight="1">
      <c r="A275" s="1"/>
      <c r="C275" s="1"/>
      <c r="J275" s="1"/>
      <c r="K275" s="1"/>
      <c r="L275" s="1"/>
    </row>
    <row r="276" ht="12.75" customHeight="1">
      <c r="A276" s="1"/>
      <c r="C276" s="1"/>
      <c r="J276" s="1"/>
      <c r="K276" s="1"/>
      <c r="L276" s="1"/>
    </row>
    <row r="277" ht="12.75" customHeight="1">
      <c r="A277" s="1"/>
      <c r="C277" s="1"/>
      <c r="J277" s="1"/>
      <c r="K277" s="1"/>
      <c r="L277" s="1"/>
    </row>
    <row r="278" ht="12.75" customHeight="1">
      <c r="A278" s="1"/>
      <c r="C278" s="1"/>
      <c r="J278" s="1"/>
      <c r="K278" s="1"/>
      <c r="L278" s="1"/>
    </row>
    <row r="279" ht="12.75" customHeight="1">
      <c r="A279" s="1"/>
      <c r="C279" s="1"/>
      <c r="J279" s="1"/>
      <c r="K279" s="1"/>
      <c r="L279" s="1"/>
    </row>
    <row r="280" ht="12.75" customHeight="1">
      <c r="A280" s="1"/>
      <c r="C280" s="1"/>
      <c r="J280" s="1"/>
      <c r="K280" s="1"/>
      <c r="L280" s="1"/>
    </row>
    <row r="281" ht="12.75" customHeight="1">
      <c r="A281" s="1"/>
      <c r="C281" s="1"/>
      <c r="J281" s="1"/>
      <c r="K281" s="1"/>
      <c r="L281" s="1"/>
    </row>
    <row r="282" ht="12.75" customHeight="1">
      <c r="A282" s="1"/>
      <c r="C282" s="1"/>
      <c r="J282" s="1"/>
      <c r="K282" s="1"/>
      <c r="L282" s="1"/>
    </row>
    <row r="283" ht="12.75" customHeight="1">
      <c r="A283" s="1"/>
      <c r="C283" s="1"/>
      <c r="J283" s="1"/>
      <c r="K283" s="1"/>
      <c r="L283" s="1"/>
    </row>
    <row r="284" ht="12.75" customHeight="1">
      <c r="A284" s="1"/>
      <c r="C284" s="1"/>
      <c r="J284" s="1"/>
      <c r="K284" s="1"/>
      <c r="L284" s="1"/>
    </row>
    <row r="285" ht="12.75" customHeight="1">
      <c r="A285" s="1"/>
      <c r="C285" s="1"/>
      <c r="J285" s="1"/>
      <c r="K285" s="1"/>
      <c r="L285" s="1"/>
    </row>
    <row r="286" ht="12.75" customHeight="1">
      <c r="A286" s="1"/>
      <c r="C286" s="1"/>
      <c r="J286" s="1"/>
      <c r="K286" s="1"/>
      <c r="L286" s="1"/>
    </row>
    <row r="287" ht="12.75" customHeight="1">
      <c r="A287" s="1"/>
      <c r="C287" s="1"/>
      <c r="J287" s="1"/>
      <c r="K287" s="1"/>
      <c r="L287" s="1"/>
    </row>
    <row r="288" ht="12.75" customHeight="1">
      <c r="A288" s="1"/>
      <c r="C288" s="1"/>
      <c r="J288" s="1"/>
      <c r="K288" s="1"/>
      <c r="L288" s="1"/>
    </row>
    <row r="289" ht="12.75" customHeight="1">
      <c r="A289" s="1"/>
      <c r="C289" s="1"/>
      <c r="J289" s="1"/>
      <c r="K289" s="1"/>
      <c r="L289" s="1"/>
    </row>
    <row r="290" ht="12.75" customHeight="1">
      <c r="A290" s="1"/>
      <c r="C290" s="1"/>
      <c r="J290" s="1"/>
      <c r="K290" s="1"/>
      <c r="L290" s="1"/>
    </row>
    <row r="291" ht="12.75" customHeight="1">
      <c r="A291" s="1"/>
      <c r="C291" s="1"/>
      <c r="J291" s="1"/>
      <c r="K291" s="1"/>
      <c r="L291" s="1"/>
    </row>
    <row r="292" ht="12.75" customHeight="1">
      <c r="A292" s="1"/>
      <c r="C292" s="1"/>
      <c r="J292" s="1"/>
      <c r="K292" s="1"/>
      <c r="L292" s="1"/>
    </row>
    <row r="293" ht="12.75" customHeight="1">
      <c r="A293" s="1"/>
      <c r="C293" s="1"/>
      <c r="J293" s="1"/>
      <c r="K293" s="1"/>
      <c r="L293" s="1"/>
    </row>
    <row r="294" ht="12.75" customHeight="1">
      <c r="A294" s="1"/>
      <c r="C294" s="1"/>
      <c r="J294" s="1"/>
      <c r="K294" s="1"/>
      <c r="L294" s="1"/>
    </row>
    <row r="295" ht="12.75" customHeight="1">
      <c r="A295" s="1"/>
      <c r="C295" s="1"/>
      <c r="J295" s="1"/>
      <c r="K295" s="1"/>
      <c r="L295" s="1"/>
    </row>
    <row r="296" ht="12.75" customHeight="1">
      <c r="A296" s="1"/>
      <c r="C296" s="1"/>
      <c r="J296" s="1"/>
      <c r="K296" s="1"/>
      <c r="L296" s="1"/>
    </row>
    <row r="297" ht="12.75" customHeight="1">
      <c r="A297" s="1"/>
      <c r="C297" s="1"/>
      <c r="J297" s="1"/>
      <c r="K297" s="1"/>
      <c r="L297" s="1"/>
    </row>
    <row r="298" ht="12.75" customHeight="1">
      <c r="A298" s="1"/>
      <c r="C298" s="1"/>
      <c r="J298" s="1"/>
      <c r="K298" s="1"/>
      <c r="L298" s="1"/>
    </row>
    <row r="299" ht="12.75" customHeight="1">
      <c r="A299" s="1"/>
      <c r="C299" s="1"/>
      <c r="J299" s="1"/>
      <c r="K299" s="1"/>
      <c r="L299" s="1"/>
    </row>
    <row r="300" ht="12.75" customHeight="1">
      <c r="A300" s="1"/>
      <c r="C300" s="1"/>
      <c r="J300" s="1"/>
      <c r="K300" s="1"/>
      <c r="L300" s="1"/>
    </row>
    <row r="301" ht="12.75" customHeight="1">
      <c r="A301" s="1"/>
      <c r="C301" s="1"/>
      <c r="J301" s="1"/>
      <c r="K301" s="1"/>
      <c r="L301" s="1"/>
    </row>
    <row r="302" ht="12.75" customHeight="1">
      <c r="A302" s="1"/>
      <c r="C302" s="1"/>
      <c r="J302" s="1"/>
      <c r="K302" s="1"/>
      <c r="L302" s="1"/>
    </row>
    <row r="303" ht="12.75" customHeight="1">
      <c r="A303" s="1"/>
      <c r="C303" s="1"/>
      <c r="J303" s="1"/>
      <c r="K303" s="1"/>
      <c r="L303" s="1"/>
    </row>
    <row r="304" ht="12.75" customHeight="1">
      <c r="A304" s="1"/>
      <c r="C304" s="1"/>
      <c r="J304" s="1"/>
      <c r="K304" s="1"/>
      <c r="L304" s="1"/>
    </row>
    <row r="305" ht="12.75" customHeight="1">
      <c r="A305" s="1"/>
      <c r="C305" s="1"/>
      <c r="J305" s="1"/>
      <c r="K305" s="1"/>
      <c r="L305" s="1"/>
    </row>
    <row r="306" ht="12.75" customHeight="1">
      <c r="A306" s="1"/>
      <c r="C306" s="1"/>
      <c r="J306" s="1"/>
      <c r="K306" s="1"/>
      <c r="L306" s="1"/>
    </row>
    <row r="307" ht="12.75" customHeight="1">
      <c r="A307" s="1"/>
      <c r="C307" s="1"/>
      <c r="J307" s="1"/>
      <c r="K307" s="1"/>
      <c r="L307" s="1"/>
    </row>
    <row r="308" ht="12.75" customHeight="1">
      <c r="A308" s="1"/>
      <c r="C308" s="1"/>
      <c r="J308" s="1"/>
      <c r="K308" s="1"/>
      <c r="L308" s="1"/>
    </row>
    <row r="309" ht="12.75" customHeight="1">
      <c r="A309" s="1"/>
      <c r="C309" s="1"/>
      <c r="J309" s="1"/>
      <c r="K309" s="1"/>
      <c r="L309" s="1"/>
    </row>
    <row r="310" ht="12.75" customHeight="1">
      <c r="A310" s="1"/>
      <c r="C310" s="1"/>
      <c r="J310" s="1"/>
      <c r="K310" s="1"/>
      <c r="L310" s="1"/>
    </row>
    <row r="311" ht="12.75" customHeight="1">
      <c r="A311" s="1"/>
      <c r="C311" s="1"/>
      <c r="J311" s="1"/>
      <c r="K311" s="1"/>
      <c r="L311" s="1"/>
    </row>
    <row r="312" ht="12.75" customHeight="1">
      <c r="A312" s="1"/>
      <c r="C312" s="1"/>
      <c r="J312" s="1"/>
      <c r="K312" s="1"/>
      <c r="L312" s="1"/>
    </row>
    <row r="313" ht="12.75" customHeight="1">
      <c r="A313" s="1"/>
      <c r="C313" s="1"/>
      <c r="J313" s="1"/>
      <c r="K313" s="1"/>
      <c r="L313" s="1"/>
    </row>
    <row r="314" ht="12.75" customHeight="1">
      <c r="A314" s="1"/>
      <c r="C314" s="1"/>
      <c r="J314" s="1"/>
      <c r="K314" s="1"/>
      <c r="L314" s="1"/>
    </row>
    <row r="315" ht="12.75" customHeight="1">
      <c r="A315" s="1"/>
      <c r="C315" s="1"/>
      <c r="J315" s="1"/>
      <c r="K315" s="1"/>
      <c r="L315" s="1"/>
    </row>
    <row r="316" ht="12.75" customHeight="1">
      <c r="A316" s="1"/>
      <c r="C316" s="1"/>
      <c r="J316" s="1"/>
      <c r="K316" s="1"/>
      <c r="L316" s="1"/>
    </row>
    <row r="317" ht="12.75" customHeight="1">
      <c r="A317" s="1"/>
      <c r="C317" s="1"/>
      <c r="J317" s="1"/>
      <c r="K317" s="1"/>
      <c r="L317" s="1"/>
    </row>
    <row r="318" ht="12.75" customHeight="1">
      <c r="A318" s="1"/>
      <c r="C318" s="1"/>
      <c r="J318" s="1"/>
      <c r="K318" s="1"/>
      <c r="L318" s="1"/>
    </row>
    <row r="319" ht="12.75" customHeight="1">
      <c r="A319" s="1"/>
      <c r="C319" s="1"/>
      <c r="J319" s="1"/>
      <c r="K319" s="1"/>
      <c r="L319" s="1"/>
    </row>
    <row r="320" ht="12.75" customHeight="1">
      <c r="A320" s="1"/>
      <c r="C320" s="1"/>
      <c r="J320" s="1"/>
      <c r="K320" s="1"/>
      <c r="L320" s="1"/>
    </row>
    <row r="321" ht="12.75" customHeight="1">
      <c r="A321" s="1"/>
      <c r="C321" s="1"/>
      <c r="J321" s="1"/>
      <c r="K321" s="1"/>
      <c r="L321" s="1"/>
    </row>
    <row r="322" ht="12.75" customHeight="1">
      <c r="A322" s="1"/>
      <c r="C322" s="1"/>
      <c r="J322" s="1"/>
      <c r="K322" s="1"/>
      <c r="L322" s="1"/>
    </row>
    <row r="323" ht="12.75" customHeight="1">
      <c r="A323" s="1"/>
      <c r="C323" s="1"/>
      <c r="J323" s="1"/>
      <c r="K323" s="1"/>
      <c r="L323" s="1"/>
    </row>
    <row r="324" ht="12.75" customHeight="1">
      <c r="A324" s="1"/>
      <c r="C324" s="1"/>
      <c r="J324" s="1"/>
      <c r="K324" s="1"/>
      <c r="L324" s="1"/>
    </row>
    <row r="325" ht="12.75" customHeight="1">
      <c r="A325" s="1"/>
      <c r="C325" s="1"/>
      <c r="J325" s="1"/>
      <c r="K325" s="1"/>
      <c r="L325" s="1"/>
    </row>
    <row r="326" ht="12.75" customHeight="1">
      <c r="A326" s="1"/>
      <c r="C326" s="1"/>
      <c r="J326" s="1"/>
      <c r="K326" s="1"/>
      <c r="L326" s="1"/>
    </row>
    <row r="327" ht="12.75" customHeight="1">
      <c r="A327" s="1"/>
      <c r="C327" s="1"/>
      <c r="J327" s="1"/>
      <c r="K327" s="1"/>
      <c r="L327" s="1"/>
    </row>
    <row r="328" ht="12.75" customHeight="1">
      <c r="A328" s="1"/>
      <c r="C328" s="1"/>
      <c r="J328" s="1"/>
      <c r="K328" s="1"/>
      <c r="L328" s="1"/>
    </row>
    <row r="329" ht="12.75" customHeight="1">
      <c r="A329" s="1"/>
      <c r="C329" s="1"/>
      <c r="J329" s="1"/>
      <c r="K329" s="1"/>
      <c r="L329" s="1"/>
    </row>
    <row r="330" ht="12.75" customHeight="1">
      <c r="A330" s="1"/>
      <c r="C330" s="1"/>
      <c r="J330" s="1"/>
      <c r="K330" s="1"/>
      <c r="L330" s="1"/>
    </row>
    <row r="331" ht="12.75" customHeight="1">
      <c r="A331" s="1"/>
      <c r="C331" s="1"/>
      <c r="J331" s="1"/>
      <c r="K331" s="1"/>
      <c r="L331" s="1"/>
    </row>
    <row r="332" ht="12.75" customHeight="1">
      <c r="A332" s="1"/>
      <c r="C332" s="1"/>
      <c r="J332" s="1"/>
      <c r="K332" s="1"/>
      <c r="L332" s="1"/>
    </row>
    <row r="333" ht="12.75" customHeight="1">
      <c r="A333" s="1"/>
      <c r="C333" s="1"/>
      <c r="J333" s="1"/>
      <c r="K333" s="1"/>
      <c r="L333" s="1"/>
    </row>
    <row r="334" ht="12.75" customHeight="1">
      <c r="A334" s="1"/>
      <c r="C334" s="1"/>
      <c r="J334" s="1"/>
      <c r="K334" s="1"/>
      <c r="L334" s="1"/>
    </row>
    <row r="335" ht="12.75" customHeight="1">
      <c r="A335" s="1"/>
      <c r="C335" s="1"/>
      <c r="J335" s="1"/>
      <c r="K335" s="1"/>
      <c r="L335" s="1"/>
    </row>
    <row r="336" ht="12.75" customHeight="1">
      <c r="A336" s="1"/>
      <c r="C336" s="1"/>
      <c r="J336" s="1"/>
      <c r="K336" s="1"/>
      <c r="L336" s="1"/>
    </row>
    <row r="337" ht="12.75" customHeight="1">
      <c r="A337" s="1"/>
      <c r="C337" s="1"/>
      <c r="J337" s="1"/>
      <c r="K337" s="1"/>
      <c r="L337" s="1"/>
    </row>
    <row r="338" ht="12.75" customHeight="1">
      <c r="A338" s="1"/>
      <c r="C338" s="1"/>
      <c r="J338" s="1"/>
      <c r="K338" s="1"/>
      <c r="L338" s="1"/>
    </row>
    <row r="339" ht="12.75" customHeight="1">
      <c r="A339" s="1"/>
      <c r="C339" s="1"/>
      <c r="J339" s="1"/>
      <c r="K339" s="1"/>
      <c r="L339" s="1"/>
    </row>
    <row r="340" ht="12.75" customHeight="1">
      <c r="A340" s="1"/>
      <c r="C340" s="1"/>
      <c r="J340" s="1"/>
      <c r="K340" s="1"/>
      <c r="L340" s="1"/>
    </row>
    <row r="341" ht="12.75" customHeight="1">
      <c r="A341" s="1"/>
      <c r="C341" s="1"/>
      <c r="J341" s="1"/>
      <c r="K341" s="1"/>
      <c r="L341" s="1"/>
    </row>
    <row r="342" ht="12.75" customHeight="1">
      <c r="A342" s="1"/>
      <c r="C342" s="1"/>
      <c r="J342" s="1"/>
      <c r="K342" s="1"/>
      <c r="L342" s="1"/>
    </row>
    <row r="343" ht="12.75" customHeight="1">
      <c r="A343" s="1"/>
      <c r="C343" s="1"/>
      <c r="J343" s="1"/>
      <c r="K343" s="1"/>
      <c r="L343" s="1"/>
    </row>
    <row r="344" ht="12.75" customHeight="1">
      <c r="A344" s="1"/>
      <c r="C344" s="1"/>
      <c r="J344" s="1"/>
      <c r="K344" s="1"/>
      <c r="L344" s="1"/>
    </row>
    <row r="345" ht="12.75" customHeight="1">
      <c r="A345" s="1"/>
      <c r="C345" s="1"/>
      <c r="J345" s="1"/>
      <c r="K345" s="1"/>
      <c r="L345" s="1"/>
    </row>
    <row r="346" ht="12.75" customHeight="1">
      <c r="A346" s="1"/>
      <c r="C346" s="1"/>
      <c r="J346" s="1"/>
      <c r="K346" s="1"/>
      <c r="L346" s="1"/>
    </row>
    <row r="347" ht="12.75" customHeight="1">
      <c r="A347" s="1"/>
      <c r="C347" s="1"/>
      <c r="J347" s="1"/>
      <c r="K347" s="1"/>
      <c r="L347" s="1"/>
    </row>
    <row r="348" ht="12.75" customHeight="1">
      <c r="A348" s="1"/>
      <c r="C348" s="1"/>
      <c r="J348" s="1"/>
      <c r="K348" s="1"/>
      <c r="L348" s="1"/>
    </row>
    <row r="349" ht="12.75" customHeight="1">
      <c r="A349" s="1"/>
      <c r="C349" s="1"/>
      <c r="J349" s="1"/>
      <c r="K349" s="1"/>
      <c r="L349" s="1"/>
    </row>
    <row r="350" ht="12.75" customHeight="1">
      <c r="A350" s="1"/>
      <c r="C350" s="1"/>
      <c r="J350" s="1"/>
      <c r="K350" s="1"/>
      <c r="L350" s="1"/>
    </row>
    <row r="351" ht="12.75" customHeight="1">
      <c r="A351" s="1"/>
      <c r="C351" s="1"/>
      <c r="J351" s="1"/>
      <c r="K351" s="1"/>
      <c r="L351" s="1"/>
    </row>
    <row r="352" ht="12.75" customHeight="1">
      <c r="A352" s="1"/>
      <c r="C352" s="1"/>
      <c r="J352" s="1"/>
      <c r="K352" s="1"/>
      <c r="L352" s="1"/>
    </row>
    <row r="353" ht="12.75" customHeight="1">
      <c r="A353" s="1"/>
      <c r="C353" s="1"/>
      <c r="J353" s="1"/>
      <c r="K353" s="1"/>
      <c r="L353" s="1"/>
    </row>
    <row r="354" ht="12.75" customHeight="1">
      <c r="A354" s="1"/>
      <c r="C354" s="1"/>
      <c r="J354" s="1"/>
      <c r="K354" s="1"/>
      <c r="L354" s="1"/>
    </row>
    <row r="355" ht="12.75" customHeight="1">
      <c r="A355" s="1"/>
      <c r="C355" s="1"/>
      <c r="J355" s="1"/>
      <c r="K355" s="1"/>
      <c r="L355" s="1"/>
    </row>
    <row r="356" ht="12.75" customHeight="1">
      <c r="A356" s="1"/>
      <c r="C356" s="1"/>
      <c r="J356" s="1"/>
      <c r="K356" s="1"/>
      <c r="L356" s="1"/>
    </row>
    <row r="357" ht="12.75" customHeight="1">
      <c r="A357" s="1"/>
      <c r="C357" s="1"/>
      <c r="J357" s="1"/>
      <c r="K357" s="1"/>
      <c r="L357" s="1"/>
    </row>
    <row r="358" ht="12.75" customHeight="1">
      <c r="A358" s="1"/>
      <c r="C358" s="1"/>
      <c r="J358" s="1"/>
      <c r="K358" s="1"/>
      <c r="L358" s="1"/>
    </row>
    <row r="359" ht="12.75" customHeight="1">
      <c r="A359" s="1"/>
      <c r="C359" s="1"/>
      <c r="J359" s="1"/>
      <c r="K359" s="1"/>
      <c r="L359" s="1"/>
    </row>
    <row r="360" ht="12.75" customHeight="1">
      <c r="A360" s="1"/>
      <c r="C360" s="1"/>
      <c r="J360" s="1"/>
      <c r="K360" s="1"/>
      <c r="L360" s="1"/>
    </row>
    <row r="361" ht="12.75" customHeight="1">
      <c r="A361" s="1"/>
      <c r="C361" s="1"/>
      <c r="J361" s="1"/>
      <c r="K361" s="1"/>
      <c r="L361" s="1"/>
    </row>
    <row r="362" ht="12.75" customHeight="1">
      <c r="A362" s="1"/>
      <c r="C362" s="1"/>
      <c r="J362" s="1"/>
      <c r="K362" s="1"/>
      <c r="L362" s="1"/>
    </row>
    <row r="363" ht="12.75" customHeight="1">
      <c r="A363" s="1"/>
      <c r="C363" s="1"/>
      <c r="J363" s="1"/>
      <c r="K363" s="1"/>
      <c r="L363" s="1"/>
    </row>
    <row r="364" ht="12.75" customHeight="1">
      <c r="A364" s="1"/>
      <c r="C364" s="1"/>
      <c r="J364" s="1"/>
      <c r="K364" s="1"/>
      <c r="L364" s="1"/>
    </row>
    <row r="365" ht="12.75" customHeight="1">
      <c r="A365" s="1"/>
      <c r="C365" s="1"/>
      <c r="J365" s="1"/>
      <c r="K365" s="1"/>
      <c r="L365" s="1"/>
    </row>
    <row r="366" ht="12.75" customHeight="1">
      <c r="A366" s="1"/>
      <c r="C366" s="1"/>
      <c r="J366" s="1"/>
      <c r="K366" s="1"/>
      <c r="L366" s="1"/>
    </row>
    <row r="367" ht="12.75" customHeight="1">
      <c r="A367" s="1"/>
      <c r="C367" s="1"/>
      <c r="J367" s="1"/>
      <c r="K367" s="1"/>
      <c r="L367" s="1"/>
    </row>
    <row r="368" ht="12.75" customHeight="1">
      <c r="A368" s="1"/>
      <c r="C368" s="1"/>
      <c r="J368" s="1"/>
      <c r="K368" s="1"/>
      <c r="L368" s="1"/>
    </row>
    <row r="369" ht="12.75" customHeight="1">
      <c r="A369" s="1"/>
      <c r="C369" s="1"/>
      <c r="J369" s="1"/>
      <c r="K369" s="1"/>
      <c r="L369" s="1"/>
    </row>
    <row r="370" ht="12.75" customHeight="1">
      <c r="A370" s="1"/>
      <c r="C370" s="1"/>
      <c r="J370" s="1"/>
      <c r="K370" s="1"/>
      <c r="L370" s="1"/>
    </row>
    <row r="371" ht="12.75" customHeight="1">
      <c r="A371" s="1"/>
      <c r="C371" s="1"/>
      <c r="J371" s="1"/>
      <c r="K371" s="1"/>
      <c r="L371" s="1"/>
    </row>
    <row r="372" ht="12.75" customHeight="1">
      <c r="A372" s="1"/>
      <c r="C372" s="1"/>
      <c r="J372" s="1"/>
      <c r="K372" s="1"/>
      <c r="L372" s="1"/>
    </row>
    <row r="373" ht="12.75" customHeight="1">
      <c r="A373" s="1"/>
      <c r="C373" s="1"/>
      <c r="J373" s="1"/>
      <c r="K373" s="1"/>
      <c r="L373" s="1"/>
    </row>
    <row r="374" ht="12.75" customHeight="1">
      <c r="A374" s="1"/>
      <c r="C374" s="1"/>
      <c r="J374" s="1"/>
      <c r="K374" s="1"/>
      <c r="L374" s="1"/>
    </row>
    <row r="375" ht="12.75" customHeight="1">
      <c r="A375" s="1"/>
      <c r="C375" s="1"/>
      <c r="J375" s="1"/>
      <c r="K375" s="1"/>
      <c r="L375" s="1"/>
    </row>
    <row r="376" ht="12.75" customHeight="1">
      <c r="A376" s="1"/>
      <c r="C376" s="1"/>
      <c r="J376" s="1"/>
      <c r="K376" s="1"/>
      <c r="L376" s="1"/>
    </row>
    <row r="377" ht="12.75" customHeight="1">
      <c r="A377" s="1"/>
      <c r="C377" s="1"/>
      <c r="J377" s="1"/>
      <c r="K377" s="1"/>
      <c r="L377" s="1"/>
    </row>
    <row r="378" ht="12.75" customHeight="1">
      <c r="A378" s="1"/>
      <c r="C378" s="1"/>
      <c r="J378" s="1"/>
      <c r="K378" s="1"/>
      <c r="L378" s="1"/>
    </row>
    <row r="379" ht="12.75" customHeight="1">
      <c r="A379" s="1"/>
      <c r="C379" s="1"/>
      <c r="J379" s="1"/>
      <c r="K379" s="1"/>
      <c r="L379" s="1"/>
    </row>
    <row r="380" ht="12.75" customHeight="1">
      <c r="A380" s="1"/>
      <c r="C380" s="1"/>
      <c r="J380" s="1"/>
      <c r="K380" s="1"/>
      <c r="L380" s="1"/>
    </row>
    <row r="381" ht="12.75" customHeight="1">
      <c r="A381" s="1"/>
      <c r="C381" s="1"/>
      <c r="J381" s="1"/>
      <c r="K381" s="1"/>
      <c r="L381" s="1"/>
    </row>
    <row r="382" ht="12.75" customHeight="1">
      <c r="A382" s="1"/>
      <c r="C382" s="1"/>
      <c r="J382" s="1"/>
      <c r="K382" s="1"/>
      <c r="L382" s="1"/>
    </row>
    <row r="383" ht="12.75" customHeight="1">
      <c r="A383" s="1"/>
      <c r="C383" s="1"/>
      <c r="J383" s="1"/>
      <c r="K383" s="1"/>
      <c r="L383" s="1"/>
    </row>
    <row r="384" ht="12.75" customHeight="1">
      <c r="A384" s="1"/>
      <c r="C384" s="1"/>
      <c r="J384" s="1"/>
      <c r="K384" s="1"/>
      <c r="L384" s="1"/>
    </row>
    <row r="385" ht="12.75" customHeight="1">
      <c r="A385" s="1"/>
      <c r="C385" s="1"/>
      <c r="J385" s="1"/>
      <c r="K385" s="1"/>
      <c r="L385" s="1"/>
    </row>
    <row r="386" ht="12.75" customHeight="1">
      <c r="A386" s="1"/>
      <c r="C386" s="1"/>
      <c r="J386" s="1"/>
      <c r="K386" s="1"/>
      <c r="L386" s="1"/>
    </row>
    <row r="387" ht="12.75" customHeight="1">
      <c r="A387" s="1"/>
      <c r="C387" s="1"/>
      <c r="J387" s="1"/>
      <c r="K387" s="1"/>
      <c r="L387" s="1"/>
    </row>
    <row r="388" ht="12.75" customHeight="1">
      <c r="A388" s="1"/>
      <c r="C388" s="1"/>
      <c r="J388" s="1"/>
      <c r="K388" s="1"/>
      <c r="L388" s="1"/>
    </row>
    <row r="389" ht="12.75" customHeight="1">
      <c r="A389" s="1"/>
      <c r="C389" s="1"/>
      <c r="J389" s="1"/>
      <c r="K389" s="1"/>
      <c r="L389" s="1"/>
    </row>
    <row r="390" ht="12.75" customHeight="1">
      <c r="A390" s="1"/>
      <c r="C390" s="1"/>
      <c r="J390" s="1"/>
      <c r="K390" s="1"/>
      <c r="L390" s="1"/>
    </row>
    <row r="391" ht="12.75" customHeight="1">
      <c r="A391" s="1"/>
      <c r="C391" s="1"/>
      <c r="J391" s="1"/>
      <c r="K391" s="1"/>
      <c r="L391" s="1"/>
    </row>
    <row r="392" ht="12.75" customHeight="1">
      <c r="A392" s="1"/>
      <c r="C392" s="1"/>
      <c r="J392" s="1"/>
      <c r="K392" s="1"/>
      <c r="L392" s="1"/>
    </row>
    <row r="393" ht="12.75" customHeight="1">
      <c r="A393" s="1"/>
      <c r="C393" s="1"/>
      <c r="J393" s="1"/>
      <c r="K393" s="1"/>
      <c r="L393" s="1"/>
    </row>
    <row r="394" ht="12.75" customHeight="1">
      <c r="A394" s="1"/>
      <c r="C394" s="1"/>
      <c r="J394" s="1"/>
      <c r="K394" s="1"/>
      <c r="L394" s="1"/>
    </row>
    <row r="395" ht="12.75" customHeight="1">
      <c r="A395" s="1"/>
      <c r="C395" s="1"/>
      <c r="J395" s="1"/>
      <c r="K395" s="1"/>
      <c r="L395" s="1"/>
    </row>
    <row r="396" ht="12.75" customHeight="1">
      <c r="A396" s="1"/>
      <c r="C396" s="1"/>
      <c r="J396" s="1"/>
      <c r="K396" s="1"/>
      <c r="L396" s="1"/>
    </row>
    <row r="397" ht="12.75" customHeight="1">
      <c r="A397" s="1"/>
      <c r="C397" s="1"/>
      <c r="J397" s="1"/>
      <c r="K397" s="1"/>
      <c r="L397" s="1"/>
    </row>
    <row r="398" ht="12.75" customHeight="1">
      <c r="A398" s="1"/>
      <c r="C398" s="1"/>
      <c r="J398" s="1"/>
      <c r="K398" s="1"/>
      <c r="L398" s="1"/>
    </row>
    <row r="399" ht="12.75" customHeight="1">
      <c r="A399" s="1"/>
      <c r="C399" s="1"/>
      <c r="J399" s="1"/>
      <c r="K399" s="1"/>
      <c r="L399" s="1"/>
    </row>
    <row r="400" ht="12.75" customHeight="1">
      <c r="A400" s="1"/>
      <c r="C400" s="1"/>
      <c r="J400" s="1"/>
      <c r="K400" s="1"/>
      <c r="L400" s="1"/>
    </row>
    <row r="401" ht="12.75" customHeight="1">
      <c r="A401" s="1"/>
      <c r="C401" s="1"/>
      <c r="J401" s="1"/>
      <c r="K401" s="1"/>
      <c r="L401" s="1"/>
    </row>
    <row r="402" ht="12.75" customHeight="1">
      <c r="A402" s="1"/>
      <c r="C402" s="1"/>
      <c r="J402" s="1"/>
      <c r="K402" s="1"/>
      <c r="L402" s="1"/>
    </row>
    <row r="403" ht="12.75" customHeight="1">
      <c r="A403" s="1"/>
      <c r="C403" s="1"/>
      <c r="J403" s="1"/>
      <c r="K403" s="1"/>
      <c r="L403" s="1"/>
    </row>
    <row r="404" ht="12.75" customHeight="1">
      <c r="A404" s="1"/>
      <c r="C404" s="1"/>
      <c r="J404" s="1"/>
      <c r="K404" s="1"/>
      <c r="L404" s="1"/>
    </row>
    <row r="405" ht="12.75" customHeight="1">
      <c r="A405" s="1"/>
      <c r="C405" s="1"/>
      <c r="J405" s="1"/>
      <c r="K405" s="1"/>
      <c r="L405" s="1"/>
    </row>
    <row r="406" ht="12.75" customHeight="1">
      <c r="A406" s="1"/>
      <c r="C406" s="1"/>
      <c r="J406" s="1"/>
      <c r="K406" s="1"/>
      <c r="L406" s="1"/>
    </row>
    <row r="407" ht="12.75" customHeight="1">
      <c r="A407" s="1"/>
      <c r="C407" s="1"/>
      <c r="J407" s="1"/>
      <c r="K407" s="1"/>
      <c r="L407" s="1"/>
    </row>
    <row r="408" ht="12.75" customHeight="1">
      <c r="A408" s="1"/>
      <c r="C408" s="1"/>
      <c r="J408" s="1"/>
      <c r="K408" s="1"/>
      <c r="L408" s="1"/>
    </row>
    <row r="409" ht="12.75" customHeight="1">
      <c r="A409" s="1"/>
      <c r="C409" s="1"/>
      <c r="J409" s="1"/>
      <c r="K409" s="1"/>
      <c r="L409" s="1"/>
    </row>
    <row r="410" ht="12.75" customHeight="1">
      <c r="A410" s="1"/>
      <c r="C410" s="1"/>
      <c r="J410" s="1"/>
      <c r="K410" s="1"/>
      <c r="L410" s="1"/>
    </row>
    <row r="411" ht="12.75" customHeight="1">
      <c r="A411" s="1"/>
      <c r="C411" s="1"/>
      <c r="J411" s="1"/>
      <c r="K411" s="1"/>
      <c r="L411" s="1"/>
    </row>
    <row r="412" ht="12.75" customHeight="1">
      <c r="A412" s="1"/>
      <c r="C412" s="1"/>
      <c r="J412" s="1"/>
      <c r="K412" s="1"/>
      <c r="L412" s="1"/>
    </row>
    <row r="413" ht="12.75" customHeight="1">
      <c r="A413" s="1"/>
      <c r="C413" s="1"/>
      <c r="J413" s="1"/>
      <c r="K413" s="1"/>
      <c r="L413" s="1"/>
    </row>
    <row r="414" ht="12.75" customHeight="1">
      <c r="A414" s="1"/>
      <c r="C414" s="1"/>
      <c r="J414" s="1"/>
      <c r="K414" s="1"/>
      <c r="L414" s="1"/>
    </row>
    <row r="415" ht="12.75" customHeight="1">
      <c r="A415" s="1"/>
      <c r="C415" s="1"/>
      <c r="J415" s="1"/>
      <c r="K415" s="1"/>
      <c r="L415" s="1"/>
    </row>
    <row r="416" ht="12.75" customHeight="1">
      <c r="A416" s="1"/>
      <c r="C416" s="1"/>
      <c r="J416" s="1"/>
      <c r="K416" s="1"/>
      <c r="L416" s="1"/>
    </row>
    <row r="417" ht="12.75" customHeight="1">
      <c r="A417" s="1"/>
      <c r="C417" s="1"/>
      <c r="J417" s="1"/>
      <c r="K417" s="1"/>
      <c r="L417" s="1"/>
    </row>
    <row r="418" ht="12.75" customHeight="1">
      <c r="A418" s="1"/>
      <c r="C418" s="1"/>
      <c r="J418" s="1"/>
      <c r="K418" s="1"/>
      <c r="L418" s="1"/>
    </row>
    <row r="419" ht="12.75" customHeight="1">
      <c r="A419" s="1"/>
      <c r="C419" s="1"/>
      <c r="J419" s="1"/>
      <c r="K419" s="1"/>
      <c r="L419" s="1"/>
    </row>
    <row r="420" ht="12.75" customHeight="1">
      <c r="A420" s="1"/>
      <c r="C420" s="1"/>
      <c r="J420" s="1"/>
      <c r="K420" s="1"/>
      <c r="L420" s="1"/>
    </row>
    <row r="421" ht="12.75" customHeight="1">
      <c r="A421" s="1"/>
      <c r="C421" s="1"/>
      <c r="J421" s="1"/>
      <c r="K421" s="1"/>
      <c r="L421" s="1"/>
    </row>
    <row r="422" ht="12.75" customHeight="1">
      <c r="A422" s="1"/>
      <c r="C422" s="1"/>
      <c r="J422" s="1"/>
      <c r="K422" s="1"/>
      <c r="L422" s="1"/>
    </row>
    <row r="423" ht="12.75" customHeight="1">
      <c r="A423" s="1"/>
      <c r="C423" s="1"/>
      <c r="J423" s="1"/>
      <c r="K423" s="1"/>
      <c r="L423" s="1"/>
    </row>
    <row r="424" ht="12.75" customHeight="1">
      <c r="A424" s="1"/>
      <c r="C424" s="1"/>
      <c r="J424" s="1"/>
      <c r="K424" s="1"/>
      <c r="L424" s="1"/>
    </row>
    <row r="425" ht="12.75" customHeight="1">
      <c r="A425" s="1"/>
      <c r="C425" s="1"/>
      <c r="J425" s="1"/>
      <c r="K425" s="1"/>
      <c r="L425" s="1"/>
    </row>
    <row r="426" ht="12.75" customHeight="1">
      <c r="A426" s="1"/>
      <c r="C426" s="1"/>
      <c r="J426" s="1"/>
      <c r="K426" s="1"/>
      <c r="L426" s="1"/>
    </row>
    <row r="427" ht="12.75" customHeight="1">
      <c r="A427" s="1"/>
      <c r="C427" s="1"/>
      <c r="J427" s="1"/>
      <c r="K427" s="1"/>
      <c r="L427" s="1"/>
    </row>
    <row r="428" ht="12.75" customHeight="1">
      <c r="A428" s="1"/>
      <c r="C428" s="1"/>
      <c r="J428" s="1"/>
      <c r="K428" s="1"/>
      <c r="L428" s="1"/>
    </row>
    <row r="429" ht="12.75" customHeight="1">
      <c r="A429" s="1"/>
      <c r="C429" s="1"/>
      <c r="J429" s="1"/>
      <c r="K429" s="1"/>
      <c r="L429" s="1"/>
    </row>
    <row r="430" ht="12.75" customHeight="1">
      <c r="A430" s="1"/>
      <c r="C430" s="1"/>
      <c r="J430" s="1"/>
      <c r="K430" s="1"/>
      <c r="L430" s="1"/>
    </row>
    <row r="431" ht="12.75" customHeight="1">
      <c r="A431" s="1"/>
      <c r="C431" s="1"/>
      <c r="J431" s="1"/>
      <c r="K431" s="1"/>
      <c r="L431" s="1"/>
    </row>
    <row r="432" ht="12.75" customHeight="1">
      <c r="A432" s="1"/>
      <c r="C432" s="1"/>
      <c r="J432" s="1"/>
      <c r="K432" s="1"/>
      <c r="L432" s="1"/>
    </row>
    <row r="433" ht="12.75" customHeight="1">
      <c r="A433" s="1"/>
      <c r="C433" s="1"/>
      <c r="J433" s="1"/>
      <c r="K433" s="1"/>
      <c r="L433" s="1"/>
    </row>
    <row r="434" ht="12.75" customHeight="1">
      <c r="A434" s="1"/>
      <c r="C434" s="1"/>
      <c r="J434" s="1"/>
      <c r="K434" s="1"/>
      <c r="L434" s="1"/>
    </row>
    <row r="435" ht="12.75" customHeight="1">
      <c r="A435" s="1"/>
      <c r="C435" s="1"/>
      <c r="J435" s="1"/>
      <c r="K435" s="1"/>
      <c r="L435" s="1"/>
    </row>
    <row r="436" ht="12.75" customHeight="1">
      <c r="A436" s="1"/>
      <c r="C436" s="1"/>
      <c r="J436" s="1"/>
      <c r="K436" s="1"/>
      <c r="L436" s="1"/>
    </row>
    <row r="437" ht="12.75" customHeight="1">
      <c r="A437" s="1"/>
      <c r="C437" s="1"/>
      <c r="J437" s="1"/>
      <c r="K437" s="1"/>
      <c r="L437" s="1"/>
    </row>
    <row r="438" ht="12.75" customHeight="1">
      <c r="A438" s="1"/>
      <c r="C438" s="1"/>
      <c r="J438" s="1"/>
      <c r="K438" s="1"/>
      <c r="L438" s="1"/>
    </row>
    <row r="439" ht="12.75" customHeight="1">
      <c r="A439" s="1"/>
      <c r="C439" s="1"/>
      <c r="J439" s="1"/>
      <c r="K439" s="1"/>
      <c r="L439" s="1"/>
    </row>
    <row r="440" ht="12.75" customHeight="1">
      <c r="A440" s="1"/>
      <c r="C440" s="1"/>
      <c r="J440" s="1"/>
      <c r="K440" s="1"/>
      <c r="L440" s="1"/>
    </row>
    <row r="441" ht="12.75" customHeight="1">
      <c r="A441" s="1"/>
      <c r="C441" s="1"/>
      <c r="J441" s="1"/>
      <c r="K441" s="1"/>
      <c r="L441" s="1"/>
    </row>
    <row r="442" ht="12.75" customHeight="1">
      <c r="A442" s="1"/>
      <c r="C442" s="1"/>
      <c r="J442" s="1"/>
      <c r="K442" s="1"/>
      <c r="L442" s="1"/>
    </row>
    <row r="443" ht="12.75" customHeight="1">
      <c r="A443" s="1"/>
      <c r="C443" s="1"/>
      <c r="J443" s="1"/>
      <c r="K443" s="1"/>
      <c r="L443" s="1"/>
    </row>
    <row r="444" ht="12.75" customHeight="1">
      <c r="A444" s="1"/>
      <c r="C444" s="1"/>
      <c r="J444" s="1"/>
      <c r="K444" s="1"/>
      <c r="L444" s="1"/>
    </row>
    <row r="445" ht="12.75" customHeight="1">
      <c r="A445" s="1"/>
      <c r="C445" s="1"/>
      <c r="J445" s="1"/>
      <c r="K445" s="1"/>
      <c r="L445" s="1"/>
    </row>
    <row r="446" ht="12.75" customHeight="1">
      <c r="A446" s="1"/>
      <c r="C446" s="1"/>
      <c r="J446" s="1"/>
      <c r="K446" s="1"/>
      <c r="L446" s="1"/>
    </row>
    <row r="447" ht="12.75" customHeight="1">
      <c r="A447" s="1"/>
      <c r="C447" s="1"/>
      <c r="J447" s="1"/>
      <c r="K447" s="1"/>
      <c r="L447" s="1"/>
    </row>
    <row r="448" ht="12.75" customHeight="1">
      <c r="A448" s="1"/>
      <c r="C448" s="1"/>
      <c r="J448" s="1"/>
      <c r="K448" s="1"/>
      <c r="L448" s="1"/>
    </row>
    <row r="449" ht="12.75" customHeight="1">
      <c r="A449" s="1"/>
      <c r="C449" s="1"/>
      <c r="J449" s="1"/>
      <c r="K449" s="1"/>
      <c r="L449" s="1"/>
    </row>
    <row r="450" ht="12.75" customHeight="1">
      <c r="A450" s="1"/>
      <c r="C450" s="1"/>
      <c r="J450" s="1"/>
      <c r="K450" s="1"/>
      <c r="L450" s="1"/>
    </row>
    <row r="451" ht="12.75" customHeight="1">
      <c r="A451" s="1"/>
      <c r="C451" s="1"/>
      <c r="J451" s="1"/>
      <c r="K451" s="1"/>
      <c r="L451" s="1"/>
    </row>
    <row r="452" ht="12.75" customHeight="1">
      <c r="A452" s="1"/>
      <c r="C452" s="1"/>
      <c r="J452" s="1"/>
      <c r="K452" s="1"/>
      <c r="L452" s="1"/>
    </row>
    <row r="453" ht="12.75" customHeight="1">
      <c r="A453" s="1"/>
      <c r="C453" s="1"/>
      <c r="J453" s="1"/>
      <c r="K453" s="1"/>
      <c r="L453" s="1"/>
    </row>
    <row r="454" ht="12.75" customHeight="1">
      <c r="A454" s="1"/>
      <c r="C454" s="1"/>
      <c r="J454" s="1"/>
      <c r="K454" s="1"/>
      <c r="L454" s="1"/>
    </row>
    <row r="455" ht="12.75" customHeight="1">
      <c r="A455" s="1"/>
      <c r="C455" s="1"/>
      <c r="J455" s="1"/>
      <c r="K455" s="1"/>
      <c r="L455" s="1"/>
    </row>
    <row r="456" ht="12.75" customHeight="1">
      <c r="A456" s="1"/>
      <c r="C456" s="1"/>
      <c r="J456" s="1"/>
      <c r="K456" s="1"/>
      <c r="L456" s="1"/>
    </row>
    <row r="457" ht="12.75" customHeight="1">
      <c r="A457" s="1"/>
      <c r="C457" s="1"/>
      <c r="J457" s="1"/>
      <c r="K457" s="1"/>
      <c r="L457" s="1"/>
    </row>
    <row r="458" ht="12.75" customHeight="1">
      <c r="A458" s="1"/>
      <c r="C458" s="1"/>
      <c r="J458" s="1"/>
      <c r="K458" s="1"/>
      <c r="L458" s="1"/>
    </row>
    <row r="459" ht="12.75" customHeight="1">
      <c r="A459" s="1"/>
      <c r="C459" s="1"/>
      <c r="J459" s="1"/>
      <c r="K459" s="1"/>
      <c r="L459" s="1"/>
    </row>
    <row r="460" ht="12.75" customHeight="1">
      <c r="A460" s="1"/>
      <c r="C460" s="1"/>
      <c r="J460" s="1"/>
      <c r="K460" s="1"/>
      <c r="L460" s="1"/>
    </row>
    <row r="461" ht="12.75" customHeight="1">
      <c r="A461" s="1"/>
      <c r="C461" s="1"/>
      <c r="J461" s="1"/>
      <c r="K461" s="1"/>
      <c r="L461" s="1"/>
    </row>
    <row r="462" ht="12.75" customHeight="1">
      <c r="A462" s="1"/>
      <c r="C462" s="1"/>
      <c r="J462" s="1"/>
      <c r="K462" s="1"/>
      <c r="L462" s="1"/>
    </row>
    <row r="463" ht="12.75" customHeight="1">
      <c r="A463" s="1"/>
      <c r="C463" s="1"/>
      <c r="J463" s="1"/>
      <c r="K463" s="1"/>
      <c r="L463" s="1"/>
    </row>
    <row r="464" ht="12.75" customHeight="1">
      <c r="A464" s="1"/>
      <c r="C464" s="1"/>
      <c r="J464" s="1"/>
      <c r="K464" s="1"/>
      <c r="L464" s="1"/>
    </row>
    <row r="465" ht="12.75" customHeight="1">
      <c r="A465" s="1"/>
      <c r="C465" s="1"/>
      <c r="J465" s="1"/>
      <c r="K465" s="1"/>
      <c r="L465" s="1"/>
    </row>
    <row r="466" ht="12.75" customHeight="1">
      <c r="A466" s="1"/>
      <c r="C466" s="1"/>
      <c r="J466" s="1"/>
      <c r="K466" s="1"/>
      <c r="L466" s="1"/>
    </row>
    <row r="467" ht="12.75" customHeight="1">
      <c r="A467" s="1"/>
      <c r="C467" s="1"/>
      <c r="J467" s="1"/>
      <c r="K467" s="1"/>
      <c r="L467" s="1"/>
    </row>
    <row r="468" ht="12.75" customHeight="1">
      <c r="A468" s="1"/>
      <c r="C468" s="1"/>
      <c r="J468" s="1"/>
      <c r="K468" s="1"/>
      <c r="L468" s="1"/>
    </row>
    <row r="469" ht="12.75" customHeight="1">
      <c r="A469" s="1"/>
      <c r="C469" s="1"/>
      <c r="J469" s="1"/>
      <c r="K469" s="1"/>
      <c r="L469" s="1"/>
    </row>
    <row r="470" ht="12.75" customHeight="1">
      <c r="A470" s="1"/>
      <c r="C470" s="1"/>
      <c r="J470" s="1"/>
      <c r="K470" s="1"/>
      <c r="L470" s="1"/>
    </row>
    <row r="471" ht="12.75" customHeight="1">
      <c r="A471" s="1"/>
      <c r="C471" s="1"/>
      <c r="J471" s="1"/>
      <c r="K471" s="1"/>
      <c r="L471" s="1"/>
    </row>
    <row r="472" ht="12.75" customHeight="1">
      <c r="A472" s="1"/>
      <c r="C472" s="1"/>
      <c r="J472" s="1"/>
      <c r="K472" s="1"/>
      <c r="L472" s="1"/>
    </row>
    <row r="473" ht="12.75" customHeight="1">
      <c r="A473" s="1"/>
      <c r="C473" s="1"/>
      <c r="J473" s="1"/>
      <c r="K473" s="1"/>
      <c r="L473" s="1"/>
    </row>
    <row r="474" ht="12.75" customHeight="1">
      <c r="A474" s="1"/>
      <c r="C474" s="1"/>
      <c r="J474" s="1"/>
      <c r="K474" s="1"/>
      <c r="L474" s="1"/>
    </row>
    <row r="475" ht="12.75" customHeight="1">
      <c r="A475" s="1"/>
      <c r="C475" s="1"/>
      <c r="J475" s="1"/>
      <c r="K475" s="1"/>
      <c r="L475" s="1"/>
    </row>
    <row r="476" ht="12.75" customHeight="1">
      <c r="A476" s="1"/>
      <c r="C476" s="1"/>
      <c r="J476" s="1"/>
      <c r="K476" s="1"/>
      <c r="L476" s="1"/>
    </row>
    <row r="477" ht="12.75" customHeight="1">
      <c r="A477" s="1"/>
      <c r="C477" s="1"/>
      <c r="J477" s="1"/>
      <c r="K477" s="1"/>
      <c r="L477" s="1"/>
    </row>
    <row r="478" ht="12.75" customHeight="1">
      <c r="A478" s="1"/>
      <c r="C478" s="1"/>
      <c r="J478" s="1"/>
      <c r="K478" s="1"/>
      <c r="L478" s="1"/>
    </row>
    <row r="479" ht="12.75" customHeight="1">
      <c r="A479" s="1"/>
      <c r="C479" s="1"/>
      <c r="J479" s="1"/>
      <c r="K479" s="1"/>
      <c r="L479" s="1"/>
    </row>
    <row r="480" ht="12.75" customHeight="1">
      <c r="A480" s="1"/>
      <c r="C480" s="1"/>
      <c r="J480" s="1"/>
      <c r="K480" s="1"/>
      <c r="L480" s="1"/>
    </row>
    <row r="481" ht="12.75" customHeight="1">
      <c r="A481" s="1"/>
      <c r="C481" s="1"/>
      <c r="J481" s="1"/>
      <c r="K481" s="1"/>
      <c r="L481" s="1"/>
    </row>
    <row r="482" ht="12.75" customHeight="1">
      <c r="A482" s="1"/>
      <c r="C482" s="1"/>
      <c r="J482" s="1"/>
      <c r="K482" s="1"/>
      <c r="L482" s="1"/>
    </row>
    <row r="483" ht="12.75" customHeight="1">
      <c r="A483" s="1"/>
      <c r="C483" s="1"/>
      <c r="J483" s="1"/>
      <c r="K483" s="1"/>
      <c r="L483" s="1"/>
    </row>
    <row r="484" ht="12.75" customHeight="1">
      <c r="A484" s="1"/>
      <c r="C484" s="1"/>
      <c r="J484" s="1"/>
      <c r="K484" s="1"/>
      <c r="L484" s="1"/>
    </row>
    <row r="485" ht="12.75" customHeight="1">
      <c r="A485" s="1"/>
      <c r="C485" s="1"/>
      <c r="J485" s="1"/>
      <c r="K485" s="1"/>
      <c r="L485" s="1"/>
    </row>
    <row r="486" ht="12.75" customHeight="1">
      <c r="A486" s="1"/>
      <c r="C486" s="1"/>
      <c r="J486" s="1"/>
      <c r="K486" s="1"/>
      <c r="L486" s="1"/>
    </row>
    <row r="487" ht="12.75" customHeight="1">
      <c r="A487" s="1"/>
      <c r="C487" s="1"/>
      <c r="J487" s="1"/>
      <c r="K487" s="1"/>
      <c r="L487" s="1"/>
    </row>
    <row r="488" ht="12.75" customHeight="1">
      <c r="A488" s="1"/>
      <c r="C488" s="1"/>
      <c r="J488" s="1"/>
      <c r="K488" s="1"/>
      <c r="L488" s="1"/>
    </row>
    <row r="489" ht="12.75" customHeight="1">
      <c r="A489" s="1"/>
      <c r="C489" s="1"/>
      <c r="J489" s="1"/>
      <c r="K489" s="1"/>
      <c r="L489" s="1"/>
    </row>
    <row r="490" ht="12.75" customHeight="1">
      <c r="A490" s="1"/>
      <c r="C490" s="1"/>
      <c r="J490" s="1"/>
      <c r="K490" s="1"/>
      <c r="L490" s="1"/>
    </row>
    <row r="491" ht="12.75" customHeight="1">
      <c r="A491" s="1"/>
      <c r="C491" s="1"/>
      <c r="J491" s="1"/>
      <c r="K491" s="1"/>
      <c r="L491" s="1"/>
    </row>
    <row r="492" ht="12.75" customHeight="1">
      <c r="A492" s="1"/>
      <c r="C492" s="1"/>
      <c r="J492" s="1"/>
      <c r="K492" s="1"/>
      <c r="L492" s="1"/>
    </row>
    <row r="493" ht="12.75" customHeight="1">
      <c r="A493" s="1"/>
      <c r="C493" s="1"/>
      <c r="J493" s="1"/>
      <c r="K493" s="1"/>
      <c r="L493" s="1"/>
    </row>
    <row r="494" ht="12.75" customHeight="1">
      <c r="A494" s="1"/>
      <c r="C494" s="1"/>
      <c r="J494" s="1"/>
      <c r="K494" s="1"/>
      <c r="L494" s="1"/>
    </row>
    <row r="495" ht="12.75" customHeight="1">
      <c r="A495" s="1"/>
      <c r="C495" s="1"/>
      <c r="J495" s="1"/>
      <c r="K495" s="1"/>
      <c r="L495" s="1"/>
    </row>
    <row r="496" ht="12.75" customHeight="1">
      <c r="A496" s="1"/>
      <c r="C496" s="1"/>
      <c r="J496" s="1"/>
      <c r="K496" s="1"/>
      <c r="L496" s="1"/>
    </row>
    <row r="497" ht="12.75" customHeight="1">
      <c r="A497" s="1"/>
      <c r="C497" s="1"/>
      <c r="J497" s="1"/>
      <c r="K497" s="1"/>
      <c r="L497" s="1"/>
    </row>
    <row r="498" ht="12.75" customHeight="1">
      <c r="A498" s="1"/>
      <c r="C498" s="1"/>
      <c r="J498" s="1"/>
      <c r="K498" s="1"/>
      <c r="L498" s="1"/>
    </row>
    <row r="499" ht="12.75" customHeight="1">
      <c r="A499" s="1"/>
      <c r="C499" s="1"/>
      <c r="J499" s="1"/>
      <c r="K499" s="1"/>
      <c r="L499" s="1"/>
    </row>
    <row r="500" ht="12.75" customHeight="1">
      <c r="A500" s="1"/>
      <c r="C500" s="1"/>
      <c r="J500" s="1"/>
      <c r="K500" s="1"/>
      <c r="L500" s="1"/>
    </row>
    <row r="501" ht="12.75" customHeight="1">
      <c r="A501" s="1"/>
      <c r="C501" s="1"/>
      <c r="J501" s="1"/>
      <c r="K501" s="1"/>
      <c r="L501" s="1"/>
    </row>
    <row r="502" ht="12.75" customHeight="1">
      <c r="A502" s="1"/>
      <c r="C502" s="1"/>
      <c r="J502" s="1"/>
      <c r="K502" s="1"/>
      <c r="L502" s="1"/>
    </row>
    <row r="503" ht="12.75" customHeight="1">
      <c r="A503" s="1"/>
      <c r="C503" s="1"/>
      <c r="J503" s="1"/>
      <c r="K503" s="1"/>
      <c r="L503" s="1"/>
    </row>
    <row r="504" ht="12.75" customHeight="1">
      <c r="A504" s="1"/>
      <c r="C504" s="1"/>
      <c r="J504" s="1"/>
      <c r="K504" s="1"/>
      <c r="L504" s="1"/>
    </row>
    <row r="505" ht="12.75" customHeight="1">
      <c r="A505" s="1"/>
      <c r="C505" s="1"/>
      <c r="J505" s="1"/>
      <c r="K505" s="1"/>
      <c r="L505" s="1"/>
    </row>
    <row r="506" ht="12.75" customHeight="1">
      <c r="A506" s="1"/>
      <c r="C506" s="1"/>
      <c r="J506" s="1"/>
      <c r="K506" s="1"/>
      <c r="L506" s="1"/>
    </row>
    <row r="507" ht="12.75" customHeight="1">
      <c r="A507" s="1"/>
      <c r="C507" s="1"/>
      <c r="J507" s="1"/>
      <c r="K507" s="1"/>
      <c r="L507" s="1"/>
    </row>
    <row r="508" ht="12.75" customHeight="1">
      <c r="A508" s="1"/>
      <c r="C508" s="1"/>
      <c r="J508" s="1"/>
      <c r="K508" s="1"/>
      <c r="L508" s="1"/>
    </row>
    <row r="509" ht="12.75" customHeight="1">
      <c r="A509" s="1"/>
      <c r="C509" s="1"/>
      <c r="J509" s="1"/>
      <c r="K509" s="1"/>
      <c r="L509" s="1"/>
    </row>
    <row r="510" ht="12.75" customHeight="1">
      <c r="A510" s="1"/>
      <c r="C510" s="1"/>
      <c r="J510" s="1"/>
      <c r="K510" s="1"/>
      <c r="L510" s="1"/>
    </row>
    <row r="511" ht="12.75" customHeight="1">
      <c r="A511" s="1"/>
      <c r="C511" s="1"/>
      <c r="J511" s="1"/>
      <c r="K511" s="1"/>
      <c r="L511" s="1"/>
    </row>
    <row r="512" ht="12.75" customHeight="1">
      <c r="A512" s="1"/>
      <c r="C512" s="1"/>
      <c r="J512" s="1"/>
      <c r="K512" s="1"/>
      <c r="L512" s="1"/>
    </row>
    <row r="513" ht="12.75" customHeight="1">
      <c r="A513" s="1"/>
      <c r="C513" s="1"/>
      <c r="J513" s="1"/>
      <c r="K513" s="1"/>
      <c r="L513" s="1"/>
    </row>
    <row r="514" ht="12.75" customHeight="1">
      <c r="A514" s="1"/>
      <c r="C514" s="1"/>
      <c r="J514" s="1"/>
      <c r="K514" s="1"/>
      <c r="L514" s="1"/>
    </row>
    <row r="515" ht="12.75" customHeight="1">
      <c r="A515" s="1"/>
      <c r="C515" s="1"/>
      <c r="J515" s="1"/>
      <c r="K515" s="1"/>
      <c r="L515" s="1"/>
    </row>
    <row r="516" ht="12.75" customHeight="1">
      <c r="A516" s="1"/>
      <c r="C516" s="1"/>
      <c r="J516" s="1"/>
      <c r="K516" s="1"/>
      <c r="L516" s="1"/>
    </row>
    <row r="517" ht="12.75" customHeight="1">
      <c r="A517" s="1"/>
      <c r="C517" s="1"/>
      <c r="J517" s="1"/>
      <c r="K517" s="1"/>
      <c r="L517" s="1"/>
    </row>
    <row r="518" ht="12.75" customHeight="1">
      <c r="A518" s="1"/>
      <c r="C518" s="1"/>
      <c r="J518" s="1"/>
      <c r="K518" s="1"/>
      <c r="L518" s="1"/>
    </row>
    <row r="519" ht="12.75" customHeight="1">
      <c r="A519" s="1"/>
      <c r="C519" s="1"/>
      <c r="J519" s="1"/>
      <c r="K519" s="1"/>
      <c r="L519" s="1"/>
    </row>
    <row r="520" ht="12.75" customHeight="1">
      <c r="A520" s="1"/>
      <c r="C520" s="1"/>
      <c r="J520" s="1"/>
      <c r="K520" s="1"/>
      <c r="L520" s="1"/>
    </row>
    <row r="521" ht="12.75" customHeight="1">
      <c r="A521" s="1"/>
      <c r="C521" s="1"/>
      <c r="J521" s="1"/>
      <c r="K521" s="1"/>
      <c r="L521" s="1"/>
    </row>
    <row r="522" ht="12.75" customHeight="1">
      <c r="A522" s="1"/>
      <c r="C522" s="1"/>
      <c r="J522" s="1"/>
      <c r="K522" s="1"/>
      <c r="L522" s="1"/>
    </row>
    <row r="523" ht="12.75" customHeight="1">
      <c r="A523" s="1"/>
      <c r="C523" s="1"/>
      <c r="J523" s="1"/>
      <c r="K523" s="1"/>
      <c r="L523" s="1"/>
    </row>
    <row r="524" ht="12.75" customHeight="1">
      <c r="A524" s="1"/>
      <c r="C524" s="1"/>
      <c r="J524" s="1"/>
      <c r="K524" s="1"/>
      <c r="L524" s="1"/>
    </row>
    <row r="525" ht="12.75" customHeight="1">
      <c r="A525" s="1"/>
      <c r="C525" s="1"/>
      <c r="J525" s="1"/>
      <c r="K525" s="1"/>
      <c r="L525" s="1"/>
    </row>
    <row r="526" ht="12.75" customHeight="1">
      <c r="A526" s="1"/>
      <c r="C526" s="1"/>
      <c r="J526" s="1"/>
      <c r="K526" s="1"/>
      <c r="L526" s="1"/>
    </row>
    <row r="527" ht="12.75" customHeight="1">
      <c r="A527" s="1"/>
      <c r="C527" s="1"/>
      <c r="J527" s="1"/>
      <c r="K527" s="1"/>
      <c r="L527" s="1"/>
    </row>
    <row r="528" ht="12.75" customHeight="1">
      <c r="A528" s="1"/>
      <c r="C528" s="1"/>
      <c r="J528" s="1"/>
      <c r="K528" s="1"/>
      <c r="L528" s="1"/>
    </row>
    <row r="529" ht="12.75" customHeight="1">
      <c r="A529" s="1"/>
      <c r="C529" s="1"/>
      <c r="J529" s="1"/>
      <c r="K529" s="1"/>
      <c r="L529" s="1"/>
    </row>
    <row r="530" ht="12.75" customHeight="1">
      <c r="A530" s="1"/>
      <c r="C530" s="1"/>
      <c r="J530" s="1"/>
      <c r="K530" s="1"/>
      <c r="L530" s="1"/>
    </row>
    <row r="531" ht="12.75" customHeight="1">
      <c r="A531" s="1"/>
      <c r="C531" s="1"/>
      <c r="J531" s="1"/>
      <c r="K531" s="1"/>
      <c r="L531" s="1"/>
    </row>
    <row r="532" ht="12.75" customHeight="1">
      <c r="A532" s="1"/>
      <c r="C532" s="1"/>
      <c r="J532" s="1"/>
      <c r="K532" s="1"/>
      <c r="L532" s="1"/>
    </row>
    <row r="533" ht="12.75" customHeight="1">
      <c r="A533" s="1"/>
      <c r="C533" s="1"/>
      <c r="J533" s="1"/>
      <c r="K533" s="1"/>
      <c r="L533" s="1"/>
    </row>
    <row r="534" ht="12.75" customHeight="1">
      <c r="A534" s="1"/>
      <c r="C534" s="1"/>
      <c r="J534" s="1"/>
      <c r="K534" s="1"/>
      <c r="L534" s="1"/>
    </row>
    <row r="535" ht="12.75" customHeight="1">
      <c r="A535" s="1"/>
      <c r="C535" s="1"/>
      <c r="J535" s="1"/>
      <c r="K535" s="1"/>
      <c r="L535" s="1"/>
    </row>
    <row r="536" ht="12.75" customHeight="1">
      <c r="A536" s="1"/>
      <c r="C536" s="1"/>
      <c r="J536" s="1"/>
      <c r="K536" s="1"/>
      <c r="L536" s="1"/>
    </row>
    <row r="537" ht="12.75" customHeight="1">
      <c r="A537" s="1"/>
      <c r="C537" s="1"/>
      <c r="J537" s="1"/>
      <c r="K537" s="1"/>
      <c r="L537" s="1"/>
    </row>
    <row r="538" ht="12.75" customHeight="1">
      <c r="A538" s="1"/>
      <c r="C538" s="1"/>
      <c r="J538" s="1"/>
      <c r="K538" s="1"/>
      <c r="L538" s="1"/>
    </row>
    <row r="539" ht="12.75" customHeight="1">
      <c r="A539" s="1"/>
      <c r="C539" s="1"/>
      <c r="J539" s="1"/>
      <c r="K539" s="1"/>
      <c r="L539" s="1"/>
    </row>
    <row r="540" ht="12.75" customHeight="1">
      <c r="A540" s="1"/>
      <c r="C540" s="1"/>
      <c r="J540" s="1"/>
      <c r="K540" s="1"/>
      <c r="L540" s="1"/>
    </row>
    <row r="541" ht="12.75" customHeight="1">
      <c r="A541" s="1"/>
      <c r="C541" s="1"/>
      <c r="J541" s="1"/>
      <c r="K541" s="1"/>
      <c r="L541" s="1"/>
    </row>
    <row r="542" ht="12.75" customHeight="1">
      <c r="A542" s="1"/>
      <c r="C542" s="1"/>
      <c r="J542" s="1"/>
      <c r="K542" s="1"/>
      <c r="L542" s="1"/>
    </row>
    <row r="543" ht="12.75" customHeight="1">
      <c r="A543" s="1"/>
      <c r="C543" s="1"/>
      <c r="J543" s="1"/>
      <c r="K543" s="1"/>
      <c r="L543" s="1"/>
    </row>
    <row r="544" ht="12.75" customHeight="1">
      <c r="A544" s="1"/>
      <c r="C544" s="1"/>
      <c r="J544" s="1"/>
      <c r="K544" s="1"/>
      <c r="L544" s="1"/>
    </row>
    <row r="545" ht="12.75" customHeight="1">
      <c r="A545" s="1"/>
      <c r="C545" s="1"/>
      <c r="J545" s="1"/>
      <c r="K545" s="1"/>
      <c r="L545" s="1"/>
    </row>
    <row r="546" ht="12.75" customHeight="1">
      <c r="A546" s="1"/>
      <c r="C546" s="1"/>
      <c r="J546" s="1"/>
      <c r="K546" s="1"/>
      <c r="L546" s="1"/>
    </row>
    <row r="547" ht="12.75" customHeight="1">
      <c r="A547" s="1"/>
      <c r="C547" s="1"/>
      <c r="J547" s="1"/>
      <c r="K547" s="1"/>
      <c r="L547" s="1"/>
    </row>
    <row r="548" ht="12.75" customHeight="1">
      <c r="A548" s="1"/>
      <c r="C548" s="1"/>
      <c r="J548" s="1"/>
      <c r="K548" s="1"/>
      <c r="L548" s="1"/>
    </row>
    <row r="549" ht="12.75" customHeight="1">
      <c r="A549" s="1"/>
      <c r="C549" s="1"/>
      <c r="J549" s="1"/>
      <c r="K549" s="1"/>
      <c r="L549" s="1"/>
    </row>
    <row r="550" ht="12.75" customHeight="1">
      <c r="A550" s="1"/>
      <c r="C550" s="1"/>
      <c r="J550" s="1"/>
      <c r="K550" s="1"/>
      <c r="L550" s="1"/>
    </row>
    <row r="551" ht="12.75" customHeight="1">
      <c r="A551" s="1"/>
      <c r="C551" s="1"/>
      <c r="J551" s="1"/>
      <c r="K551" s="1"/>
      <c r="L551" s="1"/>
    </row>
    <row r="552" ht="12.75" customHeight="1">
      <c r="A552" s="1"/>
      <c r="C552" s="1"/>
      <c r="J552" s="1"/>
      <c r="K552" s="1"/>
      <c r="L552" s="1"/>
    </row>
    <row r="553" ht="12.75" customHeight="1">
      <c r="A553" s="1"/>
      <c r="C553" s="1"/>
      <c r="J553" s="1"/>
      <c r="K553" s="1"/>
      <c r="L553" s="1"/>
    </row>
    <row r="554" ht="12.75" customHeight="1">
      <c r="A554" s="1"/>
      <c r="C554" s="1"/>
      <c r="J554" s="1"/>
      <c r="K554" s="1"/>
      <c r="L554" s="1"/>
    </row>
    <row r="555" ht="12.75" customHeight="1">
      <c r="A555" s="1"/>
      <c r="C555" s="1"/>
      <c r="J555" s="1"/>
      <c r="K555" s="1"/>
      <c r="L555" s="1"/>
    </row>
    <row r="556" ht="12.75" customHeight="1">
      <c r="A556" s="1"/>
      <c r="C556" s="1"/>
      <c r="J556" s="1"/>
      <c r="K556" s="1"/>
      <c r="L556" s="1"/>
    </row>
    <row r="557" ht="12.75" customHeight="1">
      <c r="A557" s="1"/>
      <c r="C557" s="1"/>
      <c r="J557" s="1"/>
      <c r="K557" s="1"/>
      <c r="L557" s="1"/>
    </row>
    <row r="558" ht="12.75" customHeight="1">
      <c r="A558" s="1"/>
      <c r="C558" s="1"/>
      <c r="J558" s="1"/>
      <c r="K558" s="1"/>
      <c r="L558" s="1"/>
    </row>
    <row r="559" ht="12.75" customHeight="1">
      <c r="A559" s="1"/>
      <c r="C559" s="1"/>
      <c r="J559" s="1"/>
      <c r="K559" s="1"/>
      <c r="L559" s="1"/>
    </row>
    <row r="560" ht="12.75" customHeight="1">
      <c r="A560" s="1"/>
      <c r="C560" s="1"/>
      <c r="J560" s="1"/>
      <c r="K560" s="1"/>
      <c r="L560" s="1"/>
    </row>
    <row r="561" ht="12.75" customHeight="1">
      <c r="A561" s="1"/>
      <c r="C561" s="1"/>
      <c r="J561" s="1"/>
      <c r="K561" s="1"/>
      <c r="L561" s="1"/>
    </row>
    <row r="562" ht="12.75" customHeight="1">
      <c r="A562" s="1"/>
      <c r="C562" s="1"/>
      <c r="J562" s="1"/>
      <c r="K562" s="1"/>
      <c r="L562" s="1"/>
    </row>
    <row r="563" ht="12.75" customHeight="1">
      <c r="A563" s="1"/>
      <c r="C563" s="1"/>
      <c r="J563" s="1"/>
      <c r="K563" s="1"/>
      <c r="L563" s="1"/>
    </row>
    <row r="564" ht="12.75" customHeight="1">
      <c r="A564" s="1"/>
      <c r="C564" s="1"/>
      <c r="J564" s="1"/>
      <c r="K564" s="1"/>
      <c r="L564" s="1"/>
    </row>
    <row r="565" ht="12.75" customHeight="1">
      <c r="A565" s="1"/>
      <c r="C565" s="1"/>
      <c r="J565" s="1"/>
      <c r="K565" s="1"/>
      <c r="L565" s="1"/>
    </row>
    <row r="566" ht="12.75" customHeight="1">
      <c r="A566" s="1"/>
      <c r="C566" s="1"/>
      <c r="J566" s="1"/>
      <c r="K566" s="1"/>
      <c r="L566" s="1"/>
    </row>
    <row r="567" ht="12.75" customHeight="1">
      <c r="A567" s="1"/>
      <c r="C567" s="1"/>
      <c r="J567" s="1"/>
      <c r="K567" s="1"/>
      <c r="L567" s="1"/>
    </row>
    <row r="568" ht="12.75" customHeight="1">
      <c r="A568" s="1"/>
      <c r="C568" s="1"/>
      <c r="J568" s="1"/>
      <c r="K568" s="1"/>
      <c r="L568" s="1"/>
    </row>
    <row r="569" ht="12.75" customHeight="1">
      <c r="A569" s="1"/>
      <c r="C569" s="1"/>
      <c r="J569" s="1"/>
      <c r="K569" s="1"/>
      <c r="L569" s="1"/>
    </row>
    <row r="570" ht="12.75" customHeight="1">
      <c r="A570" s="1"/>
      <c r="C570" s="1"/>
      <c r="J570" s="1"/>
      <c r="K570" s="1"/>
      <c r="L570" s="1"/>
    </row>
    <row r="571" ht="12.75" customHeight="1">
      <c r="A571" s="1"/>
      <c r="C571" s="1"/>
      <c r="J571" s="1"/>
      <c r="K571" s="1"/>
      <c r="L571" s="1"/>
    </row>
    <row r="572" ht="12.75" customHeight="1">
      <c r="A572" s="1"/>
      <c r="C572" s="1"/>
      <c r="J572" s="1"/>
      <c r="K572" s="1"/>
      <c r="L572" s="1"/>
    </row>
    <row r="573" ht="12.75" customHeight="1">
      <c r="A573" s="1"/>
      <c r="C573" s="1"/>
      <c r="J573" s="1"/>
      <c r="K573" s="1"/>
      <c r="L573" s="1"/>
    </row>
    <row r="574" ht="12.75" customHeight="1">
      <c r="A574" s="1"/>
      <c r="C574" s="1"/>
      <c r="J574" s="1"/>
      <c r="K574" s="1"/>
      <c r="L574" s="1"/>
    </row>
    <row r="575" ht="12.75" customHeight="1">
      <c r="A575" s="1"/>
      <c r="C575" s="1"/>
      <c r="J575" s="1"/>
      <c r="K575" s="1"/>
      <c r="L575" s="1"/>
    </row>
    <row r="576" ht="12.75" customHeight="1">
      <c r="A576" s="1"/>
      <c r="C576" s="1"/>
      <c r="J576" s="1"/>
      <c r="K576" s="1"/>
      <c r="L576" s="1"/>
    </row>
    <row r="577" ht="12.75" customHeight="1">
      <c r="A577" s="1"/>
      <c r="C577" s="1"/>
      <c r="J577" s="1"/>
      <c r="K577" s="1"/>
      <c r="L577" s="1"/>
    </row>
    <row r="578" ht="12.75" customHeight="1">
      <c r="A578" s="1"/>
      <c r="C578" s="1"/>
      <c r="J578" s="1"/>
      <c r="K578" s="1"/>
      <c r="L578" s="1"/>
    </row>
    <row r="579" ht="12.75" customHeight="1">
      <c r="A579" s="1"/>
      <c r="C579" s="1"/>
      <c r="J579" s="1"/>
      <c r="K579" s="1"/>
      <c r="L579" s="1"/>
    </row>
    <row r="580" ht="12.75" customHeight="1">
      <c r="A580" s="1"/>
      <c r="C580" s="1"/>
      <c r="J580" s="1"/>
      <c r="K580" s="1"/>
      <c r="L580" s="1"/>
    </row>
    <row r="581" ht="12.75" customHeight="1">
      <c r="A581" s="1"/>
      <c r="C581" s="1"/>
      <c r="J581" s="1"/>
      <c r="K581" s="1"/>
      <c r="L581" s="1"/>
    </row>
    <row r="582" ht="12.75" customHeight="1">
      <c r="A582" s="1"/>
      <c r="C582" s="1"/>
      <c r="J582" s="1"/>
      <c r="K582" s="1"/>
      <c r="L582" s="1"/>
    </row>
    <row r="583" ht="12.75" customHeight="1">
      <c r="A583" s="1"/>
      <c r="C583" s="1"/>
      <c r="J583" s="1"/>
      <c r="K583" s="1"/>
      <c r="L583" s="1"/>
    </row>
    <row r="584" ht="12.75" customHeight="1">
      <c r="A584" s="1"/>
      <c r="C584" s="1"/>
      <c r="J584" s="1"/>
      <c r="K584" s="1"/>
      <c r="L584" s="1"/>
    </row>
    <row r="585" ht="12.75" customHeight="1">
      <c r="A585" s="1"/>
      <c r="C585" s="1"/>
      <c r="J585" s="1"/>
      <c r="K585" s="1"/>
      <c r="L585" s="1"/>
    </row>
    <row r="586" ht="12.75" customHeight="1">
      <c r="A586" s="1"/>
      <c r="C586" s="1"/>
      <c r="J586" s="1"/>
      <c r="K586" s="1"/>
      <c r="L586" s="1"/>
    </row>
    <row r="587" ht="12.75" customHeight="1">
      <c r="A587" s="1"/>
      <c r="C587" s="1"/>
      <c r="J587" s="1"/>
      <c r="K587" s="1"/>
      <c r="L587" s="1"/>
    </row>
    <row r="588" ht="12.75" customHeight="1">
      <c r="A588" s="1"/>
      <c r="C588" s="1"/>
      <c r="J588" s="1"/>
      <c r="K588" s="1"/>
      <c r="L588" s="1"/>
    </row>
    <row r="589" ht="12.75" customHeight="1">
      <c r="A589" s="1"/>
      <c r="C589" s="1"/>
      <c r="J589" s="1"/>
      <c r="K589" s="1"/>
      <c r="L589" s="1"/>
    </row>
    <row r="590" ht="12.75" customHeight="1">
      <c r="A590" s="1"/>
      <c r="C590" s="1"/>
      <c r="J590" s="1"/>
      <c r="K590" s="1"/>
      <c r="L590" s="1"/>
    </row>
    <row r="591" ht="12.75" customHeight="1">
      <c r="A591" s="1"/>
      <c r="C591" s="1"/>
      <c r="J591" s="1"/>
      <c r="K591" s="1"/>
      <c r="L591" s="1"/>
    </row>
    <row r="592" ht="12.75" customHeight="1">
      <c r="A592" s="1"/>
      <c r="C592" s="1"/>
      <c r="J592" s="1"/>
      <c r="K592" s="1"/>
      <c r="L592" s="1"/>
    </row>
    <row r="593" ht="12.75" customHeight="1">
      <c r="A593" s="1"/>
      <c r="C593" s="1"/>
      <c r="J593" s="1"/>
      <c r="K593" s="1"/>
      <c r="L593" s="1"/>
    </row>
    <row r="594" ht="12.75" customHeight="1">
      <c r="A594" s="1"/>
      <c r="C594" s="1"/>
      <c r="J594" s="1"/>
      <c r="K594" s="1"/>
      <c r="L594" s="1"/>
    </row>
    <row r="595" ht="12.75" customHeight="1">
      <c r="A595" s="1"/>
      <c r="C595" s="1"/>
      <c r="J595" s="1"/>
      <c r="K595" s="1"/>
      <c r="L595" s="1"/>
    </row>
    <row r="596" ht="12.75" customHeight="1">
      <c r="A596" s="1"/>
      <c r="C596" s="1"/>
      <c r="J596" s="1"/>
      <c r="K596" s="1"/>
      <c r="L596" s="1"/>
    </row>
    <row r="597" ht="12.75" customHeight="1">
      <c r="A597" s="1"/>
      <c r="C597" s="1"/>
      <c r="J597" s="1"/>
      <c r="K597" s="1"/>
      <c r="L597" s="1"/>
    </row>
    <row r="598" ht="12.75" customHeight="1">
      <c r="A598" s="1"/>
      <c r="C598" s="1"/>
      <c r="J598" s="1"/>
      <c r="K598" s="1"/>
      <c r="L598" s="1"/>
    </row>
    <row r="599" ht="12.75" customHeight="1">
      <c r="A599" s="1"/>
      <c r="C599" s="1"/>
      <c r="J599" s="1"/>
      <c r="K599" s="1"/>
      <c r="L599" s="1"/>
    </row>
    <row r="600" ht="12.75" customHeight="1">
      <c r="A600" s="1"/>
      <c r="C600" s="1"/>
      <c r="J600" s="1"/>
      <c r="K600" s="1"/>
      <c r="L600" s="1"/>
    </row>
    <row r="601" ht="12.75" customHeight="1">
      <c r="A601" s="1"/>
      <c r="C601" s="1"/>
      <c r="J601" s="1"/>
      <c r="K601" s="1"/>
      <c r="L601" s="1"/>
    </row>
    <row r="602" ht="12.75" customHeight="1">
      <c r="A602" s="1"/>
      <c r="C602" s="1"/>
      <c r="J602" s="1"/>
      <c r="K602" s="1"/>
      <c r="L602" s="1"/>
    </row>
    <row r="603" ht="12.75" customHeight="1">
      <c r="A603" s="1"/>
      <c r="C603" s="1"/>
      <c r="J603" s="1"/>
      <c r="K603" s="1"/>
      <c r="L603" s="1"/>
    </row>
    <row r="604" ht="12.75" customHeight="1">
      <c r="A604" s="1"/>
      <c r="C604" s="1"/>
      <c r="J604" s="1"/>
      <c r="K604" s="1"/>
      <c r="L604" s="1"/>
    </row>
    <row r="605" ht="12.75" customHeight="1">
      <c r="A605" s="1"/>
      <c r="C605" s="1"/>
      <c r="J605" s="1"/>
      <c r="K605" s="1"/>
      <c r="L605" s="1"/>
    </row>
    <row r="606" ht="12.75" customHeight="1">
      <c r="A606" s="1"/>
      <c r="C606" s="1"/>
      <c r="J606" s="1"/>
      <c r="K606" s="1"/>
      <c r="L606" s="1"/>
    </row>
    <row r="607" ht="12.75" customHeight="1">
      <c r="A607" s="1"/>
      <c r="C607" s="1"/>
      <c r="J607" s="1"/>
      <c r="K607" s="1"/>
      <c r="L607" s="1"/>
    </row>
    <row r="608" ht="12.75" customHeight="1">
      <c r="A608" s="1"/>
      <c r="C608" s="1"/>
      <c r="J608" s="1"/>
      <c r="K608" s="1"/>
      <c r="L608" s="1"/>
    </row>
    <row r="609" ht="12.75" customHeight="1">
      <c r="A609" s="1"/>
      <c r="C609" s="1"/>
      <c r="J609" s="1"/>
      <c r="K609" s="1"/>
      <c r="L609" s="1"/>
    </row>
    <row r="610" ht="12.75" customHeight="1">
      <c r="A610" s="1"/>
      <c r="C610" s="1"/>
      <c r="J610" s="1"/>
      <c r="K610" s="1"/>
      <c r="L610" s="1"/>
    </row>
    <row r="611" ht="12.75" customHeight="1">
      <c r="A611" s="1"/>
      <c r="C611" s="1"/>
      <c r="J611" s="1"/>
      <c r="K611" s="1"/>
      <c r="L611" s="1"/>
    </row>
    <row r="612" ht="12.75" customHeight="1">
      <c r="A612" s="1"/>
      <c r="C612" s="1"/>
      <c r="J612" s="1"/>
      <c r="K612" s="1"/>
      <c r="L612" s="1"/>
    </row>
    <row r="613" ht="12.75" customHeight="1">
      <c r="A613" s="1"/>
      <c r="C613" s="1"/>
      <c r="J613" s="1"/>
      <c r="K613" s="1"/>
      <c r="L613" s="1"/>
    </row>
    <row r="614" ht="12.75" customHeight="1">
      <c r="A614" s="1"/>
      <c r="C614" s="1"/>
      <c r="J614" s="1"/>
      <c r="K614" s="1"/>
      <c r="L614" s="1"/>
    </row>
    <row r="615" ht="12.75" customHeight="1">
      <c r="A615" s="1"/>
      <c r="C615" s="1"/>
      <c r="J615" s="1"/>
      <c r="K615" s="1"/>
      <c r="L615" s="1"/>
    </row>
    <row r="616" ht="12.75" customHeight="1">
      <c r="A616" s="1"/>
      <c r="C616" s="1"/>
      <c r="J616" s="1"/>
      <c r="K616" s="1"/>
      <c r="L616" s="1"/>
    </row>
    <row r="617" ht="12.75" customHeight="1">
      <c r="A617" s="1"/>
      <c r="C617" s="1"/>
      <c r="J617" s="1"/>
      <c r="K617" s="1"/>
      <c r="L617" s="1"/>
    </row>
    <row r="618" ht="12.75" customHeight="1">
      <c r="A618" s="1"/>
      <c r="C618" s="1"/>
      <c r="J618" s="1"/>
      <c r="K618" s="1"/>
      <c r="L618" s="1"/>
    </row>
    <row r="619" ht="12.75" customHeight="1">
      <c r="A619" s="1"/>
      <c r="C619" s="1"/>
      <c r="J619" s="1"/>
      <c r="K619" s="1"/>
      <c r="L619" s="1"/>
    </row>
    <row r="620" ht="12.75" customHeight="1">
      <c r="A620" s="1"/>
      <c r="C620" s="1"/>
      <c r="J620" s="1"/>
      <c r="K620" s="1"/>
      <c r="L620" s="1"/>
    </row>
    <row r="621" ht="12.75" customHeight="1">
      <c r="A621" s="1"/>
      <c r="C621" s="1"/>
      <c r="J621" s="1"/>
      <c r="K621" s="1"/>
      <c r="L621" s="1"/>
    </row>
    <row r="622" ht="12.75" customHeight="1">
      <c r="A622" s="1"/>
      <c r="C622" s="1"/>
      <c r="J622" s="1"/>
      <c r="K622" s="1"/>
      <c r="L622" s="1"/>
    </row>
    <row r="623" ht="12.75" customHeight="1">
      <c r="A623" s="1"/>
      <c r="C623" s="1"/>
      <c r="J623" s="1"/>
      <c r="K623" s="1"/>
      <c r="L623" s="1"/>
    </row>
    <row r="624" ht="12.75" customHeight="1">
      <c r="A624" s="1"/>
      <c r="C624" s="1"/>
      <c r="J624" s="1"/>
      <c r="K624" s="1"/>
      <c r="L624" s="1"/>
    </row>
    <row r="625" ht="12.75" customHeight="1">
      <c r="A625" s="1"/>
      <c r="C625" s="1"/>
      <c r="J625" s="1"/>
      <c r="K625" s="1"/>
      <c r="L625" s="1"/>
    </row>
    <row r="626" ht="12.75" customHeight="1">
      <c r="A626" s="1"/>
      <c r="C626" s="1"/>
      <c r="J626" s="1"/>
      <c r="K626" s="1"/>
      <c r="L626" s="1"/>
    </row>
    <row r="627" ht="12.75" customHeight="1">
      <c r="A627" s="1"/>
      <c r="C627" s="1"/>
      <c r="J627" s="1"/>
      <c r="K627" s="1"/>
      <c r="L627" s="1"/>
    </row>
    <row r="628" ht="12.75" customHeight="1">
      <c r="A628" s="1"/>
      <c r="C628" s="1"/>
      <c r="J628" s="1"/>
      <c r="K628" s="1"/>
      <c r="L628" s="1"/>
    </row>
    <row r="629" ht="12.75" customHeight="1">
      <c r="A629" s="1"/>
      <c r="C629" s="1"/>
      <c r="J629" s="1"/>
      <c r="K629" s="1"/>
      <c r="L629" s="1"/>
    </row>
    <row r="630" ht="12.75" customHeight="1">
      <c r="A630" s="1"/>
      <c r="C630" s="1"/>
      <c r="J630" s="1"/>
      <c r="K630" s="1"/>
      <c r="L630" s="1"/>
    </row>
    <row r="631" ht="12.75" customHeight="1">
      <c r="A631" s="1"/>
      <c r="C631" s="1"/>
      <c r="J631" s="1"/>
      <c r="K631" s="1"/>
      <c r="L631" s="1"/>
    </row>
    <row r="632" ht="12.75" customHeight="1">
      <c r="A632" s="1"/>
      <c r="C632" s="1"/>
      <c r="J632" s="1"/>
      <c r="K632" s="1"/>
      <c r="L632" s="1"/>
    </row>
    <row r="633" ht="12.75" customHeight="1">
      <c r="A633" s="1"/>
      <c r="C633" s="1"/>
      <c r="J633" s="1"/>
      <c r="K633" s="1"/>
      <c r="L633" s="1"/>
    </row>
    <row r="634" ht="12.75" customHeight="1">
      <c r="A634" s="1"/>
      <c r="C634" s="1"/>
      <c r="J634" s="1"/>
      <c r="K634" s="1"/>
      <c r="L634" s="1"/>
    </row>
    <row r="635" ht="12.75" customHeight="1">
      <c r="A635" s="1"/>
      <c r="C635" s="1"/>
      <c r="J635" s="1"/>
      <c r="K635" s="1"/>
      <c r="L635" s="1"/>
    </row>
    <row r="636" ht="12.75" customHeight="1">
      <c r="A636" s="1"/>
      <c r="C636" s="1"/>
      <c r="J636" s="1"/>
      <c r="K636" s="1"/>
      <c r="L636" s="1"/>
    </row>
    <row r="637" ht="12.75" customHeight="1">
      <c r="A637" s="1"/>
      <c r="C637" s="1"/>
      <c r="J637" s="1"/>
      <c r="K637" s="1"/>
      <c r="L637" s="1"/>
    </row>
    <row r="638" ht="12.75" customHeight="1">
      <c r="A638" s="1"/>
      <c r="C638" s="1"/>
      <c r="J638" s="1"/>
      <c r="K638" s="1"/>
      <c r="L638" s="1"/>
    </row>
    <row r="639" ht="12.75" customHeight="1">
      <c r="A639" s="1"/>
      <c r="C639" s="1"/>
      <c r="J639" s="1"/>
      <c r="K639" s="1"/>
      <c r="L639" s="1"/>
    </row>
    <row r="640" ht="12.75" customHeight="1">
      <c r="A640" s="1"/>
      <c r="C640" s="1"/>
      <c r="J640" s="1"/>
      <c r="K640" s="1"/>
      <c r="L640" s="1"/>
    </row>
    <row r="641" ht="12.75" customHeight="1">
      <c r="A641" s="1"/>
      <c r="C641" s="1"/>
      <c r="J641" s="1"/>
      <c r="K641" s="1"/>
      <c r="L641" s="1"/>
    </row>
    <row r="642" ht="12.75" customHeight="1">
      <c r="A642" s="1"/>
      <c r="C642" s="1"/>
      <c r="J642" s="1"/>
      <c r="K642" s="1"/>
      <c r="L642" s="1"/>
    </row>
    <row r="643" ht="12.75" customHeight="1">
      <c r="A643" s="1"/>
      <c r="C643" s="1"/>
      <c r="J643" s="1"/>
      <c r="K643" s="1"/>
      <c r="L643" s="1"/>
    </row>
    <row r="644" ht="12.75" customHeight="1">
      <c r="A644" s="1"/>
      <c r="C644" s="1"/>
      <c r="J644" s="1"/>
      <c r="K644" s="1"/>
      <c r="L644" s="1"/>
    </row>
    <row r="645" ht="12.75" customHeight="1">
      <c r="A645" s="1"/>
      <c r="C645" s="1"/>
      <c r="J645" s="1"/>
      <c r="K645" s="1"/>
      <c r="L645" s="1"/>
    </row>
    <row r="646" ht="12.75" customHeight="1">
      <c r="A646" s="1"/>
      <c r="C646" s="1"/>
      <c r="J646" s="1"/>
      <c r="K646" s="1"/>
      <c r="L646" s="1"/>
    </row>
    <row r="647" ht="12.75" customHeight="1">
      <c r="A647" s="1"/>
      <c r="C647" s="1"/>
      <c r="J647" s="1"/>
      <c r="K647" s="1"/>
      <c r="L647" s="1"/>
    </row>
    <row r="648" ht="12.75" customHeight="1">
      <c r="A648" s="1"/>
      <c r="C648" s="1"/>
      <c r="J648" s="1"/>
      <c r="K648" s="1"/>
      <c r="L648" s="1"/>
    </row>
    <row r="649" ht="12.75" customHeight="1">
      <c r="A649" s="1"/>
      <c r="C649" s="1"/>
      <c r="J649" s="1"/>
      <c r="K649" s="1"/>
      <c r="L649" s="1"/>
    </row>
    <row r="650" ht="12.75" customHeight="1">
      <c r="A650" s="1"/>
      <c r="C650" s="1"/>
      <c r="J650" s="1"/>
      <c r="K650" s="1"/>
      <c r="L650" s="1"/>
    </row>
    <row r="651" ht="12.75" customHeight="1">
      <c r="A651" s="1"/>
      <c r="C651" s="1"/>
      <c r="J651" s="1"/>
      <c r="K651" s="1"/>
      <c r="L651" s="1"/>
    </row>
    <row r="652" ht="12.75" customHeight="1">
      <c r="A652" s="1"/>
      <c r="C652" s="1"/>
      <c r="J652" s="1"/>
      <c r="K652" s="1"/>
      <c r="L652" s="1"/>
    </row>
    <row r="653" ht="12.75" customHeight="1">
      <c r="A653" s="1"/>
      <c r="C653" s="1"/>
      <c r="J653" s="1"/>
      <c r="K653" s="1"/>
      <c r="L653" s="1"/>
    </row>
    <row r="654" ht="12.75" customHeight="1">
      <c r="A654" s="1"/>
      <c r="C654" s="1"/>
      <c r="J654" s="1"/>
      <c r="K654" s="1"/>
      <c r="L654" s="1"/>
    </row>
    <row r="655" ht="12.75" customHeight="1">
      <c r="A655" s="1"/>
      <c r="C655" s="1"/>
      <c r="J655" s="1"/>
      <c r="K655" s="1"/>
      <c r="L655" s="1"/>
    </row>
    <row r="656" ht="12.75" customHeight="1">
      <c r="A656" s="1"/>
      <c r="C656" s="1"/>
      <c r="J656" s="1"/>
      <c r="K656" s="1"/>
      <c r="L656" s="1"/>
    </row>
    <row r="657" ht="12.75" customHeight="1">
      <c r="A657" s="1"/>
      <c r="C657" s="1"/>
      <c r="J657" s="1"/>
      <c r="K657" s="1"/>
      <c r="L657" s="1"/>
    </row>
    <row r="658" ht="12.75" customHeight="1">
      <c r="A658" s="1"/>
      <c r="C658" s="1"/>
      <c r="J658" s="1"/>
      <c r="K658" s="1"/>
      <c r="L658" s="1"/>
    </row>
    <row r="659" ht="12.75" customHeight="1">
      <c r="A659" s="1"/>
      <c r="C659" s="1"/>
      <c r="J659" s="1"/>
      <c r="K659" s="1"/>
      <c r="L659" s="1"/>
    </row>
    <row r="660" ht="12.75" customHeight="1">
      <c r="A660" s="1"/>
      <c r="C660" s="1"/>
      <c r="J660" s="1"/>
      <c r="K660" s="1"/>
      <c r="L660" s="1"/>
    </row>
    <row r="661" ht="12.75" customHeight="1">
      <c r="A661" s="1"/>
      <c r="C661" s="1"/>
      <c r="J661" s="1"/>
      <c r="K661" s="1"/>
      <c r="L661" s="1"/>
    </row>
    <row r="662" ht="12.75" customHeight="1">
      <c r="A662" s="1"/>
      <c r="C662" s="1"/>
      <c r="J662" s="1"/>
      <c r="K662" s="1"/>
      <c r="L662" s="1"/>
    </row>
    <row r="663" ht="12.75" customHeight="1">
      <c r="A663" s="1"/>
      <c r="C663" s="1"/>
      <c r="J663" s="1"/>
      <c r="K663" s="1"/>
      <c r="L663" s="1"/>
    </row>
    <row r="664" ht="12.75" customHeight="1">
      <c r="A664" s="1"/>
      <c r="C664" s="1"/>
      <c r="J664" s="1"/>
      <c r="K664" s="1"/>
      <c r="L664" s="1"/>
    </row>
    <row r="665" ht="12.75" customHeight="1">
      <c r="A665" s="1"/>
      <c r="C665" s="1"/>
      <c r="J665" s="1"/>
      <c r="K665" s="1"/>
      <c r="L665" s="1"/>
    </row>
    <row r="666" ht="12.75" customHeight="1">
      <c r="A666" s="1"/>
      <c r="C666" s="1"/>
      <c r="J666" s="1"/>
      <c r="K666" s="1"/>
      <c r="L666" s="1"/>
    </row>
    <row r="667" ht="12.75" customHeight="1">
      <c r="A667" s="1"/>
      <c r="C667" s="1"/>
      <c r="J667" s="1"/>
      <c r="K667" s="1"/>
      <c r="L667" s="1"/>
    </row>
    <row r="668" ht="12.75" customHeight="1">
      <c r="A668" s="1"/>
      <c r="C668" s="1"/>
      <c r="J668" s="1"/>
      <c r="K668" s="1"/>
      <c r="L668" s="1"/>
    </row>
    <row r="669" ht="12.75" customHeight="1">
      <c r="A669" s="1"/>
      <c r="C669" s="1"/>
      <c r="J669" s="1"/>
      <c r="K669" s="1"/>
      <c r="L669" s="1"/>
    </row>
    <row r="670" ht="12.75" customHeight="1">
      <c r="A670" s="1"/>
      <c r="C670" s="1"/>
      <c r="J670" s="1"/>
      <c r="K670" s="1"/>
      <c r="L670" s="1"/>
    </row>
    <row r="671" ht="12.75" customHeight="1">
      <c r="A671" s="1"/>
      <c r="C671" s="1"/>
      <c r="J671" s="1"/>
      <c r="K671" s="1"/>
      <c r="L671" s="1"/>
    </row>
    <row r="672" ht="12.75" customHeight="1">
      <c r="A672" s="1"/>
      <c r="C672" s="1"/>
      <c r="J672" s="1"/>
      <c r="K672" s="1"/>
      <c r="L672" s="1"/>
    </row>
    <row r="673" ht="12.75" customHeight="1">
      <c r="A673" s="1"/>
      <c r="C673" s="1"/>
      <c r="J673" s="1"/>
      <c r="K673" s="1"/>
      <c r="L673" s="1"/>
    </row>
    <row r="674" ht="12.75" customHeight="1">
      <c r="A674" s="1"/>
      <c r="C674" s="1"/>
      <c r="J674" s="1"/>
      <c r="K674" s="1"/>
      <c r="L674" s="1"/>
    </row>
    <row r="675" ht="12.75" customHeight="1">
      <c r="A675" s="1"/>
      <c r="C675" s="1"/>
      <c r="J675" s="1"/>
      <c r="K675" s="1"/>
      <c r="L675" s="1"/>
    </row>
    <row r="676" ht="12.75" customHeight="1">
      <c r="A676" s="1"/>
      <c r="C676" s="1"/>
      <c r="J676" s="1"/>
      <c r="K676" s="1"/>
      <c r="L676" s="1"/>
    </row>
    <row r="677" ht="12.75" customHeight="1">
      <c r="A677" s="1"/>
      <c r="C677" s="1"/>
      <c r="J677" s="1"/>
      <c r="K677" s="1"/>
      <c r="L677" s="1"/>
    </row>
    <row r="678" ht="12.75" customHeight="1">
      <c r="A678" s="1"/>
      <c r="C678" s="1"/>
      <c r="J678" s="1"/>
      <c r="K678" s="1"/>
      <c r="L678" s="1"/>
    </row>
    <row r="679" ht="12.75" customHeight="1">
      <c r="A679" s="1"/>
      <c r="C679" s="1"/>
      <c r="J679" s="1"/>
      <c r="K679" s="1"/>
      <c r="L679" s="1"/>
    </row>
    <row r="680" ht="12.75" customHeight="1">
      <c r="A680" s="1"/>
      <c r="C680" s="1"/>
      <c r="J680" s="1"/>
      <c r="K680" s="1"/>
      <c r="L680" s="1"/>
    </row>
    <row r="681" ht="12.75" customHeight="1">
      <c r="A681" s="1"/>
      <c r="C681" s="1"/>
      <c r="J681" s="1"/>
      <c r="K681" s="1"/>
      <c r="L681" s="1"/>
    </row>
    <row r="682" ht="12.75" customHeight="1">
      <c r="A682" s="1"/>
      <c r="C682" s="1"/>
      <c r="J682" s="1"/>
      <c r="K682" s="1"/>
      <c r="L682" s="1"/>
    </row>
    <row r="683" ht="12.75" customHeight="1">
      <c r="A683" s="1"/>
      <c r="C683" s="1"/>
      <c r="J683" s="1"/>
      <c r="K683" s="1"/>
      <c r="L683" s="1"/>
    </row>
    <row r="684" ht="12.75" customHeight="1">
      <c r="A684" s="1"/>
      <c r="C684" s="1"/>
      <c r="J684" s="1"/>
      <c r="K684" s="1"/>
      <c r="L684" s="1"/>
    </row>
    <row r="685" ht="12.75" customHeight="1">
      <c r="A685" s="1"/>
      <c r="C685" s="1"/>
      <c r="J685" s="1"/>
      <c r="K685" s="1"/>
      <c r="L685" s="1"/>
    </row>
    <row r="686" ht="12.75" customHeight="1">
      <c r="A686" s="1"/>
      <c r="C686" s="1"/>
      <c r="J686" s="1"/>
      <c r="K686" s="1"/>
      <c r="L686" s="1"/>
    </row>
    <row r="687" ht="12.75" customHeight="1">
      <c r="A687" s="1"/>
      <c r="C687" s="1"/>
      <c r="J687" s="1"/>
      <c r="K687" s="1"/>
      <c r="L687" s="1"/>
    </row>
    <row r="688" ht="12.75" customHeight="1">
      <c r="A688" s="1"/>
      <c r="C688" s="1"/>
      <c r="J688" s="1"/>
      <c r="K688" s="1"/>
      <c r="L688" s="1"/>
    </row>
    <row r="689" ht="12.75" customHeight="1">
      <c r="A689" s="1"/>
      <c r="C689" s="1"/>
      <c r="J689" s="1"/>
      <c r="K689" s="1"/>
      <c r="L689" s="1"/>
    </row>
    <row r="690" ht="12.75" customHeight="1">
      <c r="A690" s="1"/>
      <c r="C690" s="1"/>
      <c r="J690" s="1"/>
      <c r="K690" s="1"/>
      <c r="L690" s="1"/>
    </row>
    <row r="691" ht="12.75" customHeight="1">
      <c r="A691" s="1"/>
      <c r="C691" s="1"/>
      <c r="J691" s="1"/>
      <c r="K691" s="1"/>
      <c r="L691" s="1"/>
    </row>
    <row r="692" ht="12.75" customHeight="1">
      <c r="A692" s="1"/>
      <c r="C692" s="1"/>
      <c r="J692" s="1"/>
      <c r="K692" s="1"/>
      <c r="L692" s="1"/>
    </row>
    <row r="693" ht="12.75" customHeight="1">
      <c r="A693" s="1"/>
      <c r="C693" s="1"/>
      <c r="J693" s="1"/>
      <c r="K693" s="1"/>
      <c r="L693" s="1"/>
    </row>
    <row r="694" ht="12.75" customHeight="1">
      <c r="A694" s="1"/>
      <c r="C694" s="1"/>
      <c r="J694" s="1"/>
      <c r="K694" s="1"/>
      <c r="L694" s="1"/>
    </row>
    <row r="695" ht="12.75" customHeight="1">
      <c r="A695" s="1"/>
      <c r="C695" s="1"/>
      <c r="J695" s="1"/>
      <c r="K695" s="1"/>
      <c r="L695" s="1"/>
    </row>
    <row r="696" ht="12.75" customHeight="1">
      <c r="A696" s="1"/>
      <c r="C696" s="1"/>
      <c r="J696" s="1"/>
      <c r="K696" s="1"/>
      <c r="L696" s="1"/>
    </row>
    <row r="697" ht="12.75" customHeight="1">
      <c r="A697" s="1"/>
      <c r="C697" s="1"/>
      <c r="J697" s="1"/>
      <c r="K697" s="1"/>
      <c r="L697" s="1"/>
    </row>
    <row r="698" ht="12.75" customHeight="1">
      <c r="A698" s="1"/>
      <c r="C698" s="1"/>
      <c r="J698" s="1"/>
      <c r="K698" s="1"/>
      <c r="L698" s="1"/>
    </row>
    <row r="699" ht="12.75" customHeight="1">
      <c r="A699" s="1"/>
      <c r="C699" s="1"/>
      <c r="J699" s="1"/>
      <c r="K699" s="1"/>
      <c r="L699" s="1"/>
    </row>
    <row r="700" ht="12.75" customHeight="1">
      <c r="A700" s="1"/>
      <c r="C700" s="1"/>
      <c r="J700" s="1"/>
      <c r="K700" s="1"/>
      <c r="L700" s="1"/>
    </row>
    <row r="701" ht="12.75" customHeight="1">
      <c r="A701" s="1"/>
      <c r="C701" s="1"/>
      <c r="J701" s="1"/>
      <c r="K701" s="1"/>
      <c r="L701" s="1"/>
    </row>
    <row r="702" ht="12.75" customHeight="1">
      <c r="A702" s="1"/>
      <c r="C702" s="1"/>
      <c r="J702" s="1"/>
      <c r="K702" s="1"/>
      <c r="L702" s="1"/>
    </row>
    <row r="703" ht="12.75" customHeight="1">
      <c r="A703" s="1"/>
      <c r="C703" s="1"/>
      <c r="J703" s="1"/>
      <c r="K703" s="1"/>
      <c r="L703" s="1"/>
    </row>
    <row r="704" ht="12.75" customHeight="1">
      <c r="A704" s="1"/>
      <c r="C704" s="1"/>
      <c r="J704" s="1"/>
      <c r="K704" s="1"/>
      <c r="L704" s="1"/>
    </row>
    <row r="705" ht="12.75" customHeight="1">
      <c r="A705" s="1"/>
      <c r="C705" s="1"/>
      <c r="J705" s="1"/>
      <c r="K705" s="1"/>
      <c r="L705" s="1"/>
    </row>
    <row r="706" ht="12.75" customHeight="1">
      <c r="A706" s="1"/>
      <c r="C706" s="1"/>
      <c r="J706" s="1"/>
      <c r="K706" s="1"/>
      <c r="L706" s="1"/>
    </row>
    <row r="707" ht="12.75" customHeight="1">
      <c r="A707" s="1"/>
      <c r="C707" s="1"/>
      <c r="J707" s="1"/>
      <c r="K707" s="1"/>
      <c r="L707" s="1"/>
    </row>
    <row r="708" ht="12.75" customHeight="1">
      <c r="A708" s="1"/>
      <c r="C708" s="1"/>
      <c r="J708" s="1"/>
      <c r="K708" s="1"/>
      <c r="L708" s="1"/>
    </row>
    <row r="709" ht="12.75" customHeight="1">
      <c r="A709" s="1"/>
      <c r="C709" s="1"/>
      <c r="J709" s="1"/>
      <c r="K709" s="1"/>
      <c r="L709" s="1"/>
    </row>
    <row r="710" ht="12.75" customHeight="1">
      <c r="A710" s="1"/>
      <c r="C710" s="1"/>
      <c r="J710" s="1"/>
      <c r="K710" s="1"/>
      <c r="L710" s="1"/>
    </row>
    <row r="711" ht="12.75" customHeight="1">
      <c r="A711" s="1"/>
      <c r="C711" s="1"/>
      <c r="J711" s="1"/>
      <c r="K711" s="1"/>
      <c r="L711" s="1"/>
    </row>
    <row r="712" ht="12.75" customHeight="1">
      <c r="A712" s="1"/>
      <c r="C712" s="1"/>
      <c r="J712" s="1"/>
      <c r="K712" s="1"/>
      <c r="L712" s="1"/>
    </row>
    <row r="713" ht="12.75" customHeight="1">
      <c r="A713" s="1"/>
      <c r="C713" s="1"/>
      <c r="J713" s="1"/>
      <c r="K713" s="1"/>
      <c r="L713" s="1"/>
    </row>
    <row r="714" ht="12.75" customHeight="1">
      <c r="A714" s="1"/>
      <c r="C714" s="1"/>
      <c r="J714" s="1"/>
      <c r="K714" s="1"/>
      <c r="L714" s="1"/>
    </row>
    <row r="715" ht="12.75" customHeight="1">
      <c r="A715" s="1"/>
      <c r="C715" s="1"/>
      <c r="J715" s="1"/>
      <c r="K715" s="1"/>
      <c r="L715" s="1"/>
    </row>
    <row r="716" ht="12.75" customHeight="1">
      <c r="A716" s="1"/>
      <c r="C716" s="1"/>
      <c r="J716" s="1"/>
      <c r="K716" s="1"/>
      <c r="L716" s="1"/>
    </row>
    <row r="717" ht="12.75" customHeight="1">
      <c r="A717" s="1"/>
      <c r="C717" s="1"/>
      <c r="J717" s="1"/>
      <c r="K717" s="1"/>
      <c r="L717" s="1"/>
    </row>
    <row r="718" ht="12.75" customHeight="1">
      <c r="A718" s="1"/>
      <c r="C718" s="1"/>
      <c r="J718" s="1"/>
      <c r="K718" s="1"/>
      <c r="L718" s="1"/>
    </row>
    <row r="719" ht="12.75" customHeight="1">
      <c r="A719" s="1"/>
      <c r="C719" s="1"/>
      <c r="J719" s="1"/>
      <c r="K719" s="1"/>
      <c r="L719" s="1"/>
    </row>
    <row r="720" ht="12.75" customHeight="1">
      <c r="A720" s="1"/>
      <c r="C720" s="1"/>
      <c r="J720" s="1"/>
      <c r="K720" s="1"/>
      <c r="L720" s="1"/>
    </row>
    <row r="721" ht="12.75" customHeight="1">
      <c r="A721" s="1"/>
      <c r="C721" s="1"/>
      <c r="J721" s="1"/>
      <c r="K721" s="1"/>
      <c r="L721" s="1"/>
    </row>
    <row r="722" ht="12.75" customHeight="1">
      <c r="A722" s="1"/>
      <c r="C722" s="1"/>
      <c r="J722" s="1"/>
      <c r="K722" s="1"/>
      <c r="L722" s="1"/>
    </row>
    <row r="723" ht="12.75" customHeight="1">
      <c r="A723" s="1"/>
      <c r="C723" s="1"/>
      <c r="J723" s="1"/>
      <c r="K723" s="1"/>
      <c r="L723" s="1"/>
    </row>
    <row r="724" ht="12.75" customHeight="1">
      <c r="A724" s="1"/>
      <c r="C724" s="1"/>
      <c r="J724" s="1"/>
      <c r="K724" s="1"/>
      <c r="L724" s="1"/>
    </row>
    <row r="725" ht="12.75" customHeight="1">
      <c r="A725" s="1"/>
      <c r="C725" s="1"/>
      <c r="J725" s="1"/>
      <c r="K725" s="1"/>
      <c r="L725" s="1"/>
    </row>
    <row r="726" ht="12.75" customHeight="1">
      <c r="A726" s="1"/>
      <c r="C726" s="1"/>
      <c r="J726" s="1"/>
      <c r="K726" s="1"/>
      <c r="L726" s="1"/>
    </row>
    <row r="727" ht="12.75" customHeight="1">
      <c r="A727" s="1"/>
      <c r="C727" s="1"/>
      <c r="J727" s="1"/>
      <c r="K727" s="1"/>
      <c r="L727" s="1"/>
    </row>
    <row r="728" ht="12.75" customHeight="1">
      <c r="A728" s="1"/>
      <c r="C728" s="1"/>
      <c r="J728" s="1"/>
      <c r="K728" s="1"/>
      <c r="L728" s="1"/>
    </row>
    <row r="729" ht="12.75" customHeight="1">
      <c r="A729" s="1"/>
      <c r="C729" s="1"/>
      <c r="J729" s="1"/>
      <c r="K729" s="1"/>
      <c r="L729" s="1"/>
    </row>
    <row r="730" ht="12.75" customHeight="1">
      <c r="A730" s="1"/>
      <c r="C730" s="1"/>
      <c r="J730" s="1"/>
      <c r="K730" s="1"/>
      <c r="L730" s="1"/>
    </row>
    <row r="731" ht="12.75" customHeight="1">
      <c r="A731" s="1"/>
      <c r="C731" s="1"/>
      <c r="J731" s="1"/>
      <c r="K731" s="1"/>
      <c r="L731" s="1"/>
    </row>
    <row r="732" ht="12.75" customHeight="1">
      <c r="A732" s="1"/>
      <c r="C732" s="1"/>
      <c r="J732" s="1"/>
      <c r="K732" s="1"/>
      <c r="L732" s="1"/>
    </row>
    <row r="733" ht="12.75" customHeight="1">
      <c r="A733" s="1"/>
      <c r="C733" s="1"/>
      <c r="J733" s="1"/>
      <c r="K733" s="1"/>
      <c r="L733" s="1"/>
    </row>
    <row r="734" ht="12.75" customHeight="1">
      <c r="A734" s="1"/>
      <c r="C734" s="1"/>
      <c r="J734" s="1"/>
      <c r="K734" s="1"/>
      <c r="L734" s="1"/>
    </row>
    <row r="735" ht="12.75" customHeight="1">
      <c r="A735" s="1"/>
      <c r="C735" s="1"/>
      <c r="J735" s="1"/>
      <c r="K735" s="1"/>
      <c r="L735" s="1"/>
    </row>
    <row r="736" ht="12.75" customHeight="1">
      <c r="A736" s="1"/>
      <c r="C736" s="1"/>
      <c r="J736" s="1"/>
      <c r="K736" s="1"/>
      <c r="L736" s="1"/>
    </row>
    <row r="737" ht="12.75" customHeight="1">
      <c r="A737" s="1"/>
      <c r="C737" s="1"/>
      <c r="J737" s="1"/>
      <c r="K737" s="1"/>
      <c r="L737" s="1"/>
    </row>
    <row r="738" ht="12.75" customHeight="1">
      <c r="A738" s="1"/>
      <c r="C738" s="1"/>
      <c r="J738" s="1"/>
      <c r="K738" s="1"/>
      <c r="L738" s="1"/>
    </row>
    <row r="739" ht="12.75" customHeight="1">
      <c r="A739" s="1"/>
      <c r="C739" s="1"/>
      <c r="J739" s="1"/>
      <c r="K739" s="1"/>
      <c r="L739" s="1"/>
    </row>
    <row r="740" ht="12.75" customHeight="1">
      <c r="A740" s="1"/>
      <c r="C740" s="1"/>
      <c r="J740" s="1"/>
      <c r="K740" s="1"/>
      <c r="L740" s="1"/>
    </row>
    <row r="741" ht="12.75" customHeight="1">
      <c r="A741" s="1"/>
      <c r="C741" s="1"/>
      <c r="J741" s="1"/>
      <c r="K741" s="1"/>
      <c r="L741" s="1"/>
    </row>
    <row r="742" ht="12.75" customHeight="1">
      <c r="A742" s="1"/>
      <c r="C742" s="1"/>
      <c r="J742" s="1"/>
      <c r="K742" s="1"/>
      <c r="L742" s="1"/>
    </row>
    <row r="743" ht="12.75" customHeight="1">
      <c r="A743" s="1"/>
      <c r="C743" s="1"/>
      <c r="J743" s="1"/>
      <c r="K743" s="1"/>
      <c r="L743" s="1"/>
    </row>
    <row r="744" ht="12.75" customHeight="1">
      <c r="A744" s="1"/>
      <c r="C744" s="1"/>
      <c r="J744" s="1"/>
      <c r="K744" s="1"/>
      <c r="L744" s="1"/>
    </row>
    <row r="745" ht="12.75" customHeight="1">
      <c r="A745" s="1"/>
      <c r="C745" s="1"/>
      <c r="J745" s="1"/>
      <c r="K745" s="1"/>
      <c r="L745" s="1"/>
    </row>
    <row r="746" ht="12.75" customHeight="1">
      <c r="A746" s="1"/>
      <c r="C746" s="1"/>
      <c r="J746" s="1"/>
      <c r="K746" s="1"/>
      <c r="L746" s="1"/>
    </row>
    <row r="747" ht="12.75" customHeight="1">
      <c r="A747" s="1"/>
      <c r="C747" s="1"/>
      <c r="J747" s="1"/>
      <c r="K747" s="1"/>
      <c r="L747" s="1"/>
    </row>
    <row r="748" ht="12.75" customHeight="1">
      <c r="A748" s="1"/>
      <c r="C748" s="1"/>
      <c r="J748" s="1"/>
      <c r="K748" s="1"/>
      <c r="L748" s="1"/>
    </row>
    <row r="749" ht="12.75" customHeight="1">
      <c r="A749" s="1"/>
      <c r="C749" s="1"/>
      <c r="J749" s="1"/>
      <c r="K749" s="1"/>
      <c r="L749" s="1"/>
    </row>
    <row r="750" ht="12.75" customHeight="1">
      <c r="A750" s="1"/>
      <c r="C750" s="1"/>
      <c r="J750" s="1"/>
      <c r="K750" s="1"/>
      <c r="L750" s="1"/>
    </row>
    <row r="751" ht="12.75" customHeight="1">
      <c r="A751" s="1"/>
      <c r="C751" s="1"/>
      <c r="J751" s="1"/>
      <c r="K751" s="1"/>
      <c r="L751" s="1"/>
    </row>
    <row r="752" ht="12.75" customHeight="1">
      <c r="A752" s="1"/>
      <c r="C752" s="1"/>
      <c r="J752" s="1"/>
      <c r="K752" s="1"/>
      <c r="L752" s="1"/>
    </row>
    <row r="753" ht="12.75" customHeight="1">
      <c r="A753" s="1"/>
      <c r="C753" s="1"/>
      <c r="J753" s="1"/>
      <c r="K753" s="1"/>
      <c r="L753" s="1"/>
    </row>
    <row r="754" ht="12.75" customHeight="1">
      <c r="A754" s="1"/>
      <c r="C754" s="1"/>
      <c r="J754" s="1"/>
      <c r="K754" s="1"/>
      <c r="L754" s="1"/>
    </row>
    <row r="755" ht="12.75" customHeight="1">
      <c r="A755" s="1"/>
      <c r="C755" s="1"/>
      <c r="J755" s="1"/>
      <c r="K755" s="1"/>
      <c r="L755" s="1"/>
    </row>
    <row r="756" ht="12.75" customHeight="1">
      <c r="A756" s="1"/>
      <c r="C756" s="1"/>
      <c r="J756" s="1"/>
      <c r="K756" s="1"/>
      <c r="L756" s="1"/>
    </row>
    <row r="757" ht="12.75" customHeight="1">
      <c r="A757" s="1"/>
      <c r="C757" s="1"/>
      <c r="J757" s="1"/>
      <c r="K757" s="1"/>
      <c r="L757" s="1"/>
    </row>
    <row r="758" ht="12.75" customHeight="1">
      <c r="A758" s="1"/>
      <c r="C758" s="1"/>
      <c r="J758" s="1"/>
      <c r="K758" s="1"/>
      <c r="L758" s="1"/>
    </row>
    <row r="759" ht="12.75" customHeight="1">
      <c r="A759" s="1"/>
      <c r="C759" s="1"/>
      <c r="J759" s="1"/>
      <c r="K759" s="1"/>
      <c r="L759" s="1"/>
    </row>
    <row r="760" ht="12.75" customHeight="1">
      <c r="A760" s="1"/>
      <c r="C760" s="1"/>
      <c r="J760" s="1"/>
      <c r="K760" s="1"/>
      <c r="L760" s="1"/>
    </row>
    <row r="761" ht="12.75" customHeight="1">
      <c r="A761" s="1"/>
      <c r="C761" s="1"/>
      <c r="J761" s="1"/>
      <c r="K761" s="1"/>
      <c r="L761" s="1"/>
    </row>
    <row r="762" ht="12.75" customHeight="1">
      <c r="A762" s="1"/>
      <c r="C762" s="1"/>
      <c r="J762" s="1"/>
      <c r="K762" s="1"/>
      <c r="L762" s="1"/>
    </row>
    <row r="763" ht="12.75" customHeight="1">
      <c r="A763" s="1"/>
      <c r="C763" s="1"/>
      <c r="J763" s="1"/>
      <c r="K763" s="1"/>
      <c r="L763" s="1"/>
    </row>
    <row r="764" ht="12.75" customHeight="1">
      <c r="A764" s="1"/>
      <c r="C764" s="1"/>
      <c r="J764" s="1"/>
      <c r="K764" s="1"/>
      <c r="L764" s="1"/>
    </row>
    <row r="765" ht="12.75" customHeight="1">
      <c r="A765" s="1"/>
      <c r="C765" s="1"/>
      <c r="J765" s="1"/>
      <c r="K765" s="1"/>
      <c r="L765" s="1"/>
    </row>
    <row r="766" ht="12.75" customHeight="1">
      <c r="A766" s="1"/>
      <c r="C766" s="1"/>
      <c r="J766" s="1"/>
      <c r="K766" s="1"/>
      <c r="L766" s="1"/>
    </row>
    <row r="767" ht="12.75" customHeight="1">
      <c r="A767" s="1"/>
      <c r="C767" s="1"/>
      <c r="J767" s="1"/>
      <c r="K767" s="1"/>
      <c r="L767" s="1"/>
    </row>
    <row r="768" ht="12.75" customHeight="1">
      <c r="A768" s="1"/>
      <c r="C768" s="1"/>
      <c r="J768" s="1"/>
      <c r="K768" s="1"/>
      <c r="L768" s="1"/>
    </row>
    <row r="769" ht="12.75" customHeight="1">
      <c r="A769" s="1"/>
      <c r="C769" s="1"/>
      <c r="J769" s="1"/>
      <c r="K769" s="1"/>
      <c r="L769" s="1"/>
    </row>
    <row r="770" ht="12.75" customHeight="1">
      <c r="A770" s="1"/>
      <c r="C770" s="1"/>
      <c r="J770" s="1"/>
      <c r="K770" s="1"/>
      <c r="L770" s="1"/>
    </row>
    <row r="771" ht="12.75" customHeight="1">
      <c r="A771" s="1"/>
      <c r="C771" s="1"/>
      <c r="J771" s="1"/>
      <c r="K771" s="1"/>
      <c r="L771" s="1"/>
    </row>
    <row r="772" ht="12.75" customHeight="1">
      <c r="A772" s="1"/>
      <c r="C772" s="1"/>
      <c r="J772" s="1"/>
      <c r="K772" s="1"/>
      <c r="L772" s="1"/>
    </row>
    <row r="773" ht="12.75" customHeight="1">
      <c r="A773" s="1"/>
      <c r="C773" s="1"/>
      <c r="J773" s="1"/>
      <c r="K773" s="1"/>
      <c r="L773" s="1"/>
    </row>
    <row r="774" ht="12.75" customHeight="1">
      <c r="A774" s="1"/>
      <c r="C774" s="1"/>
      <c r="J774" s="1"/>
      <c r="K774" s="1"/>
      <c r="L774" s="1"/>
    </row>
    <row r="775" ht="12.75" customHeight="1">
      <c r="A775" s="1"/>
      <c r="C775" s="1"/>
      <c r="J775" s="1"/>
      <c r="K775" s="1"/>
      <c r="L775" s="1"/>
    </row>
    <row r="776" ht="12.75" customHeight="1">
      <c r="A776" s="1"/>
      <c r="C776" s="1"/>
      <c r="J776" s="1"/>
      <c r="K776" s="1"/>
      <c r="L776" s="1"/>
    </row>
    <row r="777" ht="12.75" customHeight="1">
      <c r="A777" s="1"/>
      <c r="C777" s="1"/>
      <c r="J777" s="1"/>
      <c r="K777" s="1"/>
      <c r="L777" s="1"/>
    </row>
    <row r="778" ht="12.75" customHeight="1">
      <c r="A778" s="1"/>
      <c r="C778" s="1"/>
      <c r="J778" s="1"/>
      <c r="K778" s="1"/>
      <c r="L778" s="1"/>
    </row>
    <row r="779" ht="12.75" customHeight="1">
      <c r="A779" s="1"/>
      <c r="C779" s="1"/>
      <c r="J779" s="1"/>
      <c r="K779" s="1"/>
      <c r="L779" s="1"/>
    </row>
    <row r="780" ht="12.75" customHeight="1">
      <c r="A780" s="1"/>
      <c r="C780" s="1"/>
      <c r="J780" s="1"/>
      <c r="K780" s="1"/>
      <c r="L780" s="1"/>
    </row>
    <row r="781" ht="12.75" customHeight="1">
      <c r="A781" s="1"/>
      <c r="C781" s="1"/>
      <c r="J781" s="1"/>
      <c r="K781" s="1"/>
      <c r="L781" s="1"/>
    </row>
    <row r="782" ht="12.75" customHeight="1">
      <c r="A782" s="1"/>
      <c r="C782" s="1"/>
      <c r="J782" s="1"/>
      <c r="K782" s="1"/>
      <c r="L782" s="1"/>
    </row>
    <row r="783" ht="12.75" customHeight="1">
      <c r="A783" s="1"/>
      <c r="C783" s="1"/>
      <c r="J783" s="1"/>
      <c r="K783" s="1"/>
      <c r="L783" s="1"/>
    </row>
    <row r="784" ht="12.75" customHeight="1">
      <c r="A784" s="1"/>
      <c r="C784" s="1"/>
      <c r="J784" s="1"/>
      <c r="K784" s="1"/>
      <c r="L784" s="1"/>
    </row>
    <row r="785" ht="12.75" customHeight="1">
      <c r="A785" s="1"/>
      <c r="C785" s="1"/>
      <c r="J785" s="1"/>
      <c r="K785" s="1"/>
      <c r="L785" s="1"/>
    </row>
    <row r="786" ht="12.75" customHeight="1">
      <c r="A786" s="1"/>
      <c r="C786" s="1"/>
      <c r="J786" s="1"/>
      <c r="K786" s="1"/>
      <c r="L786" s="1"/>
    </row>
    <row r="787" ht="12.75" customHeight="1">
      <c r="A787" s="1"/>
      <c r="C787" s="1"/>
      <c r="J787" s="1"/>
      <c r="K787" s="1"/>
      <c r="L787" s="1"/>
    </row>
    <row r="788" ht="12.75" customHeight="1">
      <c r="A788" s="1"/>
      <c r="C788" s="1"/>
      <c r="J788" s="1"/>
      <c r="K788" s="1"/>
      <c r="L788" s="1"/>
    </row>
    <row r="789" ht="12.75" customHeight="1">
      <c r="A789" s="1"/>
      <c r="C789" s="1"/>
      <c r="J789" s="1"/>
      <c r="K789" s="1"/>
      <c r="L789" s="1"/>
    </row>
    <row r="790" ht="12.75" customHeight="1">
      <c r="A790" s="1"/>
      <c r="C790" s="1"/>
      <c r="J790" s="1"/>
      <c r="K790" s="1"/>
      <c r="L790" s="1"/>
    </row>
    <row r="791" ht="12.75" customHeight="1">
      <c r="A791" s="1"/>
      <c r="C791" s="1"/>
      <c r="J791" s="1"/>
      <c r="K791" s="1"/>
      <c r="L791" s="1"/>
    </row>
    <row r="792" ht="12.75" customHeight="1">
      <c r="A792" s="1"/>
      <c r="C792" s="1"/>
      <c r="J792" s="1"/>
      <c r="K792" s="1"/>
      <c r="L792" s="1"/>
    </row>
    <row r="793" ht="12.75" customHeight="1">
      <c r="A793" s="1"/>
      <c r="C793" s="1"/>
      <c r="J793" s="1"/>
      <c r="K793" s="1"/>
      <c r="L793" s="1"/>
    </row>
    <row r="794" ht="12.75" customHeight="1">
      <c r="A794" s="1"/>
      <c r="C794" s="1"/>
      <c r="J794" s="1"/>
      <c r="K794" s="1"/>
      <c r="L794" s="1"/>
    </row>
    <row r="795" ht="12.75" customHeight="1">
      <c r="A795" s="1"/>
      <c r="C795" s="1"/>
      <c r="J795" s="1"/>
      <c r="K795" s="1"/>
      <c r="L795" s="1"/>
    </row>
    <row r="796" ht="12.75" customHeight="1">
      <c r="A796" s="1"/>
      <c r="C796" s="1"/>
      <c r="J796" s="1"/>
      <c r="K796" s="1"/>
      <c r="L796" s="1"/>
    </row>
    <row r="797" ht="12.75" customHeight="1">
      <c r="A797" s="1"/>
      <c r="C797" s="1"/>
      <c r="J797" s="1"/>
      <c r="K797" s="1"/>
      <c r="L797" s="1"/>
    </row>
    <row r="798" ht="12.75" customHeight="1">
      <c r="A798" s="1"/>
      <c r="C798" s="1"/>
      <c r="J798" s="1"/>
      <c r="K798" s="1"/>
      <c r="L798" s="1"/>
    </row>
    <row r="799" ht="12.75" customHeight="1">
      <c r="A799" s="1"/>
      <c r="C799" s="1"/>
      <c r="J799" s="1"/>
      <c r="K799" s="1"/>
      <c r="L799" s="1"/>
    </row>
    <row r="800" ht="12.75" customHeight="1">
      <c r="A800" s="1"/>
      <c r="C800" s="1"/>
      <c r="J800" s="1"/>
      <c r="K800" s="1"/>
      <c r="L800" s="1"/>
    </row>
    <row r="801" ht="12.75" customHeight="1">
      <c r="A801" s="1"/>
      <c r="C801" s="1"/>
      <c r="J801" s="1"/>
      <c r="K801" s="1"/>
      <c r="L801" s="1"/>
    </row>
    <row r="802" ht="12.75" customHeight="1">
      <c r="A802" s="1"/>
      <c r="C802" s="1"/>
      <c r="J802" s="1"/>
      <c r="K802" s="1"/>
      <c r="L802" s="1"/>
    </row>
    <row r="803" ht="12.75" customHeight="1">
      <c r="A803" s="1"/>
      <c r="C803" s="1"/>
      <c r="J803" s="1"/>
      <c r="K803" s="1"/>
      <c r="L803" s="1"/>
    </row>
    <row r="804" ht="12.75" customHeight="1">
      <c r="A804" s="1"/>
      <c r="C804" s="1"/>
      <c r="J804" s="1"/>
      <c r="K804" s="1"/>
      <c r="L804" s="1"/>
    </row>
    <row r="805" ht="12.75" customHeight="1">
      <c r="A805" s="1"/>
      <c r="C805" s="1"/>
      <c r="J805" s="1"/>
      <c r="K805" s="1"/>
      <c r="L805" s="1"/>
    </row>
    <row r="806" ht="12.75" customHeight="1">
      <c r="A806" s="1"/>
      <c r="C806" s="1"/>
      <c r="J806" s="1"/>
      <c r="K806" s="1"/>
      <c r="L806" s="1"/>
    </row>
    <row r="807" ht="12.75" customHeight="1">
      <c r="A807" s="1"/>
      <c r="C807" s="1"/>
      <c r="J807" s="1"/>
      <c r="K807" s="1"/>
      <c r="L807" s="1"/>
    </row>
    <row r="808" ht="12.75" customHeight="1">
      <c r="A808" s="1"/>
      <c r="C808" s="1"/>
      <c r="J808" s="1"/>
      <c r="K808" s="1"/>
      <c r="L808" s="1"/>
    </row>
    <row r="809" ht="12.75" customHeight="1">
      <c r="A809" s="1"/>
      <c r="C809" s="1"/>
      <c r="J809" s="1"/>
      <c r="K809" s="1"/>
      <c r="L809" s="1"/>
    </row>
    <row r="810" ht="12.75" customHeight="1">
      <c r="A810" s="1"/>
      <c r="C810" s="1"/>
      <c r="J810" s="1"/>
      <c r="K810" s="1"/>
      <c r="L810" s="1"/>
    </row>
    <row r="811" ht="12.75" customHeight="1">
      <c r="A811" s="1"/>
      <c r="C811" s="1"/>
      <c r="J811" s="1"/>
      <c r="K811" s="1"/>
      <c r="L811" s="1"/>
    </row>
    <row r="812" ht="12.75" customHeight="1">
      <c r="A812" s="1"/>
      <c r="C812" s="1"/>
      <c r="J812" s="1"/>
      <c r="K812" s="1"/>
      <c r="L812" s="1"/>
    </row>
    <row r="813" ht="12.75" customHeight="1">
      <c r="A813" s="1"/>
      <c r="C813" s="1"/>
      <c r="J813" s="1"/>
      <c r="K813" s="1"/>
      <c r="L813" s="1"/>
    </row>
    <row r="814" ht="12.75" customHeight="1">
      <c r="A814" s="1"/>
      <c r="C814" s="1"/>
      <c r="J814" s="1"/>
      <c r="K814" s="1"/>
      <c r="L814" s="1"/>
    </row>
    <row r="815" ht="12.75" customHeight="1">
      <c r="A815" s="1"/>
      <c r="C815" s="1"/>
      <c r="J815" s="1"/>
      <c r="K815" s="1"/>
      <c r="L815" s="1"/>
    </row>
    <row r="816" ht="12.75" customHeight="1">
      <c r="A816" s="1"/>
      <c r="C816" s="1"/>
      <c r="J816" s="1"/>
      <c r="K816" s="1"/>
      <c r="L816" s="1"/>
    </row>
    <row r="817" ht="12.75" customHeight="1">
      <c r="A817" s="1"/>
      <c r="C817" s="1"/>
      <c r="J817" s="1"/>
      <c r="K817" s="1"/>
      <c r="L817" s="1"/>
    </row>
    <row r="818" ht="12.75" customHeight="1">
      <c r="A818" s="1"/>
      <c r="C818" s="1"/>
      <c r="J818" s="1"/>
      <c r="K818" s="1"/>
      <c r="L818" s="1"/>
    </row>
    <row r="819" ht="12.75" customHeight="1">
      <c r="A819" s="1"/>
      <c r="C819" s="1"/>
      <c r="J819" s="1"/>
      <c r="K819" s="1"/>
      <c r="L819" s="1"/>
    </row>
    <row r="820" ht="12.75" customHeight="1">
      <c r="A820" s="1"/>
      <c r="C820" s="1"/>
      <c r="J820" s="1"/>
      <c r="K820" s="1"/>
      <c r="L820" s="1"/>
    </row>
    <row r="821" ht="12.75" customHeight="1">
      <c r="A821" s="1"/>
      <c r="C821" s="1"/>
      <c r="J821" s="1"/>
      <c r="K821" s="1"/>
      <c r="L821" s="1"/>
    </row>
    <row r="822" ht="12.75" customHeight="1">
      <c r="A822" s="1"/>
      <c r="C822" s="1"/>
      <c r="J822" s="1"/>
      <c r="K822" s="1"/>
      <c r="L822" s="1"/>
    </row>
    <row r="823" ht="12.75" customHeight="1">
      <c r="A823" s="1"/>
      <c r="C823" s="1"/>
      <c r="J823" s="1"/>
      <c r="K823" s="1"/>
      <c r="L823" s="1"/>
    </row>
    <row r="824" ht="12.75" customHeight="1">
      <c r="A824" s="1"/>
      <c r="C824" s="1"/>
      <c r="J824" s="1"/>
      <c r="K824" s="1"/>
      <c r="L824" s="1"/>
    </row>
    <row r="825" ht="12.75" customHeight="1">
      <c r="A825" s="1"/>
      <c r="C825" s="1"/>
      <c r="J825" s="1"/>
      <c r="K825" s="1"/>
      <c r="L825" s="1"/>
    </row>
    <row r="826" ht="12.75" customHeight="1">
      <c r="A826" s="1"/>
      <c r="C826" s="1"/>
      <c r="J826" s="1"/>
      <c r="K826" s="1"/>
      <c r="L826" s="1"/>
    </row>
    <row r="827" ht="12.75" customHeight="1">
      <c r="A827" s="1"/>
      <c r="C827" s="1"/>
      <c r="J827" s="1"/>
      <c r="K827" s="1"/>
      <c r="L827" s="1"/>
    </row>
    <row r="828" ht="12.75" customHeight="1">
      <c r="A828" s="1"/>
      <c r="C828" s="1"/>
      <c r="J828" s="1"/>
      <c r="K828" s="1"/>
      <c r="L828" s="1"/>
    </row>
    <row r="829" ht="12.75" customHeight="1">
      <c r="A829" s="1"/>
      <c r="C829" s="1"/>
      <c r="J829" s="1"/>
      <c r="K829" s="1"/>
      <c r="L829" s="1"/>
    </row>
    <row r="830" ht="12.75" customHeight="1">
      <c r="A830" s="1"/>
      <c r="C830" s="1"/>
      <c r="J830" s="1"/>
      <c r="K830" s="1"/>
      <c r="L830" s="1"/>
    </row>
    <row r="831" ht="12.75" customHeight="1">
      <c r="A831" s="1"/>
      <c r="C831" s="1"/>
      <c r="J831" s="1"/>
      <c r="K831" s="1"/>
      <c r="L831" s="1"/>
    </row>
    <row r="832" ht="12.75" customHeight="1">
      <c r="A832" s="1"/>
      <c r="C832" s="1"/>
      <c r="J832" s="1"/>
      <c r="K832" s="1"/>
      <c r="L832" s="1"/>
    </row>
    <row r="833" ht="12.75" customHeight="1">
      <c r="A833" s="1"/>
      <c r="C833" s="1"/>
      <c r="J833" s="1"/>
      <c r="K833" s="1"/>
      <c r="L833" s="1"/>
    </row>
    <row r="834" ht="12.75" customHeight="1">
      <c r="A834" s="1"/>
      <c r="C834" s="1"/>
      <c r="J834" s="1"/>
      <c r="K834" s="1"/>
      <c r="L834" s="1"/>
    </row>
    <row r="835" ht="12.75" customHeight="1">
      <c r="A835" s="1"/>
      <c r="C835" s="1"/>
      <c r="J835" s="1"/>
      <c r="K835" s="1"/>
      <c r="L835" s="1"/>
    </row>
    <row r="836" ht="12.75" customHeight="1">
      <c r="A836" s="1"/>
      <c r="C836" s="1"/>
      <c r="J836" s="1"/>
      <c r="K836" s="1"/>
      <c r="L836" s="1"/>
    </row>
    <row r="837" ht="12.75" customHeight="1">
      <c r="A837" s="1"/>
      <c r="C837" s="1"/>
      <c r="J837" s="1"/>
      <c r="K837" s="1"/>
      <c r="L837" s="1"/>
    </row>
    <row r="838" ht="12.75" customHeight="1">
      <c r="A838" s="1"/>
      <c r="C838" s="1"/>
      <c r="J838" s="1"/>
      <c r="K838" s="1"/>
      <c r="L838" s="1"/>
    </row>
    <row r="839" ht="12.75" customHeight="1">
      <c r="A839" s="1"/>
      <c r="C839" s="1"/>
      <c r="J839" s="1"/>
      <c r="K839" s="1"/>
      <c r="L839" s="1"/>
    </row>
    <row r="840" ht="12.75" customHeight="1">
      <c r="A840" s="1"/>
      <c r="C840" s="1"/>
      <c r="J840" s="1"/>
      <c r="K840" s="1"/>
      <c r="L840" s="1"/>
    </row>
    <row r="841" ht="12.75" customHeight="1">
      <c r="A841" s="1"/>
      <c r="C841" s="1"/>
      <c r="J841" s="1"/>
      <c r="K841" s="1"/>
      <c r="L841" s="1"/>
    </row>
    <row r="842" ht="12.75" customHeight="1">
      <c r="A842" s="1"/>
      <c r="C842" s="1"/>
      <c r="J842" s="1"/>
      <c r="K842" s="1"/>
      <c r="L842" s="1"/>
    </row>
    <row r="843" ht="12.75" customHeight="1">
      <c r="A843" s="1"/>
      <c r="C843" s="1"/>
      <c r="J843" s="1"/>
      <c r="K843" s="1"/>
      <c r="L843" s="1"/>
    </row>
    <row r="844" ht="12.75" customHeight="1">
      <c r="A844" s="1"/>
      <c r="C844" s="1"/>
      <c r="J844" s="1"/>
      <c r="K844" s="1"/>
      <c r="L844" s="1"/>
    </row>
    <row r="845" ht="12.75" customHeight="1">
      <c r="A845" s="1"/>
      <c r="C845" s="1"/>
      <c r="J845" s="1"/>
      <c r="K845" s="1"/>
      <c r="L845" s="1"/>
    </row>
    <row r="846" ht="12.75" customHeight="1">
      <c r="A846" s="1"/>
      <c r="C846" s="1"/>
      <c r="J846" s="1"/>
      <c r="K846" s="1"/>
      <c r="L846" s="1"/>
    </row>
    <row r="847" ht="12.75" customHeight="1">
      <c r="A847" s="1"/>
      <c r="C847" s="1"/>
      <c r="J847" s="1"/>
      <c r="K847" s="1"/>
      <c r="L847" s="1"/>
    </row>
    <row r="848" ht="12.75" customHeight="1">
      <c r="A848" s="1"/>
      <c r="C848" s="1"/>
      <c r="J848" s="1"/>
      <c r="K848" s="1"/>
      <c r="L848" s="1"/>
    </row>
    <row r="849" ht="12.75" customHeight="1">
      <c r="A849" s="1"/>
      <c r="C849" s="1"/>
      <c r="J849" s="1"/>
      <c r="K849" s="1"/>
      <c r="L849" s="1"/>
    </row>
    <row r="850" ht="12.75" customHeight="1">
      <c r="A850" s="1"/>
      <c r="C850" s="1"/>
      <c r="J850" s="1"/>
      <c r="K850" s="1"/>
      <c r="L850" s="1"/>
    </row>
    <row r="851" ht="12.75" customHeight="1">
      <c r="A851" s="1"/>
      <c r="C851" s="1"/>
      <c r="J851" s="1"/>
      <c r="K851" s="1"/>
      <c r="L851" s="1"/>
    </row>
    <row r="852" ht="12.75" customHeight="1">
      <c r="A852" s="1"/>
      <c r="C852" s="1"/>
      <c r="J852" s="1"/>
      <c r="K852" s="1"/>
      <c r="L852" s="1"/>
    </row>
    <row r="853" ht="12.75" customHeight="1">
      <c r="A853" s="1"/>
      <c r="C853" s="1"/>
      <c r="J853" s="1"/>
      <c r="K853" s="1"/>
      <c r="L853" s="1"/>
    </row>
    <row r="854" ht="12.75" customHeight="1">
      <c r="A854" s="1"/>
      <c r="C854" s="1"/>
      <c r="J854" s="1"/>
      <c r="K854" s="1"/>
      <c r="L854" s="1"/>
    </row>
    <row r="855" ht="12.75" customHeight="1">
      <c r="A855" s="1"/>
      <c r="C855" s="1"/>
      <c r="J855" s="1"/>
      <c r="K855" s="1"/>
      <c r="L855" s="1"/>
    </row>
    <row r="856" ht="12.75" customHeight="1">
      <c r="A856" s="1"/>
      <c r="C856" s="1"/>
      <c r="J856" s="1"/>
      <c r="K856" s="1"/>
      <c r="L856" s="1"/>
    </row>
    <row r="857" ht="12.75" customHeight="1">
      <c r="A857" s="1"/>
      <c r="C857" s="1"/>
      <c r="J857" s="1"/>
      <c r="K857" s="1"/>
      <c r="L857" s="1"/>
    </row>
    <row r="858" ht="12.75" customHeight="1">
      <c r="A858" s="1"/>
      <c r="C858" s="1"/>
      <c r="J858" s="1"/>
      <c r="K858" s="1"/>
      <c r="L858" s="1"/>
    </row>
    <row r="859" ht="12.75" customHeight="1">
      <c r="A859" s="1"/>
      <c r="C859" s="1"/>
      <c r="J859" s="1"/>
      <c r="K859" s="1"/>
      <c r="L859" s="1"/>
    </row>
    <row r="860" ht="12.75" customHeight="1">
      <c r="A860" s="1"/>
      <c r="C860" s="1"/>
      <c r="J860" s="1"/>
      <c r="K860" s="1"/>
      <c r="L860" s="1"/>
    </row>
    <row r="861" ht="12.75" customHeight="1">
      <c r="A861" s="1"/>
      <c r="C861" s="1"/>
      <c r="J861" s="1"/>
      <c r="K861" s="1"/>
      <c r="L861" s="1"/>
    </row>
    <row r="862" ht="12.75" customHeight="1">
      <c r="A862" s="1"/>
      <c r="C862" s="1"/>
      <c r="J862" s="1"/>
      <c r="K862" s="1"/>
      <c r="L862" s="1"/>
    </row>
    <row r="863" ht="12.75" customHeight="1">
      <c r="A863" s="1"/>
      <c r="C863" s="1"/>
      <c r="J863" s="1"/>
      <c r="K863" s="1"/>
      <c r="L863" s="1"/>
    </row>
    <row r="864" ht="12.75" customHeight="1">
      <c r="A864" s="1"/>
      <c r="C864" s="1"/>
      <c r="J864" s="1"/>
      <c r="K864" s="1"/>
      <c r="L864" s="1"/>
    </row>
    <row r="865" ht="12.75" customHeight="1">
      <c r="A865" s="1"/>
      <c r="C865" s="1"/>
      <c r="J865" s="1"/>
      <c r="K865" s="1"/>
      <c r="L865" s="1"/>
    </row>
    <row r="866" ht="12.75" customHeight="1">
      <c r="A866" s="1"/>
      <c r="C866" s="1"/>
      <c r="J866" s="1"/>
      <c r="K866" s="1"/>
      <c r="L866" s="1"/>
    </row>
    <row r="867" ht="12.75" customHeight="1">
      <c r="A867" s="1"/>
      <c r="C867" s="1"/>
      <c r="J867" s="1"/>
      <c r="K867" s="1"/>
      <c r="L867" s="1"/>
    </row>
    <row r="868" ht="12.75" customHeight="1">
      <c r="A868" s="1"/>
      <c r="C868" s="1"/>
      <c r="J868" s="1"/>
      <c r="K868" s="1"/>
      <c r="L868" s="1"/>
    </row>
    <row r="869" ht="12.75" customHeight="1">
      <c r="A869" s="1"/>
      <c r="C869" s="1"/>
      <c r="J869" s="1"/>
      <c r="K869" s="1"/>
      <c r="L869" s="1"/>
    </row>
    <row r="870" ht="12.75" customHeight="1">
      <c r="A870" s="1"/>
      <c r="C870" s="1"/>
      <c r="J870" s="1"/>
      <c r="K870" s="1"/>
      <c r="L870" s="1"/>
    </row>
    <row r="871" ht="12.75" customHeight="1">
      <c r="A871" s="1"/>
      <c r="C871" s="1"/>
      <c r="J871" s="1"/>
      <c r="K871" s="1"/>
      <c r="L871" s="1"/>
    </row>
    <row r="872" ht="12.75" customHeight="1">
      <c r="A872" s="1"/>
      <c r="C872" s="1"/>
      <c r="J872" s="1"/>
      <c r="K872" s="1"/>
      <c r="L872" s="1"/>
    </row>
    <row r="873" ht="12.75" customHeight="1">
      <c r="A873" s="1"/>
      <c r="C873" s="1"/>
      <c r="J873" s="1"/>
      <c r="K873" s="1"/>
      <c r="L873" s="1"/>
    </row>
    <row r="874" ht="12.75" customHeight="1">
      <c r="A874" s="1"/>
      <c r="C874" s="1"/>
      <c r="J874" s="1"/>
      <c r="K874" s="1"/>
      <c r="L874" s="1"/>
    </row>
    <row r="875" ht="12.75" customHeight="1">
      <c r="A875" s="1"/>
      <c r="C875" s="1"/>
      <c r="J875" s="1"/>
      <c r="K875" s="1"/>
      <c r="L875" s="1"/>
    </row>
    <row r="876" ht="12.75" customHeight="1">
      <c r="A876" s="1"/>
      <c r="C876" s="1"/>
      <c r="J876" s="1"/>
      <c r="K876" s="1"/>
      <c r="L876" s="1"/>
    </row>
    <row r="877" ht="12.75" customHeight="1">
      <c r="A877" s="1"/>
      <c r="C877" s="1"/>
      <c r="J877" s="1"/>
      <c r="K877" s="1"/>
      <c r="L877" s="1"/>
    </row>
    <row r="878" ht="12.75" customHeight="1">
      <c r="A878" s="1"/>
      <c r="C878" s="1"/>
      <c r="J878" s="1"/>
      <c r="K878" s="1"/>
      <c r="L878" s="1"/>
    </row>
    <row r="879" ht="12.75" customHeight="1">
      <c r="A879" s="1"/>
      <c r="C879" s="1"/>
      <c r="J879" s="1"/>
      <c r="K879" s="1"/>
      <c r="L879" s="1"/>
    </row>
    <row r="880" ht="12.75" customHeight="1">
      <c r="A880" s="1"/>
      <c r="C880" s="1"/>
      <c r="J880" s="1"/>
      <c r="K880" s="1"/>
      <c r="L880" s="1"/>
    </row>
    <row r="881" ht="12.75" customHeight="1">
      <c r="A881" s="1"/>
      <c r="C881" s="1"/>
      <c r="J881" s="1"/>
      <c r="K881" s="1"/>
      <c r="L881" s="1"/>
    </row>
    <row r="882" ht="12.75" customHeight="1">
      <c r="A882" s="1"/>
      <c r="C882" s="1"/>
      <c r="J882" s="1"/>
      <c r="K882" s="1"/>
      <c r="L882" s="1"/>
    </row>
    <row r="883" ht="12.75" customHeight="1">
      <c r="A883" s="1"/>
      <c r="C883" s="1"/>
      <c r="J883" s="1"/>
      <c r="K883" s="1"/>
      <c r="L883" s="1"/>
    </row>
    <row r="884" ht="12.75" customHeight="1">
      <c r="A884" s="1"/>
      <c r="C884" s="1"/>
      <c r="J884" s="1"/>
      <c r="K884" s="1"/>
      <c r="L884" s="1"/>
    </row>
    <row r="885" ht="12.75" customHeight="1">
      <c r="A885" s="1"/>
      <c r="C885" s="1"/>
      <c r="J885" s="1"/>
      <c r="K885" s="1"/>
      <c r="L885" s="1"/>
    </row>
    <row r="886" ht="12.75" customHeight="1">
      <c r="A886" s="1"/>
      <c r="C886" s="1"/>
      <c r="J886" s="1"/>
      <c r="K886" s="1"/>
      <c r="L886" s="1"/>
    </row>
    <row r="887" ht="12.75" customHeight="1">
      <c r="A887" s="1"/>
      <c r="C887" s="1"/>
      <c r="J887" s="1"/>
      <c r="K887" s="1"/>
      <c r="L887" s="1"/>
    </row>
    <row r="888" ht="12.75" customHeight="1">
      <c r="A888" s="1"/>
      <c r="C888" s="1"/>
      <c r="J888" s="1"/>
      <c r="K888" s="1"/>
      <c r="L888" s="1"/>
    </row>
    <row r="889" ht="12.75" customHeight="1">
      <c r="A889" s="1"/>
      <c r="C889" s="1"/>
      <c r="J889" s="1"/>
      <c r="K889" s="1"/>
      <c r="L889" s="1"/>
    </row>
    <row r="890" ht="12.75" customHeight="1">
      <c r="A890" s="1"/>
      <c r="C890" s="1"/>
      <c r="J890" s="1"/>
      <c r="K890" s="1"/>
      <c r="L890" s="1"/>
    </row>
    <row r="891" ht="12.75" customHeight="1">
      <c r="A891" s="1"/>
      <c r="C891" s="1"/>
      <c r="J891" s="1"/>
      <c r="K891" s="1"/>
      <c r="L891" s="1"/>
    </row>
    <row r="892" ht="12.75" customHeight="1">
      <c r="A892" s="1"/>
      <c r="C892" s="1"/>
      <c r="J892" s="1"/>
      <c r="K892" s="1"/>
      <c r="L892" s="1"/>
    </row>
    <row r="893" ht="12.75" customHeight="1">
      <c r="A893" s="1"/>
      <c r="C893" s="1"/>
      <c r="J893" s="1"/>
      <c r="K893" s="1"/>
      <c r="L893" s="1"/>
    </row>
    <row r="894" ht="12.75" customHeight="1">
      <c r="A894" s="1"/>
      <c r="C894" s="1"/>
      <c r="J894" s="1"/>
      <c r="K894" s="1"/>
      <c r="L894" s="1"/>
    </row>
    <row r="895" ht="12.75" customHeight="1">
      <c r="A895" s="1"/>
      <c r="C895" s="1"/>
      <c r="J895" s="1"/>
      <c r="K895" s="1"/>
      <c r="L895" s="1"/>
    </row>
    <row r="896" ht="12.75" customHeight="1">
      <c r="A896" s="1"/>
      <c r="C896" s="1"/>
      <c r="J896" s="1"/>
      <c r="K896" s="1"/>
      <c r="L896" s="1"/>
    </row>
    <row r="897" ht="12.75" customHeight="1">
      <c r="A897" s="1"/>
      <c r="C897" s="1"/>
      <c r="J897" s="1"/>
      <c r="K897" s="1"/>
      <c r="L897" s="1"/>
    </row>
    <row r="898" ht="12.75" customHeight="1">
      <c r="A898" s="1"/>
      <c r="C898" s="1"/>
      <c r="J898" s="1"/>
      <c r="K898" s="1"/>
      <c r="L898" s="1"/>
    </row>
    <row r="899" ht="12.75" customHeight="1">
      <c r="A899" s="1"/>
      <c r="C899" s="1"/>
      <c r="J899" s="1"/>
      <c r="K899" s="1"/>
      <c r="L899" s="1"/>
    </row>
    <row r="900" ht="12.75" customHeight="1">
      <c r="A900" s="1"/>
      <c r="C900" s="1"/>
      <c r="J900" s="1"/>
      <c r="K900" s="1"/>
      <c r="L900" s="1"/>
    </row>
    <row r="901" ht="12.75" customHeight="1">
      <c r="A901" s="1"/>
      <c r="C901" s="1"/>
      <c r="J901" s="1"/>
      <c r="K901" s="1"/>
      <c r="L901" s="1"/>
    </row>
    <row r="902" ht="12.75" customHeight="1">
      <c r="A902" s="1"/>
      <c r="C902" s="1"/>
      <c r="J902" s="1"/>
      <c r="K902" s="1"/>
      <c r="L902" s="1"/>
    </row>
    <row r="903" ht="12.75" customHeight="1">
      <c r="A903" s="1"/>
      <c r="C903" s="1"/>
      <c r="J903" s="1"/>
      <c r="K903" s="1"/>
      <c r="L903" s="1"/>
    </row>
    <row r="904" ht="12.75" customHeight="1">
      <c r="A904" s="1"/>
      <c r="C904" s="1"/>
      <c r="J904" s="1"/>
      <c r="K904" s="1"/>
      <c r="L904" s="1"/>
    </row>
    <row r="905" ht="12.75" customHeight="1">
      <c r="A905" s="1"/>
      <c r="C905" s="1"/>
      <c r="J905" s="1"/>
      <c r="K905" s="1"/>
      <c r="L905" s="1"/>
    </row>
    <row r="906" ht="12.75" customHeight="1">
      <c r="A906" s="1"/>
      <c r="C906" s="1"/>
      <c r="J906" s="1"/>
      <c r="K906" s="1"/>
      <c r="L906" s="1"/>
    </row>
    <row r="907" ht="12.75" customHeight="1">
      <c r="A907" s="1"/>
      <c r="C907" s="1"/>
      <c r="J907" s="1"/>
      <c r="K907" s="1"/>
      <c r="L907" s="1"/>
    </row>
    <row r="908" ht="12.75" customHeight="1">
      <c r="A908" s="1"/>
      <c r="C908" s="1"/>
      <c r="J908" s="1"/>
      <c r="K908" s="1"/>
      <c r="L908" s="1"/>
    </row>
    <row r="909" ht="12.75" customHeight="1">
      <c r="A909" s="1"/>
      <c r="C909" s="1"/>
      <c r="J909" s="1"/>
      <c r="K909" s="1"/>
      <c r="L909" s="1"/>
    </row>
    <row r="910" ht="12.75" customHeight="1">
      <c r="A910" s="1"/>
      <c r="C910" s="1"/>
      <c r="J910" s="1"/>
      <c r="K910" s="1"/>
      <c r="L910" s="1"/>
    </row>
    <row r="911" ht="12.75" customHeight="1">
      <c r="A911" s="1"/>
      <c r="C911" s="1"/>
      <c r="J911" s="1"/>
      <c r="K911" s="1"/>
      <c r="L911" s="1"/>
    </row>
    <row r="912" ht="12.75" customHeight="1">
      <c r="A912" s="1"/>
      <c r="C912" s="1"/>
      <c r="J912" s="1"/>
      <c r="K912" s="1"/>
      <c r="L912" s="1"/>
    </row>
    <row r="913" ht="12.75" customHeight="1">
      <c r="A913" s="1"/>
      <c r="C913" s="1"/>
      <c r="J913" s="1"/>
      <c r="K913" s="1"/>
      <c r="L913" s="1"/>
    </row>
    <row r="914" ht="12.75" customHeight="1">
      <c r="A914" s="1"/>
      <c r="C914" s="1"/>
      <c r="J914" s="1"/>
      <c r="K914" s="1"/>
      <c r="L914" s="1"/>
    </row>
    <row r="915" ht="12.75" customHeight="1">
      <c r="A915" s="1"/>
      <c r="C915" s="1"/>
      <c r="J915" s="1"/>
      <c r="K915" s="1"/>
      <c r="L915" s="1"/>
    </row>
    <row r="916" ht="12.75" customHeight="1">
      <c r="A916" s="1"/>
      <c r="C916" s="1"/>
      <c r="J916" s="1"/>
      <c r="K916" s="1"/>
      <c r="L916" s="1"/>
    </row>
    <row r="917" ht="12.75" customHeight="1">
      <c r="A917" s="1"/>
      <c r="C917" s="1"/>
      <c r="J917" s="1"/>
      <c r="K917" s="1"/>
      <c r="L917" s="1"/>
    </row>
    <row r="918" ht="12.75" customHeight="1">
      <c r="A918" s="1"/>
      <c r="C918" s="1"/>
      <c r="J918" s="1"/>
      <c r="K918" s="1"/>
      <c r="L918" s="1"/>
    </row>
    <row r="919" ht="12.75" customHeight="1">
      <c r="A919" s="1"/>
      <c r="C919" s="1"/>
      <c r="J919" s="1"/>
      <c r="K919" s="1"/>
      <c r="L919" s="1"/>
    </row>
    <row r="920" ht="12.75" customHeight="1">
      <c r="A920" s="1"/>
      <c r="C920" s="1"/>
      <c r="J920" s="1"/>
      <c r="K920" s="1"/>
      <c r="L920" s="1"/>
    </row>
    <row r="921" ht="12.75" customHeight="1">
      <c r="A921" s="1"/>
      <c r="C921" s="1"/>
      <c r="J921" s="1"/>
      <c r="K921" s="1"/>
      <c r="L921" s="1"/>
    </row>
    <row r="922" ht="12.75" customHeight="1">
      <c r="A922" s="1"/>
      <c r="C922" s="1"/>
      <c r="J922" s="1"/>
      <c r="K922" s="1"/>
      <c r="L922" s="1"/>
    </row>
    <row r="923" ht="12.75" customHeight="1">
      <c r="A923" s="1"/>
      <c r="C923" s="1"/>
      <c r="J923" s="1"/>
      <c r="K923" s="1"/>
      <c r="L923" s="1"/>
    </row>
    <row r="924" ht="12.75" customHeight="1">
      <c r="A924" s="1"/>
      <c r="C924" s="1"/>
      <c r="J924" s="1"/>
      <c r="K924" s="1"/>
      <c r="L924" s="1"/>
    </row>
    <row r="925" ht="12.75" customHeight="1">
      <c r="A925" s="1"/>
      <c r="C925" s="1"/>
      <c r="J925" s="1"/>
      <c r="K925" s="1"/>
      <c r="L925" s="1"/>
    </row>
    <row r="926" ht="12.75" customHeight="1">
      <c r="A926" s="1"/>
      <c r="C926" s="1"/>
      <c r="J926" s="1"/>
      <c r="K926" s="1"/>
      <c r="L926" s="1"/>
    </row>
    <row r="927" ht="12.75" customHeight="1">
      <c r="A927" s="1"/>
      <c r="C927" s="1"/>
      <c r="J927" s="1"/>
      <c r="K927" s="1"/>
      <c r="L927" s="1"/>
    </row>
    <row r="928" ht="12.75" customHeight="1">
      <c r="A928" s="1"/>
      <c r="C928" s="1"/>
      <c r="J928" s="1"/>
      <c r="K928" s="1"/>
      <c r="L928" s="1"/>
    </row>
    <row r="929" ht="12.75" customHeight="1">
      <c r="A929" s="1"/>
      <c r="C929" s="1"/>
      <c r="J929" s="1"/>
      <c r="K929" s="1"/>
      <c r="L929" s="1"/>
    </row>
    <row r="930" ht="12.75" customHeight="1">
      <c r="A930" s="1"/>
      <c r="C930" s="1"/>
      <c r="J930" s="1"/>
      <c r="K930" s="1"/>
      <c r="L930" s="1"/>
    </row>
    <row r="931" ht="12.75" customHeight="1">
      <c r="A931" s="1"/>
      <c r="C931" s="1"/>
      <c r="J931" s="1"/>
      <c r="K931" s="1"/>
      <c r="L931" s="1"/>
    </row>
    <row r="932" ht="12.75" customHeight="1">
      <c r="A932" s="1"/>
      <c r="C932" s="1"/>
      <c r="J932" s="1"/>
      <c r="K932" s="1"/>
      <c r="L932" s="1"/>
    </row>
    <row r="933" ht="12.75" customHeight="1">
      <c r="A933" s="1"/>
      <c r="C933" s="1"/>
      <c r="J933" s="1"/>
      <c r="K933" s="1"/>
      <c r="L933" s="1"/>
    </row>
    <row r="934" ht="12.75" customHeight="1">
      <c r="A934" s="1"/>
      <c r="C934" s="1"/>
      <c r="J934" s="1"/>
      <c r="K934" s="1"/>
      <c r="L934" s="1"/>
    </row>
    <row r="935" ht="12.75" customHeight="1">
      <c r="A935" s="1"/>
      <c r="C935" s="1"/>
      <c r="J935" s="1"/>
      <c r="K935" s="1"/>
      <c r="L935" s="1"/>
    </row>
    <row r="936" ht="12.75" customHeight="1">
      <c r="A936" s="1"/>
      <c r="C936" s="1"/>
      <c r="J936" s="1"/>
      <c r="K936" s="1"/>
      <c r="L936" s="1"/>
    </row>
    <row r="937" ht="12.75" customHeight="1">
      <c r="A937" s="1"/>
      <c r="C937" s="1"/>
      <c r="J937" s="1"/>
      <c r="K937" s="1"/>
      <c r="L937" s="1"/>
    </row>
    <row r="938" ht="12.75" customHeight="1">
      <c r="A938" s="1"/>
      <c r="C938" s="1"/>
      <c r="J938" s="1"/>
      <c r="K938" s="1"/>
      <c r="L938" s="1"/>
    </row>
    <row r="939" ht="12.75" customHeight="1">
      <c r="A939" s="1"/>
      <c r="C939" s="1"/>
      <c r="J939" s="1"/>
      <c r="K939" s="1"/>
      <c r="L939" s="1"/>
    </row>
    <row r="940" ht="12.75" customHeight="1">
      <c r="A940" s="1"/>
      <c r="C940" s="1"/>
      <c r="J940" s="1"/>
      <c r="K940" s="1"/>
      <c r="L940" s="1"/>
    </row>
    <row r="941" ht="12.75" customHeight="1">
      <c r="A941" s="1"/>
      <c r="C941" s="1"/>
      <c r="J941" s="1"/>
      <c r="K941" s="1"/>
      <c r="L941" s="1"/>
    </row>
    <row r="942" ht="12.75" customHeight="1">
      <c r="A942" s="1"/>
      <c r="C942" s="1"/>
      <c r="J942" s="1"/>
      <c r="K942" s="1"/>
      <c r="L942" s="1"/>
    </row>
    <row r="943" ht="12.75" customHeight="1">
      <c r="A943" s="1"/>
      <c r="C943" s="1"/>
      <c r="J943" s="1"/>
      <c r="K943" s="1"/>
      <c r="L943" s="1"/>
    </row>
    <row r="944" ht="12.75" customHeight="1">
      <c r="A944" s="1"/>
      <c r="C944" s="1"/>
      <c r="J944" s="1"/>
      <c r="K944" s="1"/>
      <c r="L944" s="1"/>
    </row>
    <row r="945" ht="12.75" customHeight="1">
      <c r="A945" s="1"/>
      <c r="C945" s="1"/>
      <c r="J945" s="1"/>
      <c r="K945" s="1"/>
      <c r="L945" s="1"/>
    </row>
    <row r="946" ht="12.75" customHeight="1">
      <c r="A946" s="1"/>
      <c r="C946" s="1"/>
      <c r="J946" s="1"/>
      <c r="K946" s="1"/>
      <c r="L946" s="1"/>
    </row>
    <row r="947" ht="12.75" customHeight="1">
      <c r="A947" s="1"/>
      <c r="C947" s="1"/>
      <c r="J947" s="1"/>
      <c r="K947" s="1"/>
      <c r="L947" s="1"/>
    </row>
    <row r="948" ht="12.75" customHeight="1">
      <c r="A948" s="1"/>
      <c r="C948" s="1"/>
      <c r="J948" s="1"/>
      <c r="K948" s="1"/>
      <c r="L948" s="1"/>
    </row>
    <row r="949" ht="12.75" customHeight="1">
      <c r="A949" s="1"/>
      <c r="C949" s="1"/>
      <c r="J949" s="1"/>
      <c r="K949" s="1"/>
      <c r="L949" s="1"/>
    </row>
    <row r="950" ht="12.75" customHeight="1">
      <c r="A950" s="1"/>
      <c r="C950" s="1"/>
      <c r="J950" s="1"/>
      <c r="K950" s="1"/>
      <c r="L950" s="1"/>
    </row>
    <row r="951" ht="12.75" customHeight="1">
      <c r="A951" s="1"/>
      <c r="C951" s="1"/>
      <c r="J951" s="1"/>
      <c r="K951" s="1"/>
      <c r="L951" s="1"/>
    </row>
    <row r="952" ht="12.75" customHeight="1">
      <c r="A952" s="1"/>
      <c r="C952" s="1"/>
      <c r="J952" s="1"/>
      <c r="K952" s="1"/>
      <c r="L952" s="1"/>
    </row>
    <row r="953" ht="12.75" customHeight="1">
      <c r="A953" s="1"/>
      <c r="C953" s="1"/>
      <c r="J953" s="1"/>
      <c r="K953" s="1"/>
      <c r="L953" s="1"/>
    </row>
    <row r="954" ht="12.75" customHeight="1">
      <c r="A954" s="1"/>
      <c r="C954" s="1"/>
      <c r="J954" s="1"/>
      <c r="K954" s="1"/>
      <c r="L954" s="1"/>
    </row>
    <row r="955" ht="12.75" customHeight="1">
      <c r="A955" s="1"/>
      <c r="C955" s="1"/>
      <c r="J955" s="1"/>
      <c r="K955" s="1"/>
      <c r="L955" s="1"/>
    </row>
    <row r="956" ht="12.75" customHeight="1">
      <c r="A956" s="1"/>
      <c r="C956" s="1"/>
      <c r="J956" s="1"/>
      <c r="K956" s="1"/>
      <c r="L956" s="1"/>
    </row>
    <row r="957" ht="12.75" customHeight="1">
      <c r="A957" s="1"/>
      <c r="C957" s="1"/>
      <c r="J957" s="1"/>
      <c r="K957" s="1"/>
      <c r="L957" s="1"/>
    </row>
    <row r="958" ht="12.75" customHeight="1">
      <c r="A958" s="1"/>
      <c r="C958" s="1"/>
      <c r="J958" s="1"/>
      <c r="K958" s="1"/>
      <c r="L958" s="1"/>
    </row>
    <row r="959" ht="12.75" customHeight="1">
      <c r="A959" s="1"/>
      <c r="C959" s="1"/>
      <c r="J959" s="1"/>
      <c r="K959" s="1"/>
      <c r="L959" s="1"/>
    </row>
    <row r="960" ht="12.75" customHeight="1">
      <c r="A960" s="1"/>
      <c r="C960" s="1"/>
      <c r="J960" s="1"/>
      <c r="K960" s="1"/>
      <c r="L960" s="1"/>
    </row>
    <row r="961" ht="12.75" customHeight="1">
      <c r="A961" s="1"/>
      <c r="C961" s="1"/>
      <c r="J961" s="1"/>
      <c r="K961" s="1"/>
      <c r="L961" s="1"/>
    </row>
    <row r="962" ht="12.75" customHeight="1">
      <c r="A962" s="1"/>
      <c r="C962" s="1"/>
      <c r="J962" s="1"/>
      <c r="K962" s="1"/>
      <c r="L962" s="1"/>
    </row>
    <row r="963" ht="12.75" customHeight="1">
      <c r="A963" s="1"/>
      <c r="C963" s="1"/>
      <c r="J963" s="1"/>
      <c r="K963" s="1"/>
      <c r="L963" s="1"/>
    </row>
    <row r="964" ht="12.75" customHeight="1">
      <c r="A964" s="1"/>
      <c r="C964" s="1"/>
      <c r="J964" s="1"/>
      <c r="K964" s="1"/>
      <c r="L964" s="1"/>
    </row>
    <row r="965" ht="12.75" customHeight="1">
      <c r="A965" s="1"/>
      <c r="C965" s="1"/>
      <c r="J965" s="1"/>
      <c r="K965" s="1"/>
      <c r="L965" s="1"/>
    </row>
    <row r="966" ht="12.75" customHeight="1">
      <c r="A966" s="1"/>
      <c r="C966" s="1"/>
      <c r="J966" s="1"/>
      <c r="K966" s="1"/>
      <c r="L966" s="1"/>
    </row>
    <row r="967" ht="12.75" customHeight="1">
      <c r="A967" s="1"/>
      <c r="C967" s="1"/>
      <c r="J967" s="1"/>
      <c r="K967" s="1"/>
      <c r="L967" s="1"/>
    </row>
    <row r="968" ht="12.75" customHeight="1">
      <c r="A968" s="1"/>
      <c r="C968" s="1"/>
      <c r="J968" s="1"/>
      <c r="K968" s="1"/>
      <c r="L968" s="1"/>
    </row>
    <row r="969" ht="12.75" customHeight="1">
      <c r="A969" s="1"/>
      <c r="C969" s="1"/>
      <c r="J969" s="1"/>
      <c r="K969" s="1"/>
      <c r="L969" s="1"/>
    </row>
    <row r="970" ht="12.75" customHeight="1">
      <c r="A970" s="1"/>
      <c r="C970" s="1"/>
      <c r="J970" s="1"/>
      <c r="K970" s="1"/>
      <c r="L970" s="1"/>
    </row>
    <row r="971" ht="12.75" customHeight="1">
      <c r="A971" s="1"/>
      <c r="C971" s="1"/>
      <c r="J971" s="1"/>
      <c r="K971" s="1"/>
      <c r="L971" s="1"/>
    </row>
    <row r="972" ht="12.75" customHeight="1">
      <c r="A972" s="1"/>
      <c r="C972" s="1"/>
      <c r="J972" s="1"/>
      <c r="K972" s="1"/>
      <c r="L972" s="1"/>
    </row>
    <row r="973" ht="12.75" customHeight="1">
      <c r="A973" s="1"/>
      <c r="C973" s="1"/>
      <c r="J973" s="1"/>
      <c r="K973" s="1"/>
      <c r="L973" s="1"/>
    </row>
    <row r="974" ht="12.75" customHeight="1">
      <c r="A974" s="1"/>
      <c r="C974" s="1"/>
      <c r="J974" s="1"/>
      <c r="K974" s="1"/>
      <c r="L974" s="1"/>
    </row>
    <row r="975" ht="12.75" customHeight="1">
      <c r="A975" s="1"/>
      <c r="C975" s="1"/>
      <c r="J975" s="1"/>
      <c r="K975" s="1"/>
      <c r="L975" s="1"/>
    </row>
    <row r="976" ht="12.75" customHeight="1">
      <c r="A976" s="1"/>
      <c r="C976" s="1"/>
      <c r="J976" s="1"/>
      <c r="K976" s="1"/>
      <c r="L976" s="1"/>
    </row>
    <row r="977" ht="12.75" customHeight="1">
      <c r="A977" s="1"/>
      <c r="C977" s="1"/>
      <c r="J977" s="1"/>
      <c r="K977" s="1"/>
      <c r="L977" s="1"/>
    </row>
    <row r="978" ht="12.75" customHeight="1">
      <c r="A978" s="1"/>
      <c r="C978" s="1"/>
      <c r="J978" s="1"/>
      <c r="K978" s="1"/>
      <c r="L978" s="1"/>
    </row>
    <row r="979" ht="12.75" customHeight="1">
      <c r="A979" s="1"/>
      <c r="C979" s="1"/>
      <c r="J979" s="1"/>
      <c r="K979" s="1"/>
      <c r="L979" s="1"/>
    </row>
    <row r="980" ht="12.75" customHeight="1">
      <c r="A980" s="1"/>
      <c r="C980" s="1"/>
      <c r="J980" s="1"/>
      <c r="K980" s="1"/>
      <c r="L980" s="1"/>
    </row>
    <row r="981" ht="12.75" customHeight="1">
      <c r="A981" s="1"/>
      <c r="C981" s="1"/>
      <c r="J981" s="1"/>
      <c r="K981" s="1"/>
      <c r="L981" s="1"/>
    </row>
    <row r="982" ht="12.75" customHeight="1">
      <c r="A982" s="1"/>
      <c r="C982" s="1"/>
      <c r="J982" s="1"/>
      <c r="K982" s="1"/>
      <c r="L982" s="1"/>
    </row>
    <row r="983" ht="12.75" customHeight="1">
      <c r="A983" s="1"/>
      <c r="C983" s="1"/>
      <c r="J983" s="1"/>
      <c r="K983" s="1"/>
      <c r="L983" s="1"/>
    </row>
    <row r="984" ht="12.75" customHeight="1">
      <c r="A984" s="1"/>
      <c r="C984" s="1"/>
      <c r="J984" s="1"/>
      <c r="K984" s="1"/>
      <c r="L984" s="1"/>
    </row>
    <row r="985" ht="12.75" customHeight="1">
      <c r="A985" s="1"/>
      <c r="C985" s="1"/>
      <c r="J985" s="1"/>
      <c r="K985" s="1"/>
      <c r="L985" s="1"/>
    </row>
    <row r="986" ht="12.75" customHeight="1">
      <c r="A986" s="1"/>
      <c r="C986" s="1"/>
      <c r="J986" s="1"/>
      <c r="K986" s="1"/>
      <c r="L986" s="1"/>
    </row>
    <row r="987" ht="12.75" customHeight="1">
      <c r="A987" s="1"/>
      <c r="C987" s="1"/>
      <c r="J987" s="1"/>
      <c r="K987" s="1"/>
      <c r="L987" s="1"/>
    </row>
    <row r="988" ht="12.75" customHeight="1">
      <c r="A988" s="1"/>
      <c r="C988" s="1"/>
      <c r="J988" s="1"/>
      <c r="K988" s="1"/>
      <c r="L988" s="1"/>
    </row>
    <row r="989" ht="12.75" customHeight="1">
      <c r="A989" s="1"/>
      <c r="C989" s="1"/>
      <c r="J989" s="1"/>
      <c r="K989" s="1"/>
      <c r="L989" s="1"/>
    </row>
    <row r="990" ht="12.75" customHeight="1">
      <c r="A990" s="1"/>
      <c r="C990" s="1"/>
      <c r="J990" s="1"/>
      <c r="K990" s="1"/>
      <c r="L990" s="1"/>
    </row>
    <row r="991" ht="12.75" customHeight="1">
      <c r="A991" s="1"/>
      <c r="C991" s="1"/>
      <c r="J991" s="1"/>
      <c r="K991" s="1"/>
      <c r="L991" s="1"/>
    </row>
    <row r="992" ht="12.75" customHeight="1">
      <c r="A992" s="1"/>
      <c r="C992" s="1"/>
      <c r="J992" s="1"/>
      <c r="K992" s="1"/>
      <c r="L992" s="1"/>
    </row>
    <row r="993" ht="12.75" customHeight="1">
      <c r="A993" s="1"/>
      <c r="C993" s="1"/>
      <c r="J993" s="1"/>
      <c r="K993" s="1"/>
      <c r="L993" s="1"/>
    </row>
    <row r="994" ht="12.75" customHeight="1">
      <c r="A994" s="1"/>
      <c r="C994" s="1"/>
      <c r="J994" s="1"/>
      <c r="K994" s="1"/>
      <c r="L994" s="1"/>
    </row>
    <row r="995" ht="12.75" customHeight="1">
      <c r="A995" s="1"/>
      <c r="C995" s="1"/>
      <c r="J995" s="1"/>
      <c r="K995" s="1"/>
      <c r="L995" s="1"/>
    </row>
    <row r="996" ht="12.75" customHeight="1">
      <c r="A996" s="1"/>
      <c r="C996" s="1"/>
      <c r="J996" s="1"/>
      <c r="K996" s="1"/>
      <c r="L996" s="1"/>
    </row>
    <row r="997" ht="12.75" customHeight="1">
      <c r="A997" s="1"/>
      <c r="C997" s="1"/>
      <c r="J997" s="1"/>
      <c r="K997" s="1"/>
      <c r="L997" s="1"/>
    </row>
    <row r="998" ht="12.75" customHeight="1">
      <c r="A998" s="1"/>
      <c r="C998" s="1"/>
      <c r="J998" s="1"/>
      <c r="K998" s="1"/>
      <c r="L998" s="1"/>
    </row>
    <row r="999" ht="12.75" customHeight="1">
      <c r="A999" s="1"/>
      <c r="C999" s="1"/>
      <c r="J999" s="1"/>
      <c r="K999" s="1"/>
      <c r="L999" s="1"/>
    </row>
    <row r="1000" ht="12.75" customHeight="1">
      <c r="A1000" s="1"/>
      <c r="C1000" s="1"/>
      <c r="J1000" s="1"/>
      <c r="K1000" s="1"/>
      <c r="L1000" s="1"/>
    </row>
  </sheetData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10.0"/>
    <col customWidth="1" min="2" max="5" width="7.63"/>
    <col customWidth="1" min="6" max="6" width="11.25"/>
    <col customWidth="1" min="7" max="7" width="2.13"/>
    <col customWidth="1" min="8" max="9" width="7.63"/>
    <col customWidth="1" min="10" max="10" width="10.38"/>
    <col customWidth="1" min="11" max="13" width="7.63"/>
    <col customWidth="1" min="14" max="14" width="13.88"/>
    <col customWidth="1" min="15" max="15" width="10.13"/>
    <col customWidth="1" min="16" max="16" width="7.63"/>
    <col customWidth="1" min="17" max="17" width="9.25"/>
    <col customWidth="1" min="18" max="18" width="9.63"/>
    <col customWidth="1" min="19" max="19" width="10.38"/>
    <col customWidth="1" min="20" max="20" width="2.13"/>
    <col customWidth="1" min="21" max="21" width="4.5"/>
    <col customWidth="1" min="22" max="22" width="6.5"/>
    <col customWidth="1" min="23" max="23" width="1.88"/>
    <col customWidth="1" min="24" max="24" width="6.63"/>
    <col customWidth="1" min="25" max="26" width="7.63"/>
  </cols>
  <sheetData>
    <row r="1" ht="12.75" customHeight="1">
      <c r="A1" s="16"/>
      <c r="F1" s="8"/>
      <c r="G1" s="8"/>
      <c r="J1" s="1"/>
      <c r="M1" s="1" t="s">
        <v>9</v>
      </c>
      <c r="N1" s="1"/>
      <c r="O1" s="1"/>
      <c r="Q1" s="1"/>
      <c r="R1" s="1"/>
      <c r="S1" s="1"/>
      <c r="T1" s="1"/>
      <c r="U1" s="1"/>
      <c r="V1" s="1"/>
      <c r="W1" s="1"/>
      <c r="X1" s="1"/>
    </row>
    <row r="2" ht="12.75" customHeight="1">
      <c r="A2" s="1" t="s">
        <v>10</v>
      </c>
      <c r="F2" s="8"/>
      <c r="G2" s="8"/>
      <c r="I2" s="17" t="s">
        <v>11</v>
      </c>
      <c r="J2" s="17" t="s">
        <v>12</v>
      </c>
      <c r="K2" s="18" t="s">
        <v>13</v>
      </c>
      <c r="L2" s="17" t="s">
        <v>14</v>
      </c>
      <c r="N2" s="1"/>
      <c r="O2" s="1"/>
      <c r="Q2" s="1"/>
      <c r="R2" s="1"/>
      <c r="S2" s="1"/>
      <c r="T2" s="1"/>
      <c r="U2" s="1"/>
      <c r="V2" s="1"/>
      <c r="W2" s="1"/>
      <c r="X2" s="1"/>
    </row>
    <row r="3" ht="12.75" customHeight="1">
      <c r="A3" s="1"/>
      <c r="F3" s="8"/>
      <c r="G3" s="8"/>
      <c r="I3" s="19">
        <v>4.0</v>
      </c>
      <c r="J3" s="19">
        <v>2.0</v>
      </c>
      <c r="K3" s="20">
        <v>8.0</v>
      </c>
      <c r="L3" s="19"/>
      <c r="M3" s="1">
        <v>2.0</v>
      </c>
      <c r="N3" s="16"/>
      <c r="O3" s="1"/>
      <c r="Q3" s="1"/>
      <c r="R3" s="1"/>
      <c r="S3" s="1"/>
      <c r="T3" s="1"/>
      <c r="U3" s="1"/>
      <c r="V3" s="1"/>
      <c r="W3" s="1"/>
      <c r="X3" s="1"/>
    </row>
    <row r="4" ht="12.75" customHeight="1">
      <c r="A4" s="1" t="s">
        <v>15</v>
      </c>
      <c r="F4" s="21" t="s">
        <v>16</v>
      </c>
      <c r="G4" s="22"/>
      <c r="I4" s="23">
        <v>8.0</v>
      </c>
      <c r="J4" s="23">
        <v>4.0</v>
      </c>
      <c r="K4" s="24">
        <v>16.0</v>
      </c>
      <c r="L4" s="25">
        <v>1.0</v>
      </c>
      <c r="M4" s="26">
        <v>2.0</v>
      </c>
      <c r="N4" s="16"/>
      <c r="O4" s="1"/>
      <c r="Q4" s="1"/>
      <c r="R4" s="1"/>
      <c r="S4" s="1"/>
      <c r="T4" s="1"/>
      <c r="U4" s="1"/>
      <c r="V4" s="1"/>
      <c r="W4" s="1"/>
      <c r="X4" s="1"/>
    </row>
    <row r="5" ht="12.75" customHeight="1">
      <c r="A5" s="1" t="s">
        <v>17</v>
      </c>
      <c r="F5" s="27">
        <v>1000.0</v>
      </c>
      <c r="G5" s="22"/>
      <c r="I5" s="19">
        <v>12.0</v>
      </c>
      <c r="J5" s="19">
        <v>6.0</v>
      </c>
      <c r="K5" s="20">
        <v>24.0</v>
      </c>
      <c r="L5" s="28">
        <v>1.5</v>
      </c>
      <c r="M5" s="1">
        <v>4.0</v>
      </c>
      <c r="N5" s="16"/>
      <c r="O5" s="1"/>
      <c r="Q5" s="1"/>
      <c r="R5" s="1"/>
      <c r="S5" s="1"/>
      <c r="T5" s="1"/>
      <c r="U5" s="1"/>
      <c r="V5" s="1"/>
      <c r="W5" s="1"/>
      <c r="X5" s="1"/>
    </row>
    <row r="6" ht="12.75" customHeight="1">
      <c r="A6" s="1"/>
      <c r="F6" s="29"/>
      <c r="G6" s="8"/>
      <c r="I6" s="30">
        <v>16.0</v>
      </c>
      <c r="J6" s="30">
        <v>8.0</v>
      </c>
      <c r="K6" s="31">
        <v>32.0</v>
      </c>
      <c r="L6" s="32">
        <v>2.0</v>
      </c>
      <c r="M6" s="33">
        <v>4.0</v>
      </c>
      <c r="N6" s="16"/>
      <c r="O6" s="1"/>
      <c r="Q6" s="1"/>
      <c r="R6" s="1"/>
      <c r="S6" s="1"/>
      <c r="T6" s="1"/>
      <c r="U6" s="1"/>
      <c r="V6" s="1"/>
      <c r="W6" s="1"/>
      <c r="X6" s="1"/>
    </row>
    <row r="7" ht="12.75" customHeight="1">
      <c r="A7" s="34" t="s">
        <v>18</v>
      </c>
      <c r="F7" s="35">
        <v>20.0</v>
      </c>
      <c r="G7" s="29"/>
      <c r="I7" s="19">
        <v>20.0</v>
      </c>
      <c r="J7" s="19">
        <v>10.0</v>
      </c>
      <c r="K7" s="20">
        <v>40.0</v>
      </c>
      <c r="L7" s="28">
        <v>2.5</v>
      </c>
      <c r="M7" s="1">
        <v>6.0</v>
      </c>
      <c r="N7" s="16"/>
      <c r="O7" s="1"/>
      <c r="Q7" s="1"/>
      <c r="R7" s="1"/>
      <c r="S7" s="1"/>
      <c r="T7" s="1"/>
      <c r="U7" s="1"/>
      <c r="V7" s="1"/>
      <c r="W7" s="1"/>
      <c r="X7" s="1"/>
    </row>
    <row r="8" ht="12.75" customHeight="1">
      <c r="A8" s="36" t="s">
        <v>19</v>
      </c>
      <c r="F8" s="37"/>
      <c r="G8" s="29"/>
      <c r="I8" s="30">
        <v>24.0</v>
      </c>
      <c r="J8" s="30">
        <v>12.0</v>
      </c>
      <c r="K8" s="31">
        <v>48.0</v>
      </c>
      <c r="L8" s="32">
        <v>3.0</v>
      </c>
      <c r="M8" s="33">
        <v>6.0</v>
      </c>
      <c r="N8" s="1"/>
      <c r="O8" s="1"/>
      <c r="Q8" s="1"/>
      <c r="R8" s="1"/>
      <c r="S8" s="1"/>
      <c r="T8" s="1"/>
      <c r="U8" s="1"/>
      <c r="V8" s="1"/>
      <c r="W8" s="1"/>
      <c r="X8" s="1"/>
    </row>
    <row r="9" ht="12.75" customHeight="1">
      <c r="A9" s="36" t="s">
        <v>20</v>
      </c>
      <c r="F9" s="37"/>
      <c r="G9" s="29"/>
      <c r="I9" s="19">
        <v>28.0</v>
      </c>
      <c r="J9" s="19">
        <v>14.0</v>
      </c>
      <c r="K9" s="20"/>
      <c r="L9" s="28">
        <v>3.5</v>
      </c>
      <c r="M9" s="1">
        <v>8.0</v>
      </c>
      <c r="N9" s="1"/>
      <c r="O9" s="1"/>
      <c r="Q9" s="1"/>
      <c r="R9" s="1"/>
      <c r="S9" s="1"/>
      <c r="T9" s="1"/>
      <c r="U9" s="1"/>
      <c r="V9" s="1"/>
      <c r="W9" s="1"/>
      <c r="X9" s="1"/>
    </row>
    <row r="10" ht="12.75" customHeight="1">
      <c r="A10" s="36" t="s">
        <v>21</v>
      </c>
      <c r="F10" s="37"/>
      <c r="G10" s="8"/>
      <c r="I10" s="30">
        <v>32.0</v>
      </c>
      <c r="J10" s="30">
        <v>16.0</v>
      </c>
      <c r="K10" s="31"/>
      <c r="L10" s="32">
        <v>4.0</v>
      </c>
      <c r="M10" s="33">
        <v>8.0</v>
      </c>
      <c r="N10" s="1"/>
      <c r="O10" s="1"/>
      <c r="Q10" s="1"/>
      <c r="R10" s="1"/>
      <c r="S10" s="1"/>
      <c r="T10" s="1"/>
      <c r="U10" s="1"/>
      <c r="V10" s="1"/>
      <c r="W10" s="1"/>
      <c r="X10" s="1"/>
    </row>
    <row r="11" ht="12.75" customHeight="1">
      <c r="A11" s="36" t="s">
        <v>22</v>
      </c>
      <c r="F11" s="37"/>
      <c r="G11" s="8"/>
      <c r="I11" s="19">
        <v>36.0</v>
      </c>
      <c r="J11" s="19">
        <v>18.0</v>
      </c>
      <c r="K11" s="20"/>
      <c r="L11" s="28">
        <v>4.5</v>
      </c>
      <c r="M11" s="1">
        <v>10.0</v>
      </c>
      <c r="N11" s="1"/>
      <c r="O11" s="1"/>
      <c r="Q11" s="1"/>
      <c r="R11" s="1"/>
      <c r="S11" s="1"/>
      <c r="T11" s="1"/>
      <c r="U11" s="1"/>
      <c r="V11" s="1"/>
      <c r="W11" s="1"/>
      <c r="X11" s="1"/>
    </row>
    <row r="12" ht="12.75" customHeight="1">
      <c r="A12" s="36" t="s">
        <v>23</v>
      </c>
      <c r="F12" s="37"/>
      <c r="G12" s="29"/>
      <c r="I12" s="23">
        <v>40.0</v>
      </c>
      <c r="J12" s="23">
        <v>20.0</v>
      </c>
      <c r="K12" s="24"/>
      <c r="L12" s="25">
        <v>5.0</v>
      </c>
      <c r="M12" s="26">
        <v>10.0</v>
      </c>
      <c r="N12" s="1"/>
      <c r="O12" s="1"/>
      <c r="Q12" s="1"/>
      <c r="R12" s="1"/>
      <c r="S12" s="1"/>
      <c r="T12" s="1"/>
      <c r="U12" s="1"/>
      <c r="V12" s="1"/>
      <c r="W12" s="1"/>
      <c r="X12" s="1"/>
    </row>
    <row r="13" ht="12.75" customHeight="1">
      <c r="A13" s="38" t="s">
        <v>24</v>
      </c>
      <c r="F13" s="8">
        <f>SUM(F7:F12)</f>
        <v>20</v>
      </c>
      <c r="G13" s="8"/>
      <c r="I13" s="19">
        <v>44.0</v>
      </c>
      <c r="J13" s="19">
        <v>22.0</v>
      </c>
      <c r="K13" s="20"/>
      <c r="L13" s="28">
        <v>5.5</v>
      </c>
      <c r="M13" s="1">
        <v>12.0</v>
      </c>
      <c r="N13" s="1"/>
      <c r="O13" s="1"/>
      <c r="Q13" s="1"/>
      <c r="R13" s="1"/>
      <c r="S13" s="1"/>
      <c r="T13" s="1"/>
      <c r="U13" s="1"/>
      <c r="V13" s="1"/>
      <c r="W13" s="1"/>
      <c r="X13" s="1"/>
    </row>
    <row r="14" ht="12.75" customHeight="1">
      <c r="A14" s="38"/>
      <c r="F14" s="8"/>
      <c r="G14" s="8"/>
      <c r="I14" s="23">
        <v>48.0</v>
      </c>
      <c r="J14" s="23">
        <v>24.0</v>
      </c>
      <c r="K14" s="24"/>
      <c r="L14" s="25">
        <v>6.0</v>
      </c>
      <c r="M14" s="26">
        <v>12.0</v>
      </c>
      <c r="N14" s="1"/>
      <c r="O14" s="1"/>
      <c r="Q14" s="1"/>
      <c r="R14" s="1"/>
      <c r="S14" s="1"/>
      <c r="T14" s="1"/>
      <c r="U14" s="1"/>
      <c r="V14" s="1"/>
      <c r="W14" s="1"/>
      <c r="X14" s="1"/>
    </row>
    <row r="15" ht="12.75" customHeight="1">
      <c r="A15" s="38" t="s">
        <v>25</v>
      </c>
      <c r="B15" s="39" t="s">
        <v>26</v>
      </c>
      <c r="F15" s="37" t="s">
        <v>27</v>
      </c>
      <c r="G15" s="8"/>
      <c r="H15" s="40"/>
      <c r="I15" s="19">
        <v>52.0</v>
      </c>
      <c r="J15" s="19">
        <v>26.0</v>
      </c>
      <c r="K15" s="20"/>
      <c r="L15" s="28">
        <v>6.5</v>
      </c>
      <c r="M15" s="1">
        <v>14.0</v>
      </c>
      <c r="N15" s="1"/>
      <c r="O15" s="1"/>
      <c r="Q15" s="1"/>
      <c r="R15" s="1"/>
      <c r="S15" s="1"/>
      <c r="T15" s="1"/>
      <c r="U15" s="1"/>
      <c r="V15" s="1"/>
      <c r="W15" s="1"/>
      <c r="X15" s="1"/>
    </row>
    <row r="16" ht="12.75" customHeight="1">
      <c r="A16" s="38" t="s">
        <v>28</v>
      </c>
      <c r="B16" s="8" t="s">
        <v>29</v>
      </c>
      <c r="F16" s="37"/>
      <c r="G16" s="8"/>
      <c r="I16" s="23">
        <v>56.0</v>
      </c>
      <c r="J16" s="23">
        <v>28.0</v>
      </c>
      <c r="K16" s="24"/>
      <c r="L16" s="25">
        <v>7.0</v>
      </c>
      <c r="M16" s="26">
        <v>14.0</v>
      </c>
      <c r="N16" s="1"/>
      <c r="O16" s="1"/>
      <c r="Q16" s="1"/>
      <c r="R16" s="1"/>
      <c r="S16" s="1"/>
      <c r="T16" s="1"/>
      <c r="U16" s="1"/>
      <c r="V16" s="1"/>
      <c r="W16" s="1"/>
      <c r="X16" s="1"/>
    </row>
    <row r="17" ht="12.75" customHeight="1">
      <c r="A17" s="38"/>
      <c r="B17" s="8"/>
      <c r="F17" s="29"/>
      <c r="G17" s="8"/>
      <c r="I17" s="19">
        <v>60.0</v>
      </c>
      <c r="J17" s="19">
        <v>30.0</v>
      </c>
      <c r="K17" s="20"/>
      <c r="L17" s="28">
        <v>7.5</v>
      </c>
      <c r="M17" s="1">
        <v>16.0</v>
      </c>
      <c r="N17" s="1"/>
      <c r="O17" s="1"/>
      <c r="Q17" s="1"/>
      <c r="R17" s="1"/>
      <c r="S17" s="1"/>
      <c r="T17" s="1"/>
      <c r="U17" s="1"/>
      <c r="V17" s="1"/>
      <c r="W17" s="1"/>
      <c r="X17" s="1"/>
    </row>
    <row r="18" ht="12.75" customHeight="1">
      <c r="A18" s="38" t="s">
        <v>30</v>
      </c>
      <c r="B18" s="39" t="s">
        <v>31</v>
      </c>
      <c r="F18" s="37" t="s">
        <v>32</v>
      </c>
      <c r="G18" s="8"/>
      <c r="H18" s="41" t="s">
        <v>33</v>
      </c>
      <c r="I18" s="23">
        <v>64.0</v>
      </c>
      <c r="J18" s="23">
        <v>32.0</v>
      </c>
      <c r="K18" s="24"/>
      <c r="L18" s="25">
        <v>8.0</v>
      </c>
      <c r="M18" s="26">
        <v>16.0</v>
      </c>
      <c r="N18" s="1"/>
      <c r="O18" s="1"/>
      <c r="Q18" s="1"/>
      <c r="R18" s="1"/>
      <c r="S18" s="1"/>
      <c r="T18" s="1"/>
      <c r="U18" s="1"/>
      <c r="V18" s="1"/>
      <c r="W18" s="1"/>
      <c r="X18" s="1"/>
    </row>
    <row r="19" ht="12.75" customHeight="1">
      <c r="A19" s="38" t="s">
        <v>34</v>
      </c>
      <c r="B19" s="42" t="s">
        <v>35</v>
      </c>
      <c r="F19" s="37"/>
      <c r="G19" s="8"/>
      <c r="J19" s="1"/>
      <c r="M19" s="2" t="s">
        <v>36</v>
      </c>
      <c r="N19" s="2"/>
      <c r="O19" s="2"/>
      <c r="Q19" s="2" t="s">
        <v>37</v>
      </c>
      <c r="R19" s="2"/>
      <c r="S19" s="2"/>
      <c r="T19" s="1"/>
      <c r="U19" s="1"/>
      <c r="V19" s="1"/>
      <c r="W19" s="1"/>
      <c r="X19" s="1"/>
    </row>
    <row r="20" ht="12.75" customHeight="1">
      <c r="A20" s="38"/>
      <c r="B20" s="8"/>
      <c r="F20" s="8"/>
      <c r="G20" s="29"/>
      <c r="I20" s="43" t="s">
        <v>38</v>
      </c>
      <c r="J20" s="44"/>
      <c r="K20" s="45"/>
      <c r="M20" s="3" t="str">
        <f>'quoter (newsprint)'!$R$54</f>
        <v>Tabloid</v>
      </c>
      <c r="N20" s="4"/>
      <c r="O20" s="5"/>
      <c r="Q20" s="3" t="str">
        <f>'quoter (newsprint)'!$R$54</f>
        <v>Tabloid</v>
      </c>
      <c r="R20" s="4"/>
      <c r="S20" s="5"/>
      <c r="T20" s="1"/>
      <c r="U20" s="1"/>
      <c r="V20" s="1"/>
      <c r="W20" s="1"/>
      <c r="X20" s="1"/>
    </row>
    <row r="21" ht="12.75" customHeight="1">
      <c r="A21" s="38" t="s">
        <v>39</v>
      </c>
      <c r="B21" s="8"/>
      <c r="E21" s="1" t="s">
        <v>40</v>
      </c>
      <c r="F21" s="21">
        <v>100.0</v>
      </c>
      <c r="G21" s="8"/>
      <c r="I21" s="46"/>
      <c r="J21" s="47" t="s">
        <v>3</v>
      </c>
      <c r="K21" s="48" t="s">
        <v>4</v>
      </c>
      <c r="M21" s="7">
        <f>IF('quoter (newsprint)'!$R$55="","",'quoter (newsprint)'!$R$55)</f>
        <v>20</v>
      </c>
      <c r="N21" s="8" t="str">
        <f>'quoter (newsprint)'!$S$55</f>
        <v>Pages</v>
      </c>
      <c r="O21" s="9"/>
      <c r="Q21" s="7">
        <f>IF('quoter (newsprint)'!$R$55="","",'quoter (newsprint)'!$R$55)</f>
        <v>20</v>
      </c>
      <c r="R21" s="8" t="str">
        <f>'quoter (newsprint)'!$S$55</f>
        <v>Pages</v>
      </c>
      <c r="S21" s="9"/>
      <c r="T21" s="1"/>
      <c r="U21" s="1"/>
      <c r="V21" s="1"/>
      <c r="W21" s="1"/>
      <c r="X21" s="1"/>
    </row>
    <row r="22" ht="12.75" customHeight="1">
      <c r="A22" s="38" t="s">
        <v>41</v>
      </c>
      <c r="B22" s="8"/>
      <c r="E22" s="1" t="s">
        <v>5</v>
      </c>
      <c r="F22" s="21">
        <v>100.0</v>
      </c>
      <c r="G22" s="8"/>
      <c r="I22" s="49" t="s">
        <v>42</v>
      </c>
      <c r="J22" s="50">
        <v>225.0</v>
      </c>
      <c r="K22" s="51">
        <v>15.0</v>
      </c>
      <c r="M22" s="7" t="str">
        <f>'quoter (newsprint)'!$R$56</f>
        <v/>
      </c>
      <c r="N22" s="8" t="str">
        <f>'quoter (newsprint)'!$S$56</f>
        <v>4/c</v>
      </c>
      <c r="O22" s="9" t="str">
        <f>'quoter (newsprint)'!$T$56</f>
        <v>Plate</v>
      </c>
      <c r="Q22" s="7" t="str">
        <f>'quoter (newsprint)'!$R$56</f>
        <v/>
      </c>
      <c r="R22" s="8" t="str">
        <f>'quoter (newsprint)'!$S$56</f>
        <v>4/c</v>
      </c>
      <c r="S22" s="9" t="str">
        <f>'quoter (newsprint)'!$T$56</f>
        <v>Plate</v>
      </c>
      <c r="T22" s="1"/>
      <c r="U22" s="1"/>
      <c r="V22" s="1"/>
      <c r="W22" s="1"/>
      <c r="X22" s="1"/>
    </row>
    <row r="23" ht="12.75" customHeight="1">
      <c r="A23" s="1"/>
      <c r="F23" s="8"/>
      <c r="I23" s="49" t="s">
        <v>27</v>
      </c>
      <c r="J23" s="50">
        <v>250.0</v>
      </c>
      <c r="K23" s="51">
        <v>15.0</v>
      </c>
      <c r="M23" s="7" t="str">
        <f>'quoter (newsprint)'!$R$57</f>
        <v>35#</v>
      </c>
      <c r="N23" s="8" t="str">
        <f>'quoter (newsprint)'!$S$57</f>
        <v>Paper stock</v>
      </c>
      <c r="O23" s="9" t="str">
        <f>'quoter (newsprint)'!$T$57</f>
        <v/>
      </c>
      <c r="Q23" s="7" t="str">
        <f>'quoter (newsprint)'!$R$57</f>
        <v>35#</v>
      </c>
      <c r="R23" s="8" t="str">
        <f>'quoter (newsprint)'!$S$57</f>
        <v>Paper stock</v>
      </c>
      <c r="S23" s="9" t="str">
        <f>'quoter (newsprint)'!$T$57</f>
        <v/>
      </c>
      <c r="T23" s="1"/>
      <c r="U23" s="1"/>
      <c r="V23" s="1"/>
      <c r="W23" s="1"/>
      <c r="X23" s="1"/>
    </row>
    <row r="24" ht="12.75" customHeight="1">
      <c r="A24" s="52" t="s">
        <v>43</v>
      </c>
      <c r="B24" s="53"/>
      <c r="C24" s="53"/>
      <c r="D24" s="53"/>
      <c r="E24" s="53"/>
      <c r="F24" s="54" t="s">
        <v>44</v>
      </c>
      <c r="G24" s="8"/>
      <c r="I24" s="49" t="s">
        <v>45</v>
      </c>
      <c r="J24" s="50">
        <v>300.0</v>
      </c>
      <c r="K24" s="51">
        <v>15.0</v>
      </c>
      <c r="M24" s="7"/>
      <c r="N24" s="8"/>
      <c r="O24" s="9"/>
      <c r="Q24" s="7"/>
      <c r="R24" s="8"/>
      <c r="S24" s="9"/>
      <c r="T24" s="1"/>
      <c r="U24" s="1"/>
      <c r="V24" s="1"/>
      <c r="W24" s="1"/>
      <c r="X24" s="1"/>
    </row>
    <row r="25" ht="12.75" customHeight="1">
      <c r="A25" s="55" t="s">
        <v>46</v>
      </c>
      <c r="B25" s="8"/>
      <c r="C25" s="8"/>
      <c r="D25" s="8"/>
      <c r="E25" s="19">
        <f>'quoter (newsprint)'!C142</f>
        <v>1</v>
      </c>
      <c r="F25" s="56"/>
      <c r="G25" s="8"/>
      <c r="I25" s="49" t="s">
        <v>47</v>
      </c>
      <c r="J25" s="50">
        <v>350.0</v>
      </c>
      <c r="K25" s="51">
        <v>15.0</v>
      </c>
      <c r="M25" s="7" t="str">
        <f>'quoter (newsprint)'!$R$59</f>
        <v>First</v>
      </c>
      <c r="N25" s="8">
        <f>'quoter (newsprint)'!$S$59</f>
        <v>1000</v>
      </c>
      <c r="O25" s="57">
        <f>'quoter (newsprint)'!$T$59</f>
        <v>335.5</v>
      </c>
      <c r="Q25" s="7" t="str">
        <f>'quoter (newsprint)'!$R$59</f>
        <v>First</v>
      </c>
      <c r="R25" s="8">
        <f>'quoter (newsprint)'!$S$59</f>
        <v>1000</v>
      </c>
      <c r="S25" s="57">
        <f>'quoter (newsprint)'!$T$59-'quoter (newsprint)'!E69</f>
        <v>335.5</v>
      </c>
      <c r="T25" s="8" t="s">
        <v>48</v>
      </c>
      <c r="U25" s="11">
        <f>'quoter (newsprint)'!E69</f>
        <v>0</v>
      </c>
      <c r="V25" s="58" t="s">
        <v>49</v>
      </c>
      <c r="W25" s="58" t="s">
        <v>50</v>
      </c>
      <c r="X25" s="11">
        <f t="shared" ref="X25:X26" si="1">SUM(S25,U25)</f>
        <v>335.5</v>
      </c>
    </row>
    <row r="26" ht="12.75" customHeight="1">
      <c r="A26" s="55" t="s">
        <v>51</v>
      </c>
      <c r="B26" s="8" t="s">
        <v>3</v>
      </c>
      <c r="C26" s="8"/>
      <c r="D26" s="8"/>
      <c r="E26" s="8"/>
      <c r="F26" s="21">
        <v>100.0</v>
      </c>
      <c r="G26" s="8"/>
      <c r="I26" s="49" t="s">
        <v>52</v>
      </c>
      <c r="J26" s="50">
        <v>200.0</v>
      </c>
      <c r="K26" s="51">
        <v>15.0</v>
      </c>
      <c r="M26" s="7" t="str">
        <f>'quoter (newsprint)'!$R$61</f>
        <v>Add'l</v>
      </c>
      <c r="N26" s="59">
        <f>'quoter (newsprint)'!$S$61</f>
        <v>0</v>
      </c>
      <c r="O26" s="57" t="str">
        <f>'quoter (newsprint)'!$T$61</f>
        <v> </v>
      </c>
      <c r="Q26" s="7" t="str">
        <f>'quoter (newsprint)'!$R$61</f>
        <v>Add'l</v>
      </c>
      <c r="R26" s="59">
        <f>'quoter (newsprint)'!$S$61</f>
        <v>0</v>
      </c>
      <c r="S26" s="57" t="str">
        <f>'quoter (newsprint)'!$T$61-'quoter (newsprint)'!E69</f>
        <v>#VALUE!</v>
      </c>
      <c r="T26" s="1" t="s">
        <v>48</v>
      </c>
      <c r="U26" s="11">
        <f>'quoter (newsprint)'!E69</f>
        <v>0</v>
      </c>
      <c r="V26" s="58" t="s">
        <v>49</v>
      </c>
      <c r="W26" s="58" t="s">
        <v>50</v>
      </c>
      <c r="X26" s="11" t="str">
        <f t="shared" si="1"/>
        <v>#VALUE!</v>
      </c>
    </row>
    <row r="27" ht="12.75" customHeight="1">
      <c r="A27" s="60"/>
      <c r="B27" s="61" t="s">
        <v>5</v>
      </c>
      <c r="C27" s="61"/>
      <c r="D27" s="61"/>
      <c r="E27" s="61"/>
      <c r="F27" s="21">
        <v>100.0</v>
      </c>
      <c r="G27" s="8"/>
      <c r="I27" s="46" t="s">
        <v>53</v>
      </c>
      <c r="J27" s="2">
        <v>85.0</v>
      </c>
      <c r="K27" s="62">
        <v>10.0</v>
      </c>
      <c r="M27" s="7" t="str">
        <f>IF($F$29="Y","Waste","")</f>
        <v>Waste</v>
      </c>
      <c r="N27" s="63" t="s">
        <v>54</v>
      </c>
      <c r="O27" s="57">
        <f>IF($F$29="Y",'quoter (newsprint)'!$T$63,"")</f>
        <v>82.5</v>
      </c>
      <c r="Q27" s="7" t="str">
        <f>IF($F$29="Y","Waste","")</f>
        <v>Waste</v>
      </c>
      <c r="R27" s="63" t="s">
        <v>54</v>
      </c>
      <c r="S27" s="57">
        <f>IF($F$29="Y",'quoter (newsprint)'!$T$63,"")</f>
        <v>82.5</v>
      </c>
      <c r="T27" s="1"/>
      <c r="U27" s="1"/>
      <c r="V27" s="1"/>
      <c r="W27" s="1"/>
      <c r="X27" s="1"/>
    </row>
    <row r="28" ht="12.75" customHeight="1">
      <c r="A28" s="64" t="s">
        <v>55</v>
      </c>
      <c r="F28" s="8"/>
      <c r="G28" s="8"/>
      <c r="I28" s="65" t="s">
        <v>56</v>
      </c>
      <c r="J28" s="66">
        <v>170.0</v>
      </c>
      <c r="K28" s="67">
        <v>20.0</v>
      </c>
      <c r="M28" s="12" t="str">
        <f>'quoter (newsprint)'!$R$65</f>
        <v>Total</v>
      </c>
      <c r="N28" s="68">
        <f>'quoter (newsprint)'!$S65</f>
        <v>1000</v>
      </c>
      <c r="O28" s="69">
        <f>'quoter (newsprint)'!$T$65</f>
        <v>418</v>
      </c>
      <c r="Q28" s="12" t="str">
        <f>'quoter (newsprint)'!$R$65</f>
        <v>Total</v>
      </c>
      <c r="R28" s="68">
        <f>'quoter (newsprint)'!$S65</f>
        <v>1000</v>
      </c>
      <c r="S28" s="69">
        <f>'quoter (newsprint)'!$T$65</f>
        <v>418</v>
      </c>
      <c r="T28" s="1"/>
      <c r="U28" s="1"/>
      <c r="V28" s="1"/>
      <c r="W28" s="1"/>
      <c r="X28" s="1"/>
    </row>
    <row r="29" ht="12.75" customHeight="1">
      <c r="A29" s="1"/>
      <c r="E29" s="70" t="s">
        <v>57</v>
      </c>
      <c r="F29" s="37" t="s">
        <v>58</v>
      </c>
      <c r="G29" s="8"/>
      <c r="H29" s="41"/>
      <c r="I29" s="71"/>
      <c r="J29" s="71"/>
      <c r="K29" s="71"/>
      <c r="N29" s="1"/>
      <c r="O29" s="1"/>
      <c r="Q29" s="1"/>
      <c r="R29" s="1"/>
      <c r="S29" s="1"/>
      <c r="T29" s="1"/>
      <c r="U29" s="1"/>
      <c r="V29" s="1"/>
      <c r="W29" s="1"/>
      <c r="X29" s="1"/>
    </row>
    <row r="30" ht="12.75" customHeight="1">
      <c r="A30" s="1"/>
      <c r="E30" s="42" t="s">
        <v>59</v>
      </c>
      <c r="F30" s="37" t="s">
        <v>58</v>
      </c>
      <c r="G30" s="72">
        <f>IF(F30="Y",'quoter (newsprint)'!T64,"")</f>
        <v>0</v>
      </c>
      <c r="H30" s="73"/>
      <c r="I30" s="74" t="s">
        <v>60</v>
      </c>
      <c r="J30" s="75"/>
      <c r="K30" s="76"/>
      <c r="M30" s="77" t="s">
        <v>61</v>
      </c>
      <c r="N30" s="78"/>
      <c r="O30" s="79">
        <f>(O25*1)+(O27*1)</f>
        <v>418</v>
      </c>
      <c r="Q30" s="8" t="s">
        <v>62</v>
      </c>
      <c r="R30" s="63" t="s">
        <v>54</v>
      </c>
      <c r="S30" s="11">
        <f>IF(F30="Y",'quoter (newsprint)'!T64,"")</f>
        <v>0</v>
      </c>
      <c r="T30" s="1"/>
      <c r="U30" s="1"/>
      <c r="V30" s="1"/>
      <c r="W30" s="1" t="s">
        <v>33</v>
      </c>
      <c r="X30" s="1"/>
    </row>
    <row r="31" ht="12.75" customHeight="1">
      <c r="A31" s="1"/>
      <c r="F31" s="8"/>
      <c r="G31" s="8"/>
      <c r="I31" s="46" t="s">
        <v>32</v>
      </c>
      <c r="J31" s="80">
        <v>120.0</v>
      </c>
      <c r="K31" s="62">
        <v>60.0</v>
      </c>
      <c r="N31" s="1"/>
      <c r="O31" s="1"/>
      <c r="Q31" s="1"/>
      <c r="R31" s="1"/>
      <c r="S31" s="1"/>
      <c r="T31" s="1"/>
      <c r="U31" s="1"/>
      <c r="V31" s="1"/>
      <c r="W31" s="1"/>
      <c r="X31" s="1"/>
    </row>
    <row r="32" ht="12.75" customHeight="1">
      <c r="A32" s="1"/>
      <c r="F32" s="8"/>
      <c r="G32" s="8"/>
      <c r="I32" s="65" t="s">
        <v>63</v>
      </c>
      <c r="J32" s="81">
        <v>160.0</v>
      </c>
      <c r="K32" s="67">
        <v>80.0</v>
      </c>
      <c r="M32" s="22"/>
      <c r="N32" s="22"/>
      <c r="O32" s="22"/>
      <c r="Q32" s="1"/>
      <c r="R32" s="1"/>
      <c r="S32" s="1"/>
      <c r="T32" s="1"/>
      <c r="U32" s="1"/>
      <c r="V32" s="1"/>
      <c r="W32" s="1"/>
      <c r="X32" s="1"/>
    </row>
    <row r="33" ht="12.75" customHeight="1">
      <c r="A33" s="1"/>
      <c r="F33" s="8"/>
      <c r="G33" s="8"/>
      <c r="J33" s="1"/>
      <c r="M33" s="22"/>
      <c r="N33" s="22"/>
      <c r="O33" s="22"/>
      <c r="Q33" s="1"/>
      <c r="R33" s="1"/>
      <c r="S33" s="1"/>
      <c r="T33" s="1"/>
      <c r="U33" s="1"/>
      <c r="V33" s="1"/>
      <c r="W33" s="1"/>
      <c r="X33" s="1"/>
    </row>
    <row r="34" ht="12.75" customHeight="1">
      <c r="A34" s="16" t="s">
        <v>64</v>
      </c>
      <c r="F34" s="8"/>
      <c r="G34" s="8"/>
      <c r="I34" s="82" t="s">
        <v>65</v>
      </c>
      <c r="J34" s="1"/>
      <c r="M34" s="22"/>
      <c r="N34" s="22"/>
      <c r="O34" s="22"/>
      <c r="Q34" s="1"/>
      <c r="R34" s="1"/>
      <c r="S34" s="1"/>
      <c r="T34" s="1"/>
      <c r="U34" s="1"/>
      <c r="V34" s="1"/>
      <c r="W34" s="1"/>
      <c r="X34" s="1"/>
    </row>
    <row r="35" ht="12.75" customHeight="1">
      <c r="A35" s="1"/>
      <c r="F35" s="8"/>
      <c r="G35" s="8"/>
      <c r="J35" s="16"/>
      <c r="M35" s="22"/>
      <c r="N35" s="22"/>
      <c r="O35" s="22"/>
      <c r="Q35" s="1"/>
      <c r="R35" s="1"/>
      <c r="S35" s="1"/>
      <c r="T35" s="1"/>
      <c r="U35" s="1"/>
      <c r="V35" s="1"/>
      <c r="W35" s="1"/>
      <c r="X35" s="1"/>
    </row>
    <row r="36" ht="12.75" customHeight="1">
      <c r="A36" s="1"/>
      <c r="E36" s="8"/>
      <c r="F36" s="8"/>
      <c r="G36" s="8"/>
      <c r="J36" s="1"/>
      <c r="M36" s="22"/>
      <c r="N36" s="22"/>
      <c r="O36" s="22"/>
      <c r="Q36" s="1"/>
      <c r="R36" s="1"/>
      <c r="S36" s="1"/>
      <c r="T36" s="1"/>
      <c r="U36" s="1"/>
      <c r="V36" s="1"/>
      <c r="W36" s="1"/>
      <c r="X36" s="1"/>
    </row>
    <row r="37" ht="12.75" hidden="1" customHeight="1">
      <c r="A37" s="1"/>
      <c r="F37" s="8"/>
      <c r="G37" s="8"/>
      <c r="J37" s="1"/>
      <c r="M37" s="22"/>
      <c r="N37" s="22"/>
      <c r="O37" s="22"/>
      <c r="Q37" s="1"/>
      <c r="R37" s="1"/>
      <c r="S37" s="1"/>
      <c r="T37" s="1"/>
      <c r="U37" s="1"/>
      <c r="V37" s="1"/>
      <c r="W37" s="1"/>
      <c r="X37" s="1"/>
    </row>
    <row r="38" ht="12.75" hidden="1" customHeight="1">
      <c r="A38" s="1"/>
      <c r="F38" s="8"/>
      <c r="G38" s="8"/>
      <c r="J38" s="1"/>
      <c r="M38" s="22" t="str">
        <f>'quoter (newsprint)'!R72</f>
        <v/>
      </c>
      <c r="N38" s="22" t="str">
        <f>'quoter (newsprint)'!S72</f>
        <v/>
      </c>
      <c r="O38" s="83" t="str">
        <f>'quoter (newsprint)'!T72</f>
        <v/>
      </c>
      <c r="Q38" s="1"/>
      <c r="R38" s="1"/>
      <c r="S38" s="1"/>
      <c r="T38" s="1"/>
      <c r="U38" s="1"/>
      <c r="V38" s="1"/>
      <c r="W38" s="1"/>
      <c r="X38" s="1"/>
    </row>
    <row r="39" ht="12.75" hidden="1" customHeight="1">
      <c r="A39" s="1" t="s">
        <v>16</v>
      </c>
      <c r="F39" s="8"/>
      <c r="G39" s="8"/>
      <c r="J39" s="1"/>
      <c r="M39" s="22" t="str">
        <f>'quoter (newsprint)'!R74</f>
        <v/>
      </c>
      <c r="N39" s="22" t="str">
        <f>'quoter (newsprint)'!S74</f>
        <v/>
      </c>
      <c r="O39" s="83" t="str">
        <f>'quoter (newsprint)'!T74</f>
        <v/>
      </c>
      <c r="Q39" s="1"/>
      <c r="R39" s="1"/>
      <c r="S39" s="1"/>
      <c r="T39" s="1"/>
      <c r="U39" s="1"/>
      <c r="V39" s="1"/>
      <c r="W39" s="1"/>
      <c r="X39" s="1"/>
    </row>
    <row r="40" ht="12.75" hidden="1" customHeight="1">
      <c r="A40" s="1" t="s">
        <v>66</v>
      </c>
      <c r="F40" s="8"/>
      <c r="G40" s="8"/>
      <c r="J40" s="1"/>
      <c r="M40" s="22" t="str">
        <f>IF(F42="Y","Waste","")</f>
        <v/>
      </c>
      <c r="N40" s="84" t="s">
        <v>54</v>
      </c>
      <c r="O40" s="83" t="str">
        <f>IF(F42="Y",'quoter (newsprint)'!T76,"")</f>
        <v/>
      </c>
      <c r="Q40" s="1"/>
      <c r="R40" s="1"/>
      <c r="S40" s="1"/>
      <c r="T40" s="1"/>
      <c r="U40" s="1"/>
      <c r="V40" s="1"/>
      <c r="W40" s="1"/>
      <c r="X40" s="1"/>
    </row>
    <row r="41" ht="12.75" hidden="1" customHeight="1">
      <c r="A41" s="1" t="s">
        <v>67</v>
      </c>
      <c r="F41" s="8"/>
      <c r="G41" s="8"/>
      <c r="J41" s="1"/>
      <c r="M41" s="22" t="str">
        <f>'quoter (newsprint)'!R78</f>
        <v/>
      </c>
      <c r="N41" s="85">
        <f>'quoter (newsprint)'!$S$65</f>
        <v>1000</v>
      </c>
      <c r="O41" s="83" t="str">
        <f>'quoter (newsprint)'!T78</f>
        <v/>
      </c>
      <c r="Q41" s="1"/>
      <c r="R41" s="1"/>
      <c r="S41" s="1"/>
      <c r="T41" s="1"/>
      <c r="U41" s="1"/>
      <c r="V41" s="1"/>
      <c r="W41" s="1"/>
      <c r="X41" s="1"/>
    </row>
    <row r="42" ht="12.75" hidden="1" customHeight="1">
      <c r="A42" s="1"/>
      <c r="E42" s="1" t="str">
        <f>'quoter (newsprint)'!W66</f>
        <v>None</v>
      </c>
      <c r="F42" s="8"/>
      <c r="G42" s="8"/>
      <c r="J42" s="1"/>
      <c r="M42" s="22"/>
      <c r="N42" s="22"/>
      <c r="O42" s="22"/>
      <c r="Q42" s="1"/>
      <c r="R42" s="1"/>
      <c r="S42" s="1"/>
      <c r="T42" s="1"/>
      <c r="U42" s="1"/>
      <c r="V42" s="1"/>
      <c r="W42" s="1"/>
      <c r="X42" s="1"/>
    </row>
    <row r="43" ht="12.75" hidden="1" customHeight="1">
      <c r="A43" s="1"/>
      <c r="E43" s="1" t="str">
        <f>'quoter (newsprint)'!W67</f>
        <v>Saddle stitch</v>
      </c>
      <c r="F43" s="8"/>
      <c r="G43" s="8"/>
      <c r="J43" s="1"/>
      <c r="M43" s="22"/>
      <c r="N43" s="22"/>
      <c r="O43" s="22"/>
      <c r="Q43" s="1"/>
      <c r="R43" s="1"/>
      <c r="S43" s="1"/>
      <c r="T43" s="1"/>
      <c r="U43" s="1"/>
      <c r="V43" s="1"/>
      <c r="W43" s="1"/>
      <c r="X43" s="1"/>
    </row>
    <row r="44" ht="12.75" hidden="1" customHeight="1">
      <c r="A44" s="1"/>
      <c r="E44" s="1" t="str">
        <f>'quoter (newsprint)'!W68</f>
        <v>Perfect bind</v>
      </c>
      <c r="F44" s="8"/>
      <c r="G44" s="8"/>
      <c r="J44" s="1"/>
      <c r="M44" s="22"/>
      <c r="N44" s="22"/>
      <c r="O44" s="22"/>
      <c r="Q44" s="1"/>
      <c r="R44" s="1"/>
      <c r="S44" s="1"/>
      <c r="T44" s="1"/>
      <c r="U44" s="1"/>
      <c r="V44" s="1"/>
      <c r="W44" s="1"/>
      <c r="X44" s="1"/>
    </row>
    <row r="45" ht="12.75" hidden="1" customHeight="1">
      <c r="A45" s="1"/>
      <c r="F45" s="8"/>
      <c r="G45" s="8"/>
      <c r="J45" s="1"/>
      <c r="M45" s="22"/>
      <c r="N45" s="22"/>
      <c r="O45" s="22"/>
      <c r="Q45" s="1"/>
      <c r="R45" s="1"/>
      <c r="S45" s="1"/>
      <c r="T45" s="1"/>
      <c r="U45" s="1"/>
      <c r="V45" s="1"/>
      <c r="W45" s="1"/>
      <c r="X45" s="1"/>
    </row>
    <row r="46" ht="12.75" hidden="1" customHeight="1">
      <c r="A46" s="8" t="s">
        <v>58</v>
      </c>
      <c r="F46" s="8"/>
      <c r="G46" s="8"/>
      <c r="J46" s="1"/>
      <c r="M46" s="22"/>
      <c r="N46" s="22"/>
      <c r="O46" s="22"/>
      <c r="Q46" s="1"/>
      <c r="R46" s="1"/>
      <c r="S46" s="1"/>
      <c r="T46" s="1"/>
      <c r="U46" s="1"/>
      <c r="V46" s="1"/>
      <c r="W46" s="1"/>
      <c r="X46" s="1"/>
    </row>
    <row r="47" ht="12.75" hidden="1" customHeight="1">
      <c r="A47" s="8" t="s">
        <v>68</v>
      </c>
      <c r="F47" s="8"/>
      <c r="G47" s="8"/>
      <c r="J47" s="1"/>
      <c r="M47" s="22"/>
      <c r="N47" s="22"/>
      <c r="O47" s="22"/>
      <c r="Q47" s="1"/>
      <c r="R47" s="1"/>
      <c r="S47" s="1"/>
      <c r="T47" s="1"/>
      <c r="U47" s="1"/>
      <c r="V47" s="1"/>
      <c r="W47" s="1"/>
      <c r="X47" s="1"/>
    </row>
    <row r="48" ht="12.75" hidden="1" customHeight="1">
      <c r="A48" s="1"/>
      <c r="F48" s="8"/>
      <c r="G48" s="8"/>
      <c r="J48" s="1"/>
      <c r="M48" s="22"/>
      <c r="N48" s="22"/>
      <c r="O48" s="22"/>
      <c r="Q48" s="1"/>
      <c r="R48" s="1"/>
      <c r="S48" s="1"/>
      <c r="T48" s="1"/>
      <c r="U48" s="1"/>
      <c r="V48" s="1"/>
      <c r="W48" s="1"/>
      <c r="X48" s="1"/>
    </row>
    <row r="49" ht="12.75" customHeight="1">
      <c r="A49" s="1"/>
      <c r="F49" s="8"/>
      <c r="G49" s="8"/>
      <c r="J49" s="1"/>
      <c r="N49" s="1"/>
      <c r="O49" s="1"/>
      <c r="Q49" s="1"/>
      <c r="R49" s="1"/>
      <c r="S49" s="1"/>
      <c r="T49" s="1"/>
      <c r="U49" s="1"/>
      <c r="V49" s="1"/>
      <c r="W49" s="1"/>
      <c r="X49" s="1"/>
    </row>
    <row r="50" ht="12.75" customHeight="1">
      <c r="A50" s="1"/>
      <c r="F50" s="8"/>
      <c r="G50" s="8"/>
      <c r="J50" s="1"/>
      <c r="N50" s="1"/>
      <c r="O50" s="1"/>
      <c r="Q50" s="1"/>
      <c r="R50" s="1"/>
      <c r="S50" s="1"/>
      <c r="T50" s="1"/>
      <c r="U50" s="1"/>
      <c r="V50" s="1"/>
      <c r="W50" s="1"/>
      <c r="X50" s="1"/>
    </row>
    <row r="51" ht="12.75" customHeight="1">
      <c r="A51" s="1"/>
      <c r="F51" s="8"/>
      <c r="G51" s="8"/>
      <c r="J51" s="1"/>
      <c r="N51" s="1"/>
      <c r="O51" s="1"/>
      <c r="Q51" s="1"/>
      <c r="R51" s="1"/>
      <c r="S51" s="1"/>
      <c r="T51" s="1"/>
      <c r="U51" s="1"/>
      <c r="V51" s="1"/>
      <c r="W51" s="1"/>
      <c r="X51" s="1"/>
    </row>
    <row r="52" ht="12.75" customHeight="1">
      <c r="A52" s="1"/>
      <c r="F52" s="8"/>
      <c r="G52" s="8"/>
      <c r="J52" s="1"/>
      <c r="N52" s="1"/>
      <c r="O52" s="1"/>
      <c r="Q52" s="1"/>
      <c r="R52" s="1"/>
      <c r="S52" s="1"/>
      <c r="T52" s="1"/>
      <c r="U52" s="1"/>
      <c r="V52" s="1"/>
      <c r="W52" s="1"/>
      <c r="X52" s="1"/>
    </row>
    <row r="53" ht="12.75" customHeight="1">
      <c r="A53" s="1"/>
      <c r="F53" s="8"/>
      <c r="G53" s="8"/>
      <c r="J53" s="1"/>
      <c r="N53" s="1"/>
      <c r="O53" s="1"/>
      <c r="Q53" s="1"/>
      <c r="R53" s="1"/>
      <c r="S53" s="1"/>
      <c r="T53" s="1"/>
      <c r="U53" s="1"/>
      <c r="V53" s="1"/>
      <c r="W53" s="1"/>
      <c r="X53" s="1"/>
    </row>
    <row r="54" ht="12.75" customHeight="1">
      <c r="A54" s="1"/>
      <c r="F54" s="8"/>
      <c r="G54" s="8"/>
      <c r="J54" s="1"/>
      <c r="N54" s="1"/>
      <c r="O54" s="1"/>
      <c r="Q54" s="1"/>
      <c r="R54" s="1"/>
      <c r="S54" s="1"/>
      <c r="T54" s="1"/>
      <c r="U54" s="1"/>
      <c r="V54" s="1"/>
      <c r="W54" s="1"/>
      <c r="X54" s="1"/>
    </row>
    <row r="55" ht="12.75" customHeight="1">
      <c r="A55" s="1"/>
      <c r="F55" s="8"/>
      <c r="G55" s="8"/>
      <c r="J55" s="1"/>
      <c r="N55" s="1"/>
      <c r="O55" s="1"/>
      <c r="Q55" s="1"/>
      <c r="R55" s="1"/>
      <c r="S55" s="1"/>
      <c r="T55" s="1"/>
      <c r="U55" s="1"/>
      <c r="V55" s="1"/>
      <c r="W55" s="1"/>
      <c r="X55" s="1"/>
    </row>
    <row r="56" ht="12.75" customHeight="1">
      <c r="A56" s="1"/>
      <c r="F56" s="8"/>
      <c r="G56" s="8"/>
      <c r="J56" s="1"/>
      <c r="N56" s="1"/>
      <c r="O56" s="1"/>
      <c r="Q56" s="1"/>
      <c r="R56" s="1"/>
      <c r="S56" s="1"/>
      <c r="T56" s="1"/>
      <c r="U56" s="1"/>
      <c r="V56" s="1"/>
      <c r="W56" s="1"/>
      <c r="X56" s="1"/>
    </row>
    <row r="57" ht="12.75" customHeight="1">
      <c r="A57" s="1"/>
      <c r="F57" s="8"/>
      <c r="G57" s="8"/>
      <c r="J57" s="1"/>
      <c r="N57" s="1"/>
      <c r="O57" s="1"/>
      <c r="Q57" s="1"/>
      <c r="R57" s="1"/>
      <c r="S57" s="1"/>
      <c r="T57" s="1"/>
      <c r="U57" s="1"/>
      <c r="V57" s="1"/>
      <c r="W57" s="1"/>
      <c r="X57" s="1"/>
    </row>
    <row r="58" ht="12.75" customHeight="1">
      <c r="A58" s="1"/>
      <c r="F58" s="8"/>
      <c r="G58" s="8"/>
      <c r="J58" s="1"/>
      <c r="N58" s="1"/>
      <c r="O58" s="1"/>
      <c r="Q58" s="1"/>
      <c r="R58" s="1"/>
      <c r="S58" s="1"/>
      <c r="T58" s="1"/>
      <c r="U58" s="1"/>
      <c r="V58" s="1"/>
      <c r="W58" s="1"/>
      <c r="X58" s="1"/>
    </row>
    <row r="59" ht="12.75" customHeight="1">
      <c r="A59" s="1"/>
      <c r="F59" s="8"/>
      <c r="G59" s="8"/>
      <c r="J59" s="1"/>
      <c r="N59" s="1"/>
      <c r="O59" s="1"/>
      <c r="Q59" s="1"/>
      <c r="R59" s="1"/>
      <c r="S59" s="1"/>
      <c r="T59" s="1"/>
      <c r="U59" s="1"/>
      <c r="V59" s="1"/>
      <c r="W59" s="1"/>
      <c r="X59" s="1"/>
    </row>
    <row r="60" ht="12.75" customHeight="1">
      <c r="A60" s="1"/>
      <c r="F60" s="8"/>
      <c r="G60" s="8"/>
      <c r="J60" s="1"/>
      <c r="N60" s="1"/>
      <c r="O60" s="1"/>
      <c r="Q60" s="1"/>
      <c r="R60" s="1"/>
      <c r="S60" s="1"/>
      <c r="T60" s="1"/>
      <c r="U60" s="1"/>
      <c r="V60" s="1"/>
      <c r="W60" s="1"/>
      <c r="X60" s="1"/>
    </row>
    <row r="61" ht="12.75" customHeight="1">
      <c r="A61" s="1"/>
      <c r="F61" s="8"/>
      <c r="G61" s="8"/>
      <c r="J61" s="1"/>
      <c r="N61" s="1"/>
      <c r="O61" s="1"/>
      <c r="Q61" s="1"/>
      <c r="R61" s="1"/>
      <c r="S61" s="1"/>
      <c r="T61" s="1"/>
      <c r="U61" s="1"/>
      <c r="V61" s="1"/>
      <c r="W61" s="1"/>
      <c r="X61" s="1"/>
    </row>
    <row r="62" ht="12.75" customHeight="1">
      <c r="A62" s="1"/>
      <c r="F62" s="8"/>
      <c r="G62" s="8"/>
      <c r="J62" s="1"/>
      <c r="N62" s="1"/>
      <c r="O62" s="1"/>
      <c r="Q62" s="1"/>
      <c r="R62" s="1"/>
      <c r="S62" s="1"/>
      <c r="T62" s="1"/>
      <c r="U62" s="1"/>
      <c r="V62" s="1"/>
      <c r="W62" s="1"/>
      <c r="X62" s="1"/>
    </row>
    <row r="63" ht="12.75" customHeight="1">
      <c r="A63" s="1"/>
      <c r="F63" s="8"/>
      <c r="G63" s="8"/>
      <c r="J63" s="1"/>
      <c r="N63" s="1"/>
      <c r="O63" s="1"/>
      <c r="Q63" s="1"/>
      <c r="R63" s="1"/>
      <c r="S63" s="1"/>
      <c r="T63" s="1"/>
      <c r="U63" s="1"/>
      <c r="V63" s="1"/>
      <c r="W63" s="1"/>
      <c r="X63" s="1"/>
    </row>
    <row r="64" ht="12.75" customHeight="1">
      <c r="A64" s="1"/>
      <c r="F64" s="8"/>
      <c r="G64" s="8"/>
      <c r="J64" s="1"/>
      <c r="N64" s="1"/>
      <c r="O64" s="1"/>
      <c r="Q64" s="1"/>
      <c r="R64" s="1"/>
      <c r="S64" s="1"/>
      <c r="T64" s="1"/>
      <c r="U64" s="1"/>
      <c r="V64" s="1"/>
      <c r="W64" s="1"/>
      <c r="X64" s="1"/>
    </row>
    <row r="65" ht="12.75" customHeight="1">
      <c r="A65" s="1"/>
      <c r="F65" s="8"/>
      <c r="G65" s="8"/>
      <c r="J65" s="1"/>
      <c r="N65" s="1"/>
      <c r="O65" s="1"/>
      <c r="Q65" s="1"/>
      <c r="R65" s="1"/>
      <c r="S65" s="1"/>
      <c r="T65" s="1"/>
      <c r="U65" s="1"/>
      <c r="V65" s="1"/>
      <c r="W65" s="1"/>
      <c r="X65" s="1"/>
    </row>
    <row r="66" ht="12.75" customHeight="1">
      <c r="A66" s="1"/>
      <c r="F66" s="8"/>
      <c r="G66" s="8"/>
      <c r="J66" s="1"/>
      <c r="N66" s="1"/>
      <c r="O66" s="1"/>
      <c r="Q66" s="1"/>
      <c r="R66" s="1"/>
      <c r="S66" s="1"/>
      <c r="T66" s="1"/>
      <c r="U66" s="1"/>
      <c r="V66" s="1"/>
      <c r="W66" s="1"/>
      <c r="X66" s="1"/>
    </row>
    <row r="67" ht="12.75" customHeight="1">
      <c r="A67" s="1"/>
      <c r="F67" s="8"/>
      <c r="G67" s="8"/>
      <c r="J67" s="1"/>
      <c r="N67" s="1"/>
      <c r="O67" s="1"/>
      <c r="Q67" s="1"/>
      <c r="R67" s="1"/>
      <c r="S67" s="1"/>
      <c r="T67" s="1"/>
      <c r="U67" s="1"/>
      <c r="V67" s="1"/>
      <c r="W67" s="1"/>
      <c r="X67" s="1"/>
    </row>
    <row r="68" ht="12.75" customHeight="1">
      <c r="A68" s="1"/>
      <c r="F68" s="8"/>
      <c r="G68" s="8"/>
      <c r="J68" s="1"/>
      <c r="N68" s="1"/>
      <c r="O68" s="1"/>
      <c r="Q68" s="1"/>
      <c r="R68" s="1"/>
      <c r="S68" s="1"/>
      <c r="T68" s="1"/>
      <c r="U68" s="1"/>
      <c r="V68" s="1"/>
      <c r="W68" s="1"/>
      <c r="X68" s="1"/>
    </row>
    <row r="69" ht="12.75" customHeight="1">
      <c r="A69" s="1"/>
      <c r="F69" s="8"/>
      <c r="G69" s="8"/>
      <c r="J69" s="1"/>
      <c r="N69" s="1"/>
      <c r="O69" s="1"/>
      <c r="Q69" s="1"/>
      <c r="R69" s="1"/>
      <c r="S69" s="1"/>
      <c r="T69" s="1"/>
      <c r="U69" s="1"/>
      <c r="V69" s="1"/>
      <c r="W69" s="1"/>
      <c r="X69" s="1"/>
    </row>
    <row r="70" ht="12.75" customHeight="1">
      <c r="A70" s="1"/>
      <c r="F70" s="8"/>
      <c r="G70" s="8"/>
      <c r="J70" s="1"/>
      <c r="N70" s="1"/>
      <c r="O70" s="1"/>
      <c r="Q70" s="1"/>
      <c r="R70" s="1"/>
      <c r="S70" s="1"/>
      <c r="T70" s="1"/>
      <c r="U70" s="1"/>
      <c r="V70" s="1"/>
      <c r="W70" s="1"/>
      <c r="X70" s="1"/>
    </row>
    <row r="71" ht="12.75" customHeight="1">
      <c r="A71" s="1"/>
      <c r="F71" s="8"/>
      <c r="G71" s="8"/>
      <c r="J71" s="1"/>
      <c r="N71" s="1"/>
      <c r="O71" s="1"/>
      <c r="Q71" s="1"/>
      <c r="R71" s="1"/>
      <c r="S71" s="1"/>
      <c r="T71" s="1"/>
      <c r="U71" s="1"/>
      <c r="V71" s="1"/>
      <c r="W71" s="1"/>
      <c r="X71" s="1"/>
    </row>
    <row r="72" ht="12.75" customHeight="1">
      <c r="A72" s="1"/>
      <c r="F72" s="8"/>
      <c r="G72" s="8"/>
      <c r="J72" s="1"/>
      <c r="N72" s="1"/>
      <c r="O72" s="1"/>
      <c r="Q72" s="1"/>
      <c r="R72" s="1"/>
      <c r="S72" s="1"/>
      <c r="T72" s="1"/>
      <c r="U72" s="1"/>
      <c r="V72" s="1"/>
      <c r="W72" s="1"/>
      <c r="X72" s="1"/>
    </row>
    <row r="73" ht="12.75" customHeight="1">
      <c r="A73" s="1"/>
      <c r="F73" s="8"/>
      <c r="G73" s="8"/>
      <c r="J73" s="1"/>
      <c r="N73" s="1"/>
      <c r="O73" s="1"/>
      <c r="Q73" s="1"/>
      <c r="R73" s="1"/>
      <c r="S73" s="1"/>
      <c r="T73" s="1"/>
      <c r="U73" s="1"/>
      <c r="V73" s="1"/>
      <c r="W73" s="1"/>
      <c r="X73" s="1"/>
    </row>
    <row r="74" ht="12.75" customHeight="1">
      <c r="A74" s="1"/>
      <c r="F74" s="8"/>
      <c r="G74" s="8"/>
      <c r="J74" s="1"/>
      <c r="N74" s="1"/>
      <c r="O74" s="1"/>
      <c r="Q74" s="1"/>
      <c r="R74" s="1"/>
      <c r="S74" s="1"/>
      <c r="T74" s="1"/>
      <c r="U74" s="1"/>
      <c r="V74" s="1"/>
      <c r="W74" s="1"/>
      <c r="X74" s="1"/>
    </row>
    <row r="75" ht="12.75" customHeight="1">
      <c r="A75" s="1"/>
      <c r="F75" s="8"/>
      <c r="G75" s="8"/>
      <c r="J75" s="1"/>
      <c r="N75" s="1"/>
      <c r="O75" s="1"/>
      <c r="Q75" s="1"/>
      <c r="R75" s="1"/>
      <c r="S75" s="1"/>
      <c r="T75" s="1"/>
      <c r="U75" s="1"/>
      <c r="V75" s="1"/>
      <c r="W75" s="1"/>
      <c r="X75" s="1"/>
    </row>
    <row r="76" ht="12.75" customHeight="1">
      <c r="A76" s="1"/>
      <c r="F76" s="8"/>
      <c r="G76" s="8"/>
      <c r="J76" s="1"/>
      <c r="N76" s="1"/>
      <c r="O76" s="1"/>
      <c r="Q76" s="1"/>
      <c r="R76" s="1"/>
      <c r="S76" s="1"/>
      <c r="T76" s="1"/>
      <c r="U76" s="1"/>
      <c r="V76" s="1"/>
      <c r="W76" s="1"/>
      <c r="X76" s="1"/>
    </row>
    <row r="77" ht="12.75" customHeight="1">
      <c r="A77" s="1"/>
      <c r="F77" s="8"/>
      <c r="G77" s="8"/>
      <c r="J77" s="1"/>
      <c r="N77" s="1"/>
      <c r="O77" s="1"/>
      <c r="Q77" s="1"/>
      <c r="R77" s="1"/>
      <c r="S77" s="1"/>
      <c r="T77" s="1"/>
      <c r="U77" s="1"/>
      <c r="V77" s="1"/>
      <c r="W77" s="1"/>
      <c r="X77" s="1"/>
    </row>
    <row r="78" ht="12.75" customHeight="1">
      <c r="A78" s="1"/>
      <c r="F78" s="8"/>
      <c r="G78" s="8"/>
      <c r="J78" s="1"/>
      <c r="N78" s="1"/>
      <c r="O78" s="1"/>
      <c r="Q78" s="1"/>
      <c r="R78" s="1"/>
      <c r="S78" s="1"/>
      <c r="T78" s="1"/>
      <c r="U78" s="1"/>
      <c r="V78" s="1"/>
      <c r="W78" s="1"/>
      <c r="X78" s="1"/>
    </row>
    <row r="79" ht="12.75" customHeight="1">
      <c r="A79" s="1"/>
      <c r="F79" s="8"/>
      <c r="G79" s="8"/>
      <c r="J79" s="1"/>
      <c r="N79" s="1"/>
      <c r="O79" s="1"/>
      <c r="Q79" s="1"/>
      <c r="R79" s="1"/>
      <c r="S79" s="1"/>
      <c r="T79" s="1"/>
      <c r="U79" s="1"/>
      <c r="V79" s="1"/>
      <c r="W79" s="1"/>
      <c r="X79" s="1"/>
    </row>
    <row r="80" ht="12.75" customHeight="1">
      <c r="A80" s="1"/>
      <c r="F80" s="8"/>
      <c r="G80" s="8"/>
      <c r="J80" s="1"/>
      <c r="N80" s="1"/>
      <c r="O80" s="1"/>
      <c r="Q80" s="1"/>
      <c r="R80" s="1"/>
      <c r="S80" s="1"/>
      <c r="T80" s="1"/>
      <c r="U80" s="1"/>
      <c r="V80" s="1"/>
      <c r="W80" s="1"/>
      <c r="X80" s="1"/>
    </row>
    <row r="81" ht="12.75" customHeight="1">
      <c r="A81" s="1"/>
      <c r="F81" s="8"/>
      <c r="G81" s="8"/>
      <c r="J81" s="1"/>
      <c r="N81" s="1"/>
      <c r="O81" s="1"/>
      <c r="Q81" s="1"/>
      <c r="R81" s="1"/>
      <c r="S81" s="1"/>
      <c r="T81" s="1"/>
      <c r="U81" s="1"/>
      <c r="V81" s="1"/>
      <c r="W81" s="1"/>
      <c r="X81" s="1"/>
    </row>
    <row r="82" ht="12.75" customHeight="1">
      <c r="A82" s="1"/>
      <c r="F82" s="8"/>
      <c r="G82" s="8"/>
      <c r="J82" s="1"/>
      <c r="N82" s="1"/>
      <c r="O82" s="1"/>
      <c r="Q82" s="1"/>
      <c r="R82" s="1"/>
      <c r="S82" s="1"/>
      <c r="T82" s="1"/>
      <c r="U82" s="1"/>
      <c r="V82" s="1"/>
      <c r="W82" s="1"/>
      <c r="X82" s="1"/>
    </row>
    <row r="83" ht="12.75" customHeight="1">
      <c r="A83" s="1"/>
      <c r="F83" s="8"/>
      <c r="G83" s="8"/>
      <c r="J83" s="1"/>
      <c r="N83" s="1"/>
      <c r="O83" s="1"/>
      <c r="Q83" s="1"/>
      <c r="R83" s="1"/>
      <c r="S83" s="1"/>
      <c r="T83" s="1"/>
      <c r="U83" s="1"/>
      <c r="V83" s="1"/>
      <c r="W83" s="1"/>
      <c r="X83" s="1"/>
    </row>
    <row r="84" ht="12.75" customHeight="1">
      <c r="A84" s="1"/>
      <c r="F84" s="8"/>
      <c r="G84" s="8"/>
      <c r="J84" s="1"/>
      <c r="N84" s="1"/>
      <c r="O84" s="1"/>
      <c r="Q84" s="1"/>
      <c r="R84" s="1"/>
      <c r="S84" s="1"/>
      <c r="T84" s="1"/>
      <c r="U84" s="1"/>
      <c r="V84" s="1"/>
      <c r="W84" s="1"/>
      <c r="X84" s="1"/>
    </row>
    <row r="85" ht="12.75" customHeight="1">
      <c r="A85" s="1"/>
      <c r="F85" s="8"/>
      <c r="G85" s="8"/>
      <c r="J85" s="1"/>
      <c r="N85" s="1"/>
      <c r="O85" s="1"/>
      <c r="Q85" s="1"/>
      <c r="R85" s="1"/>
      <c r="S85" s="1"/>
      <c r="T85" s="1"/>
      <c r="U85" s="1"/>
      <c r="V85" s="1"/>
      <c r="W85" s="1"/>
      <c r="X85" s="1"/>
    </row>
    <row r="86" ht="12.75" customHeight="1">
      <c r="A86" s="1"/>
      <c r="F86" s="8"/>
      <c r="G86" s="8"/>
      <c r="J86" s="1"/>
      <c r="N86" s="1"/>
      <c r="O86" s="1"/>
      <c r="Q86" s="1"/>
      <c r="R86" s="1"/>
      <c r="S86" s="1"/>
      <c r="T86" s="1"/>
      <c r="U86" s="1"/>
      <c r="V86" s="1"/>
      <c r="W86" s="1"/>
      <c r="X86" s="1"/>
    </row>
    <row r="87" ht="12.75" customHeight="1">
      <c r="A87" s="1"/>
      <c r="F87" s="8"/>
      <c r="G87" s="8"/>
      <c r="J87" s="1"/>
      <c r="N87" s="1"/>
      <c r="O87" s="1"/>
      <c r="Q87" s="1"/>
      <c r="R87" s="1"/>
      <c r="S87" s="1"/>
      <c r="T87" s="1"/>
      <c r="U87" s="1"/>
      <c r="V87" s="1"/>
      <c r="W87" s="1"/>
      <c r="X87" s="1"/>
    </row>
    <row r="88" ht="12.75" customHeight="1">
      <c r="A88" s="1"/>
      <c r="F88" s="8"/>
      <c r="G88" s="8"/>
      <c r="J88" s="1"/>
      <c r="N88" s="1"/>
      <c r="O88" s="1"/>
      <c r="Q88" s="1"/>
      <c r="R88" s="1"/>
      <c r="S88" s="1"/>
      <c r="T88" s="1"/>
      <c r="U88" s="1"/>
      <c r="V88" s="1"/>
      <c r="W88" s="1"/>
      <c r="X88" s="1"/>
    </row>
    <row r="89" ht="12.75" customHeight="1">
      <c r="A89" s="1"/>
      <c r="F89" s="8"/>
      <c r="G89" s="8"/>
      <c r="J89" s="1"/>
      <c r="N89" s="1"/>
      <c r="O89" s="1"/>
      <c r="Q89" s="1"/>
      <c r="R89" s="1"/>
      <c r="S89" s="1"/>
      <c r="T89" s="1"/>
      <c r="U89" s="1"/>
      <c r="V89" s="1"/>
      <c r="W89" s="1"/>
      <c r="X89" s="1"/>
    </row>
    <row r="90" ht="12.75" customHeight="1">
      <c r="A90" s="1"/>
      <c r="F90" s="8"/>
      <c r="G90" s="8"/>
      <c r="J90" s="1"/>
      <c r="N90" s="1"/>
      <c r="O90" s="1"/>
      <c r="Q90" s="1"/>
      <c r="R90" s="1"/>
      <c r="S90" s="1"/>
      <c r="T90" s="1"/>
      <c r="U90" s="1"/>
      <c r="V90" s="1"/>
      <c r="W90" s="1"/>
      <c r="X90" s="1"/>
    </row>
    <row r="91" ht="12.75" customHeight="1">
      <c r="A91" s="1"/>
      <c r="F91" s="8"/>
      <c r="G91" s="8"/>
      <c r="J91" s="1"/>
      <c r="N91" s="1"/>
      <c r="O91" s="1"/>
      <c r="Q91" s="1"/>
      <c r="R91" s="1"/>
      <c r="S91" s="1"/>
      <c r="T91" s="1"/>
      <c r="U91" s="1"/>
      <c r="V91" s="1"/>
      <c r="W91" s="1"/>
      <c r="X91" s="1"/>
    </row>
    <row r="92" ht="12.75" customHeight="1">
      <c r="A92" s="1"/>
      <c r="F92" s="8"/>
      <c r="G92" s="8"/>
      <c r="J92" s="1"/>
      <c r="N92" s="1"/>
      <c r="O92" s="1"/>
      <c r="Q92" s="1"/>
      <c r="R92" s="1"/>
      <c r="S92" s="1"/>
      <c r="T92" s="1"/>
      <c r="U92" s="1"/>
      <c r="V92" s="1"/>
      <c r="W92" s="1"/>
      <c r="X92" s="1"/>
    </row>
    <row r="93" ht="12.75" customHeight="1">
      <c r="A93" s="1"/>
      <c r="F93" s="8"/>
      <c r="G93" s="8"/>
      <c r="J93" s="1"/>
      <c r="N93" s="1"/>
      <c r="O93" s="1"/>
      <c r="Q93" s="1"/>
      <c r="R93" s="1"/>
      <c r="S93" s="1"/>
      <c r="T93" s="1"/>
      <c r="U93" s="1"/>
      <c r="V93" s="1"/>
      <c r="W93" s="1"/>
      <c r="X93" s="1"/>
    </row>
    <row r="94" ht="12.75" customHeight="1">
      <c r="A94" s="1"/>
      <c r="F94" s="8"/>
      <c r="G94" s="8"/>
      <c r="J94" s="1"/>
      <c r="N94" s="1"/>
      <c r="O94" s="1"/>
      <c r="Q94" s="1"/>
      <c r="R94" s="1"/>
      <c r="S94" s="1"/>
      <c r="T94" s="1"/>
      <c r="U94" s="1"/>
      <c r="V94" s="1"/>
      <c r="W94" s="1"/>
      <c r="X94" s="1"/>
    </row>
    <row r="95" ht="12.75" customHeight="1">
      <c r="A95" s="1"/>
      <c r="F95" s="8"/>
      <c r="G95" s="8"/>
      <c r="J95" s="1"/>
      <c r="N95" s="1"/>
      <c r="O95" s="1"/>
      <c r="Q95" s="1"/>
      <c r="R95" s="1"/>
      <c r="S95" s="1"/>
      <c r="T95" s="1"/>
      <c r="U95" s="1"/>
      <c r="V95" s="1"/>
      <c r="W95" s="1"/>
      <c r="X95" s="1"/>
    </row>
    <row r="96" ht="12.75" customHeight="1">
      <c r="A96" s="1"/>
      <c r="F96" s="8"/>
      <c r="G96" s="8"/>
      <c r="J96" s="1"/>
      <c r="N96" s="1"/>
      <c r="O96" s="1"/>
      <c r="Q96" s="1"/>
      <c r="R96" s="1"/>
      <c r="S96" s="1"/>
      <c r="T96" s="1"/>
      <c r="U96" s="1"/>
      <c r="V96" s="1"/>
      <c r="W96" s="1"/>
      <c r="X96" s="1"/>
    </row>
    <row r="97" ht="12.75" customHeight="1">
      <c r="A97" s="1"/>
      <c r="F97" s="8"/>
      <c r="G97" s="8"/>
      <c r="J97" s="1"/>
      <c r="N97" s="1"/>
      <c r="O97" s="1"/>
      <c r="Q97" s="1"/>
      <c r="R97" s="1"/>
      <c r="S97" s="1"/>
      <c r="T97" s="1"/>
      <c r="U97" s="1"/>
      <c r="V97" s="1"/>
      <c r="W97" s="1"/>
      <c r="X97" s="1"/>
    </row>
    <row r="98" ht="12.75" customHeight="1">
      <c r="A98" s="1"/>
      <c r="F98" s="8"/>
      <c r="G98" s="8"/>
      <c r="J98" s="1"/>
      <c r="N98" s="1"/>
      <c r="O98" s="1"/>
      <c r="Q98" s="1"/>
      <c r="R98" s="1"/>
      <c r="S98" s="1"/>
      <c r="T98" s="1"/>
      <c r="U98" s="1"/>
      <c r="V98" s="1"/>
      <c r="W98" s="1"/>
      <c r="X98" s="1"/>
    </row>
    <row r="99" ht="12.75" customHeight="1">
      <c r="A99" s="1"/>
      <c r="F99" s="8"/>
      <c r="G99" s="8"/>
      <c r="J99" s="1"/>
      <c r="N99" s="1"/>
      <c r="O99" s="1"/>
      <c r="Q99" s="1"/>
      <c r="R99" s="1"/>
      <c r="S99" s="1"/>
      <c r="T99" s="1"/>
      <c r="U99" s="1"/>
      <c r="V99" s="1"/>
      <c r="W99" s="1"/>
      <c r="X99" s="1"/>
    </row>
    <row r="100" ht="12.75" customHeight="1">
      <c r="A100" s="1"/>
      <c r="F100" s="8"/>
      <c r="G100" s="8"/>
      <c r="J100" s="1"/>
      <c r="N100" s="1"/>
      <c r="O100" s="1"/>
      <c r="Q100" s="1"/>
      <c r="R100" s="1"/>
      <c r="S100" s="1"/>
      <c r="T100" s="1"/>
      <c r="U100" s="1"/>
      <c r="V100" s="1"/>
      <c r="W100" s="1"/>
      <c r="X100" s="1"/>
    </row>
    <row r="101" ht="12.75" customHeight="1">
      <c r="A101" s="1"/>
      <c r="F101" s="8"/>
      <c r="G101" s="8"/>
      <c r="J101" s="1"/>
      <c r="N101" s="1"/>
      <c r="O101" s="1"/>
      <c r="Q101" s="1"/>
      <c r="R101" s="1"/>
      <c r="S101" s="1"/>
      <c r="T101" s="1"/>
      <c r="U101" s="1"/>
      <c r="V101" s="1"/>
      <c r="W101" s="1"/>
      <c r="X101" s="1"/>
    </row>
    <row r="102" ht="12.75" customHeight="1">
      <c r="A102" s="1"/>
      <c r="F102" s="8"/>
      <c r="G102" s="8"/>
      <c r="J102" s="1"/>
      <c r="N102" s="1"/>
      <c r="O102" s="1"/>
      <c r="Q102" s="1"/>
      <c r="R102" s="1"/>
      <c r="S102" s="1"/>
      <c r="T102" s="1"/>
      <c r="U102" s="1"/>
      <c r="V102" s="1"/>
      <c r="W102" s="1"/>
      <c r="X102" s="1"/>
    </row>
    <row r="103" ht="12.75" customHeight="1">
      <c r="A103" s="1"/>
      <c r="F103" s="8"/>
      <c r="G103" s="8"/>
      <c r="J103" s="1"/>
      <c r="N103" s="1"/>
      <c r="O103" s="1"/>
      <c r="Q103" s="1"/>
      <c r="R103" s="1"/>
      <c r="S103" s="1"/>
      <c r="T103" s="1"/>
      <c r="U103" s="1"/>
      <c r="V103" s="1"/>
      <c r="W103" s="1"/>
      <c r="X103" s="1"/>
    </row>
    <row r="104" ht="12.75" customHeight="1">
      <c r="A104" s="1"/>
      <c r="F104" s="8"/>
      <c r="G104" s="8"/>
      <c r="J104" s="1"/>
      <c r="N104" s="1"/>
      <c r="O104" s="1"/>
      <c r="Q104" s="1"/>
      <c r="R104" s="1"/>
      <c r="S104" s="1"/>
      <c r="T104" s="1"/>
      <c r="U104" s="1"/>
      <c r="V104" s="1"/>
      <c r="W104" s="1"/>
      <c r="X104" s="1"/>
    </row>
    <row r="105" ht="12.75" customHeight="1">
      <c r="A105" s="1"/>
      <c r="F105" s="8"/>
      <c r="G105" s="8"/>
      <c r="J105" s="1"/>
      <c r="N105" s="1"/>
      <c r="O105" s="1"/>
      <c r="Q105" s="1"/>
      <c r="R105" s="1"/>
      <c r="S105" s="1"/>
      <c r="T105" s="1"/>
      <c r="U105" s="1"/>
      <c r="V105" s="1"/>
      <c r="W105" s="1"/>
      <c r="X105" s="1"/>
    </row>
    <row r="106" ht="12.75" customHeight="1">
      <c r="A106" s="1"/>
      <c r="F106" s="8"/>
      <c r="G106" s="8"/>
      <c r="J106" s="1"/>
      <c r="N106" s="1"/>
      <c r="O106" s="1"/>
      <c r="Q106" s="1"/>
      <c r="R106" s="1"/>
      <c r="S106" s="1"/>
      <c r="T106" s="1"/>
      <c r="U106" s="1"/>
      <c r="V106" s="1"/>
      <c r="W106" s="1"/>
      <c r="X106" s="1"/>
    </row>
    <row r="107" ht="12.75" customHeight="1">
      <c r="A107" s="1"/>
      <c r="F107" s="8"/>
      <c r="G107" s="8"/>
      <c r="J107" s="1"/>
      <c r="N107" s="1"/>
      <c r="O107" s="1"/>
      <c r="Q107" s="1"/>
      <c r="R107" s="1"/>
      <c r="S107" s="1"/>
      <c r="T107" s="1"/>
      <c r="U107" s="1"/>
      <c r="V107" s="1"/>
      <c r="W107" s="1"/>
      <c r="X107" s="1"/>
    </row>
    <row r="108" ht="12.75" customHeight="1">
      <c r="A108" s="1"/>
      <c r="F108" s="8"/>
      <c r="G108" s="8"/>
      <c r="J108" s="1"/>
      <c r="N108" s="1"/>
      <c r="O108" s="1"/>
      <c r="Q108" s="1"/>
      <c r="R108" s="1"/>
      <c r="S108" s="1"/>
      <c r="T108" s="1"/>
      <c r="U108" s="1"/>
      <c r="V108" s="1"/>
      <c r="W108" s="1"/>
      <c r="X108" s="1"/>
    </row>
    <row r="109" ht="12.75" customHeight="1">
      <c r="A109" s="1"/>
      <c r="F109" s="8"/>
      <c r="G109" s="8"/>
      <c r="J109" s="1"/>
      <c r="N109" s="1"/>
      <c r="O109" s="1"/>
      <c r="Q109" s="1"/>
      <c r="R109" s="1"/>
      <c r="S109" s="1"/>
      <c r="T109" s="1"/>
      <c r="U109" s="1"/>
      <c r="V109" s="1"/>
      <c r="W109" s="1"/>
      <c r="X109" s="1"/>
    </row>
    <row r="110" ht="12.75" customHeight="1">
      <c r="A110" s="1"/>
      <c r="F110" s="8"/>
      <c r="G110" s="8"/>
      <c r="J110" s="1"/>
      <c r="N110" s="1"/>
      <c r="O110" s="1"/>
      <c r="Q110" s="1"/>
      <c r="R110" s="1"/>
      <c r="S110" s="1"/>
      <c r="T110" s="1"/>
      <c r="U110" s="1"/>
      <c r="V110" s="1"/>
      <c r="W110" s="1"/>
      <c r="X110" s="1"/>
    </row>
    <row r="111" ht="12.75" customHeight="1">
      <c r="A111" s="1"/>
      <c r="F111" s="8"/>
      <c r="G111" s="8"/>
      <c r="J111" s="1"/>
      <c r="N111" s="1"/>
      <c r="O111" s="1"/>
      <c r="Q111" s="1"/>
      <c r="R111" s="1"/>
      <c r="S111" s="1"/>
      <c r="T111" s="1"/>
      <c r="U111" s="1"/>
      <c r="V111" s="1"/>
      <c r="W111" s="1"/>
      <c r="X111" s="1"/>
    </row>
    <row r="112" ht="12.75" customHeight="1">
      <c r="A112" s="1"/>
      <c r="F112" s="8"/>
      <c r="G112" s="8"/>
      <c r="J112" s="1"/>
      <c r="N112" s="1"/>
      <c r="O112" s="1"/>
      <c r="Q112" s="1"/>
      <c r="R112" s="1"/>
      <c r="S112" s="1"/>
      <c r="T112" s="1"/>
      <c r="U112" s="1"/>
      <c r="V112" s="1"/>
      <c r="W112" s="1"/>
      <c r="X112" s="1"/>
    </row>
    <row r="113" ht="12.75" customHeight="1">
      <c r="A113" s="1"/>
      <c r="F113" s="8"/>
      <c r="G113" s="8"/>
      <c r="J113" s="1"/>
      <c r="N113" s="1"/>
      <c r="O113" s="1"/>
      <c r="Q113" s="1"/>
      <c r="R113" s="1"/>
      <c r="S113" s="1"/>
      <c r="T113" s="1"/>
      <c r="U113" s="1"/>
      <c r="V113" s="1"/>
      <c r="W113" s="1"/>
      <c r="X113" s="1"/>
    </row>
    <row r="114" ht="12.75" customHeight="1">
      <c r="A114" s="1"/>
      <c r="F114" s="8"/>
      <c r="G114" s="8"/>
      <c r="J114" s="1"/>
      <c r="N114" s="1"/>
      <c r="O114" s="1"/>
      <c r="Q114" s="1"/>
      <c r="R114" s="1"/>
      <c r="S114" s="1"/>
      <c r="T114" s="1"/>
      <c r="U114" s="1"/>
      <c r="V114" s="1"/>
      <c r="W114" s="1"/>
      <c r="X114" s="1"/>
    </row>
    <row r="115" ht="12.75" customHeight="1">
      <c r="A115" s="1"/>
      <c r="F115" s="8"/>
      <c r="G115" s="8"/>
      <c r="J115" s="1"/>
      <c r="N115" s="1"/>
      <c r="O115" s="1"/>
      <c r="Q115" s="1"/>
      <c r="R115" s="1"/>
      <c r="S115" s="1"/>
      <c r="T115" s="1"/>
      <c r="U115" s="1"/>
      <c r="V115" s="1"/>
      <c r="W115" s="1"/>
      <c r="X115" s="1"/>
    </row>
    <row r="116" ht="12.75" customHeight="1">
      <c r="A116" s="1"/>
      <c r="F116" s="8"/>
      <c r="G116" s="8"/>
      <c r="J116" s="1"/>
      <c r="N116" s="1"/>
      <c r="O116" s="1"/>
      <c r="Q116" s="1"/>
      <c r="R116" s="1"/>
      <c r="S116" s="1"/>
      <c r="T116" s="1"/>
      <c r="U116" s="1"/>
      <c r="V116" s="1"/>
      <c r="W116" s="1"/>
      <c r="X116" s="1"/>
    </row>
    <row r="117" ht="12.75" customHeight="1">
      <c r="A117" s="1"/>
      <c r="F117" s="8"/>
      <c r="G117" s="8"/>
      <c r="J117" s="1"/>
      <c r="N117" s="1"/>
      <c r="O117" s="1"/>
      <c r="Q117" s="1"/>
      <c r="R117" s="1"/>
      <c r="S117" s="1"/>
      <c r="T117" s="1"/>
      <c r="U117" s="1"/>
      <c r="V117" s="1"/>
      <c r="W117" s="1"/>
      <c r="X117" s="1"/>
    </row>
    <row r="118" ht="12.75" customHeight="1">
      <c r="A118" s="1"/>
      <c r="F118" s="8"/>
      <c r="G118" s="8"/>
      <c r="J118" s="1"/>
      <c r="N118" s="1"/>
      <c r="O118" s="1"/>
      <c r="Q118" s="1"/>
      <c r="R118" s="1"/>
      <c r="S118" s="1"/>
      <c r="T118" s="1"/>
      <c r="U118" s="1"/>
      <c r="V118" s="1"/>
      <c r="W118" s="1"/>
      <c r="X118" s="1"/>
    </row>
    <row r="119" ht="12.75" customHeight="1">
      <c r="A119" s="1"/>
      <c r="F119" s="8"/>
      <c r="G119" s="8"/>
      <c r="J119" s="1"/>
      <c r="N119" s="1"/>
      <c r="O119" s="1"/>
      <c r="Q119" s="1"/>
      <c r="R119" s="1"/>
      <c r="S119" s="1"/>
      <c r="T119" s="1"/>
      <c r="U119" s="1"/>
      <c r="V119" s="1"/>
      <c r="W119" s="1"/>
      <c r="X119" s="1"/>
    </row>
    <row r="120" ht="12.75" customHeight="1">
      <c r="A120" s="1"/>
      <c r="F120" s="8"/>
      <c r="G120" s="8"/>
      <c r="J120" s="1"/>
      <c r="N120" s="1"/>
      <c r="O120" s="1"/>
      <c r="Q120" s="1"/>
      <c r="R120" s="1"/>
      <c r="S120" s="1"/>
      <c r="T120" s="1"/>
      <c r="U120" s="1"/>
      <c r="V120" s="1"/>
      <c r="W120" s="1"/>
      <c r="X120" s="1"/>
    </row>
    <row r="121" ht="12.75" customHeight="1">
      <c r="A121" s="1"/>
      <c r="F121" s="8"/>
      <c r="G121" s="8"/>
      <c r="J121" s="1"/>
      <c r="N121" s="1"/>
      <c r="O121" s="1"/>
      <c r="Q121" s="1"/>
      <c r="R121" s="1"/>
      <c r="S121" s="1"/>
      <c r="T121" s="1"/>
      <c r="U121" s="1"/>
      <c r="V121" s="1"/>
      <c r="W121" s="1"/>
      <c r="X121" s="1"/>
    </row>
    <row r="122" ht="12.75" customHeight="1">
      <c r="A122" s="1"/>
      <c r="F122" s="8"/>
      <c r="G122" s="8"/>
      <c r="J122" s="1"/>
      <c r="N122" s="1"/>
      <c r="O122" s="1"/>
      <c r="Q122" s="1"/>
      <c r="R122" s="1"/>
      <c r="S122" s="1"/>
      <c r="T122" s="1"/>
      <c r="U122" s="1"/>
      <c r="V122" s="1"/>
      <c r="W122" s="1"/>
      <c r="X122" s="1"/>
    </row>
    <row r="123" ht="12.75" customHeight="1">
      <c r="A123" s="1"/>
      <c r="F123" s="8"/>
      <c r="G123" s="8"/>
      <c r="J123" s="1"/>
      <c r="N123" s="1"/>
      <c r="O123" s="1"/>
      <c r="Q123" s="1"/>
      <c r="R123" s="1"/>
      <c r="S123" s="1"/>
      <c r="T123" s="1"/>
      <c r="U123" s="1"/>
      <c r="V123" s="1"/>
      <c r="W123" s="1"/>
      <c r="X123" s="1"/>
    </row>
    <row r="124" ht="12.75" customHeight="1">
      <c r="A124" s="1"/>
      <c r="F124" s="8"/>
      <c r="G124" s="8"/>
      <c r="J124" s="1"/>
      <c r="N124" s="1"/>
      <c r="O124" s="1"/>
      <c r="Q124" s="1"/>
      <c r="R124" s="1"/>
      <c r="S124" s="1"/>
      <c r="T124" s="1"/>
      <c r="U124" s="1"/>
      <c r="V124" s="1"/>
      <c r="W124" s="1"/>
      <c r="X124" s="1"/>
    </row>
    <row r="125" ht="12.75" customHeight="1">
      <c r="A125" s="1"/>
      <c r="F125" s="8"/>
      <c r="G125" s="8"/>
      <c r="J125" s="1"/>
      <c r="N125" s="1"/>
      <c r="O125" s="1"/>
      <c r="Q125" s="1"/>
      <c r="R125" s="1"/>
      <c r="S125" s="1"/>
      <c r="T125" s="1"/>
      <c r="U125" s="1"/>
      <c r="V125" s="1"/>
      <c r="W125" s="1"/>
      <c r="X125" s="1"/>
    </row>
    <row r="126" ht="12.75" customHeight="1">
      <c r="A126" s="1"/>
      <c r="F126" s="8"/>
      <c r="G126" s="8"/>
      <c r="J126" s="1"/>
      <c r="N126" s="1"/>
      <c r="O126" s="1"/>
      <c r="Q126" s="1"/>
      <c r="R126" s="1"/>
      <c r="S126" s="1"/>
      <c r="T126" s="1"/>
      <c r="U126" s="1"/>
      <c r="V126" s="1"/>
      <c r="W126" s="1"/>
      <c r="X126" s="1"/>
    </row>
    <row r="127" ht="12.75" customHeight="1">
      <c r="A127" s="1"/>
      <c r="F127" s="8"/>
      <c r="G127" s="8"/>
      <c r="J127" s="1"/>
      <c r="N127" s="1"/>
      <c r="O127" s="1"/>
      <c r="Q127" s="1"/>
      <c r="R127" s="1"/>
      <c r="S127" s="1"/>
      <c r="T127" s="1"/>
      <c r="U127" s="1"/>
      <c r="V127" s="1"/>
      <c r="W127" s="1"/>
      <c r="X127" s="1"/>
    </row>
    <row r="128" ht="12.75" customHeight="1">
      <c r="A128" s="1"/>
      <c r="F128" s="8"/>
      <c r="G128" s="8"/>
      <c r="J128" s="1"/>
      <c r="N128" s="1"/>
      <c r="O128" s="1"/>
      <c r="Q128" s="1"/>
      <c r="R128" s="1"/>
      <c r="S128" s="1"/>
      <c r="T128" s="1"/>
      <c r="U128" s="1"/>
      <c r="V128" s="1"/>
      <c r="W128" s="1"/>
      <c r="X128" s="1"/>
    </row>
    <row r="129" ht="12.75" customHeight="1">
      <c r="A129" s="1"/>
      <c r="F129" s="8"/>
      <c r="G129" s="8"/>
      <c r="J129" s="1"/>
      <c r="N129" s="1"/>
      <c r="O129" s="1"/>
      <c r="Q129" s="1"/>
      <c r="R129" s="1"/>
      <c r="S129" s="1"/>
      <c r="T129" s="1"/>
      <c r="U129" s="1"/>
      <c r="V129" s="1"/>
      <c r="W129" s="1"/>
      <c r="X129" s="1"/>
    </row>
    <row r="130" ht="12.75" customHeight="1">
      <c r="A130" s="1"/>
      <c r="F130" s="8"/>
      <c r="G130" s="8"/>
      <c r="J130" s="1"/>
      <c r="N130" s="1"/>
      <c r="O130" s="1"/>
      <c r="Q130" s="1"/>
      <c r="R130" s="1"/>
      <c r="S130" s="1"/>
      <c r="T130" s="1"/>
      <c r="U130" s="1"/>
      <c r="V130" s="1"/>
      <c r="W130" s="1"/>
      <c r="X130" s="1"/>
    </row>
    <row r="131" ht="12.75" customHeight="1">
      <c r="A131" s="1"/>
      <c r="F131" s="8"/>
      <c r="G131" s="8"/>
      <c r="J131" s="1"/>
      <c r="N131" s="1"/>
      <c r="O131" s="1"/>
      <c r="Q131" s="1"/>
      <c r="R131" s="1"/>
      <c r="S131" s="1"/>
      <c r="T131" s="1"/>
      <c r="U131" s="1"/>
      <c r="V131" s="1"/>
      <c r="W131" s="1"/>
      <c r="X131" s="1"/>
    </row>
    <row r="132" ht="12.75" customHeight="1">
      <c r="A132" s="1"/>
      <c r="F132" s="8"/>
      <c r="G132" s="8"/>
      <c r="J132" s="1"/>
      <c r="N132" s="1"/>
      <c r="O132" s="1"/>
      <c r="Q132" s="1"/>
      <c r="R132" s="1"/>
      <c r="S132" s="1"/>
      <c r="T132" s="1"/>
      <c r="U132" s="1"/>
      <c r="V132" s="1"/>
      <c r="W132" s="1"/>
      <c r="X132" s="1"/>
    </row>
    <row r="133" ht="12.75" customHeight="1">
      <c r="A133" s="1"/>
      <c r="F133" s="8"/>
      <c r="G133" s="8"/>
      <c r="J133" s="1"/>
      <c r="N133" s="1"/>
      <c r="O133" s="1"/>
      <c r="Q133" s="1"/>
      <c r="R133" s="1"/>
      <c r="S133" s="1"/>
      <c r="T133" s="1"/>
      <c r="U133" s="1"/>
      <c r="V133" s="1"/>
      <c r="W133" s="1"/>
      <c r="X133" s="1"/>
    </row>
    <row r="134" ht="12.75" customHeight="1">
      <c r="A134" s="1"/>
      <c r="F134" s="8"/>
      <c r="G134" s="8"/>
      <c r="J134" s="1"/>
      <c r="N134" s="1"/>
      <c r="O134" s="1"/>
      <c r="Q134" s="1"/>
      <c r="R134" s="1"/>
      <c r="S134" s="1"/>
      <c r="T134" s="1"/>
      <c r="U134" s="1"/>
      <c r="V134" s="1"/>
      <c r="W134" s="1"/>
      <c r="X134" s="1"/>
    </row>
    <row r="135" ht="12.75" customHeight="1">
      <c r="A135" s="1"/>
      <c r="F135" s="8"/>
      <c r="G135" s="8"/>
      <c r="J135" s="1"/>
      <c r="N135" s="1"/>
      <c r="O135" s="1"/>
      <c r="Q135" s="1"/>
      <c r="R135" s="1"/>
      <c r="S135" s="1"/>
      <c r="T135" s="1"/>
      <c r="U135" s="1"/>
      <c r="V135" s="1"/>
      <c r="W135" s="1"/>
      <c r="X135" s="1"/>
    </row>
    <row r="136" ht="12.75" customHeight="1">
      <c r="A136" s="1"/>
      <c r="F136" s="8"/>
      <c r="G136" s="8"/>
      <c r="J136" s="1"/>
      <c r="N136" s="1"/>
      <c r="O136" s="1"/>
      <c r="Q136" s="1"/>
      <c r="R136" s="1"/>
      <c r="S136" s="1"/>
      <c r="T136" s="1"/>
      <c r="U136" s="1"/>
      <c r="V136" s="1"/>
      <c r="W136" s="1"/>
      <c r="X136" s="1"/>
    </row>
    <row r="137" ht="12.75" customHeight="1">
      <c r="A137" s="1"/>
      <c r="F137" s="8"/>
      <c r="G137" s="8"/>
      <c r="J137" s="1"/>
      <c r="N137" s="1"/>
      <c r="O137" s="1"/>
      <c r="Q137" s="1"/>
      <c r="R137" s="1"/>
      <c r="S137" s="1"/>
      <c r="T137" s="1"/>
      <c r="U137" s="1"/>
      <c r="V137" s="1"/>
      <c r="W137" s="1"/>
      <c r="X137" s="1"/>
    </row>
    <row r="138" ht="12.75" customHeight="1">
      <c r="A138" s="1"/>
      <c r="F138" s="8"/>
      <c r="G138" s="8"/>
      <c r="J138" s="1"/>
      <c r="N138" s="1"/>
      <c r="O138" s="1"/>
      <c r="Q138" s="1"/>
      <c r="R138" s="1"/>
      <c r="S138" s="1"/>
      <c r="T138" s="1"/>
      <c r="U138" s="1"/>
      <c r="V138" s="1"/>
      <c r="W138" s="1"/>
      <c r="X138" s="1"/>
    </row>
    <row r="139" ht="12.75" customHeight="1">
      <c r="A139" s="1"/>
      <c r="F139" s="8"/>
      <c r="G139" s="8"/>
      <c r="J139" s="1"/>
      <c r="N139" s="1"/>
      <c r="O139" s="1"/>
      <c r="Q139" s="1"/>
      <c r="R139" s="1"/>
      <c r="S139" s="1"/>
      <c r="T139" s="1"/>
      <c r="U139" s="1"/>
      <c r="V139" s="1"/>
      <c r="W139" s="1"/>
      <c r="X139" s="1"/>
    </row>
    <row r="140" ht="12.75" customHeight="1">
      <c r="A140" s="1"/>
      <c r="F140" s="8"/>
      <c r="G140" s="8"/>
      <c r="J140" s="1"/>
      <c r="N140" s="1"/>
      <c r="O140" s="1"/>
      <c r="Q140" s="1"/>
      <c r="R140" s="1"/>
      <c r="S140" s="1"/>
      <c r="T140" s="1"/>
      <c r="U140" s="1"/>
      <c r="V140" s="1"/>
      <c r="W140" s="1"/>
      <c r="X140" s="1"/>
    </row>
    <row r="141" ht="12.75" customHeight="1">
      <c r="A141" s="1"/>
      <c r="F141" s="8"/>
      <c r="G141" s="8"/>
      <c r="J141" s="1"/>
      <c r="N141" s="1"/>
      <c r="O141" s="1"/>
      <c r="Q141" s="1"/>
      <c r="R141" s="1"/>
      <c r="S141" s="1"/>
      <c r="T141" s="1"/>
      <c r="U141" s="1"/>
      <c r="V141" s="1"/>
      <c r="W141" s="1"/>
      <c r="X141" s="1"/>
    </row>
    <row r="142" ht="12.75" customHeight="1">
      <c r="A142" s="1"/>
      <c r="F142" s="8"/>
      <c r="G142" s="8"/>
      <c r="J142" s="1"/>
      <c r="N142" s="1"/>
      <c r="O142" s="1"/>
      <c r="Q142" s="1"/>
      <c r="R142" s="1"/>
      <c r="S142" s="1"/>
      <c r="T142" s="1"/>
      <c r="U142" s="1"/>
      <c r="V142" s="1"/>
      <c r="W142" s="1"/>
      <c r="X142" s="1"/>
    </row>
    <row r="143" ht="12.75" customHeight="1">
      <c r="A143" s="1"/>
      <c r="F143" s="8"/>
      <c r="G143" s="8"/>
      <c r="J143" s="1"/>
      <c r="N143" s="1"/>
      <c r="O143" s="1"/>
      <c r="Q143" s="1"/>
      <c r="R143" s="1"/>
      <c r="S143" s="1"/>
      <c r="T143" s="1"/>
      <c r="U143" s="1"/>
      <c r="V143" s="1"/>
      <c r="W143" s="1"/>
      <c r="X143" s="1"/>
    </row>
    <row r="144" ht="12.75" customHeight="1">
      <c r="A144" s="1"/>
      <c r="F144" s="8"/>
      <c r="G144" s="8"/>
      <c r="J144" s="1"/>
      <c r="N144" s="1"/>
      <c r="O144" s="1"/>
      <c r="Q144" s="1"/>
      <c r="R144" s="1"/>
      <c r="S144" s="1"/>
      <c r="T144" s="1"/>
      <c r="U144" s="1"/>
      <c r="V144" s="1"/>
      <c r="W144" s="1"/>
      <c r="X144" s="1"/>
    </row>
    <row r="145" ht="12.75" customHeight="1">
      <c r="A145" s="1"/>
      <c r="F145" s="8"/>
      <c r="G145" s="8"/>
      <c r="J145" s="1"/>
      <c r="N145" s="1"/>
      <c r="O145" s="1"/>
      <c r="Q145" s="1"/>
      <c r="R145" s="1"/>
      <c r="S145" s="1"/>
      <c r="T145" s="1"/>
      <c r="U145" s="1"/>
      <c r="V145" s="1"/>
      <c r="W145" s="1"/>
      <c r="X145" s="1"/>
    </row>
    <row r="146" ht="12.75" customHeight="1">
      <c r="A146" s="1"/>
      <c r="F146" s="8"/>
      <c r="G146" s="8"/>
      <c r="J146" s="1"/>
      <c r="N146" s="1"/>
      <c r="O146" s="1"/>
      <c r="Q146" s="1"/>
      <c r="R146" s="1"/>
      <c r="S146" s="1"/>
      <c r="T146" s="1"/>
      <c r="U146" s="1"/>
      <c r="V146" s="1"/>
      <c r="W146" s="1"/>
      <c r="X146" s="1"/>
    </row>
    <row r="147" ht="12.75" customHeight="1">
      <c r="A147" s="1"/>
      <c r="F147" s="8"/>
      <c r="G147" s="8"/>
      <c r="J147" s="1"/>
      <c r="N147" s="1"/>
      <c r="O147" s="1"/>
      <c r="Q147" s="1"/>
      <c r="R147" s="1"/>
      <c r="S147" s="1"/>
      <c r="T147" s="1"/>
      <c r="U147" s="1"/>
      <c r="V147" s="1"/>
      <c r="W147" s="1"/>
      <c r="X147" s="1"/>
    </row>
    <row r="148" ht="12.75" customHeight="1">
      <c r="A148" s="1"/>
      <c r="F148" s="8"/>
      <c r="G148" s="8"/>
      <c r="J148" s="1"/>
      <c r="N148" s="1"/>
      <c r="O148" s="1"/>
      <c r="Q148" s="1"/>
      <c r="R148" s="1"/>
      <c r="S148" s="1"/>
      <c r="T148" s="1"/>
      <c r="U148" s="1"/>
      <c r="V148" s="1"/>
      <c r="W148" s="1"/>
      <c r="X148" s="1"/>
    </row>
    <row r="149" ht="12.75" customHeight="1">
      <c r="A149" s="1"/>
      <c r="F149" s="8"/>
      <c r="G149" s="8"/>
      <c r="J149" s="1"/>
      <c r="N149" s="1"/>
      <c r="O149" s="1"/>
      <c r="Q149" s="1"/>
      <c r="R149" s="1"/>
      <c r="S149" s="1"/>
      <c r="T149" s="1"/>
      <c r="U149" s="1"/>
      <c r="V149" s="1"/>
      <c r="W149" s="1"/>
      <c r="X149" s="1"/>
    </row>
    <row r="150" ht="12.75" customHeight="1">
      <c r="A150" s="1"/>
      <c r="F150" s="8"/>
      <c r="G150" s="8"/>
      <c r="J150" s="1"/>
      <c r="N150" s="1"/>
      <c r="O150" s="1"/>
      <c r="Q150" s="1"/>
      <c r="R150" s="1"/>
      <c r="S150" s="1"/>
      <c r="T150" s="1"/>
      <c r="U150" s="1"/>
      <c r="V150" s="1"/>
      <c r="W150" s="1"/>
      <c r="X150" s="1"/>
    </row>
    <row r="151" ht="12.75" customHeight="1">
      <c r="A151" s="1"/>
      <c r="F151" s="8"/>
      <c r="G151" s="8"/>
      <c r="J151" s="1"/>
      <c r="N151" s="1"/>
      <c r="O151" s="1"/>
      <c r="Q151" s="1"/>
      <c r="R151" s="1"/>
      <c r="S151" s="1"/>
      <c r="T151" s="1"/>
      <c r="U151" s="1"/>
      <c r="V151" s="1"/>
      <c r="W151" s="1"/>
      <c r="X151" s="1"/>
    </row>
    <row r="152" ht="12.75" customHeight="1">
      <c r="A152" s="1"/>
      <c r="F152" s="8"/>
      <c r="G152" s="8"/>
      <c r="J152" s="1"/>
      <c r="N152" s="1"/>
      <c r="O152" s="1"/>
      <c r="Q152" s="1"/>
      <c r="R152" s="1"/>
      <c r="S152" s="1"/>
      <c r="T152" s="1"/>
      <c r="U152" s="1"/>
      <c r="V152" s="1"/>
      <c r="W152" s="1"/>
      <c r="X152" s="1"/>
    </row>
    <row r="153" ht="12.75" customHeight="1">
      <c r="A153" s="1"/>
      <c r="F153" s="8"/>
      <c r="G153" s="8"/>
      <c r="J153" s="1"/>
      <c r="N153" s="1"/>
      <c r="O153" s="1"/>
      <c r="Q153" s="1"/>
      <c r="R153" s="1"/>
      <c r="S153" s="1"/>
      <c r="T153" s="1"/>
      <c r="U153" s="1"/>
      <c r="V153" s="1"/>
      <c r="W153" s="1"/>
      <c r="X153" s="1"/>
    </row>
    <row r="154" ht="12.75" customHeight="1">
      <c r="A154" s="1"/>
      <c r="F154" s="8"/>
      <c r="G154" s="8"/>
      <c r="J154" s="1"/>
      <c r="N154" s="1"/>
      <c r="O154" s="1"/>
      <c r="Q154" s="1"/>
      <c r="R154" s="1"/>
      <c r="S154" s="1"/>
      <c r="T154" s="1"/>
      <c r="U154" s="1"/>
      <c r="V154" s="1"/>
      <c r="W154" s="1"/>
      <c r="X154" s="1"/>
    </row>
    <row r="155" ht="12.75" customHeight="1">
      <c r="A155" s="1"/>
      <c r="F155" s="8"/>
      <c r="G155" s="8"/>
      <c r="J155" s="1"/>
      <c r="N155" s="1"/>
      <c r="O155" s="1"/>
      <c r="Q155" s="1"/>
      <c r="R155" s="1"/>
      <c r="S155" s="1"/>
      <c r="T155" s="1"/>
      <c r="U155" s="1"/>
      <c r="V155" s="1"/>
      <c r="W155" s="1"/>
      <c r="X155" s="1"/>
    </row>
    <row r="156" ht="12.75" customHeight="1">
      <c r="A156" s="1"/>
      <c r="F156" s="8"/>
      <c r="G156" s="8"/>
      <c r="J156" s="1"/>
      <c r="N156" s="1"/>
      <c r="O156" s="1"/>
      <c r="Q156" s="1"/>
      <c r="R156" s="1"/>
      <c r="S156" s="1"/>
      <c r="T156" s="1"/>
      <c r="U156" s="1"/>
      <c r="V156" s="1"/>
      <c r="W156" s="1"/>
      <c r="X156" s="1"/>
    </row>
    <row r="157" ht="12.75" customHeight="1">
      <c r="A157" s="1"/>
      <c r="F157" s="8"/>
      <c r="G157" s="8"/>
      <c r="J157" s="1"/>
      <c r="N157" s="1"/>
      <c r="O157" s="1"/>
      <c r="Q157" s="1"/>
      <c r="R157" s="1"/>
      <c r="S157" s="1"/>
      <c r="T157" s="1"/>
      <c r="U157" s="1"/>
      <c r="V157" s="1"/>
      <c r="W157" s="1"/>
      <c r="X157" s="1"/>
    </row>
    <row r="158" ht="12.75" customHeight="1">
      <c r="A158" s="1"/>
      <c r="F158" s="8"/>
      <c r="G158" s="8"/>
      <c r="J158" s="1"/>
      <c r="N158" s="1"/>
      <c r="O158" s="1"/>
      <c r="Q158" s="1"/>
      <c r="R158" s="1"/>
      <c r="S158" s="1"/>
      <c r="T158" s="1"/>
      <c r="U158" s="1"/>
      <c r="V158" s="1"/>
      <c r="W158" s="1"/>
      <c r="X158" s="1"/>
    </row>
    <row r="159" ht="12.75" customHeight="1">
      <c r="A159" s="1"/>
      <c r="F159" s="8"/>
      <c r="G159" s="8"/>
      <c r="J159" s="1"/>
      <c r="N159" s="1"/>
      <c r="O159" s="1"/>
      <c r="Q159" s="1"/>
      <c r="R159" s="1"/>
      <c r="S159" s="1"/>
      <c r="T159" s="1"/>
      <c r="U159" s="1"/>
      <c r="V159" s="1"/>
      <c r="W159" s="1"/>
      <c r="X159" s="1"/>
    </row>
    <row r="160" ht="12.75" customHeight="1">
      <c r="A160" s="1"/>
      <c r="F160" s="8"/>
      <c r="G160" s="8"/>
      <c r="J160" s="1"/>
      <c r="N160" s="1"/>
      <c r="O160" s="1"/>
      <c r="Q160" s="1"/>
      <c r="R160" s="1"/>
      <c r="S160" s="1"/>
      <c r="T160" s="1"/>
      <c r="U160" s="1"/>
      <c r="V160" s="1"/>
      <c r="W160" s="1"/>
      <c r="X160" s="1"/>
    </row>
    <row r="161" ht="12.75" customHeight="1">
      <c r="A161" s="1"/>
      <c r="F161" s="8"/>
      <c r="G161" s="8"/>
      <c r="J161" s="1"/>
      <c r="N161" s="1"/>
      <c r="O161" s="1"/>
      <c r="Q161" s="1"/>
      <c r="R161" s="1"/>
      <c r="S161" s="1"/>
      <c r="T161" s="1"/>
      <c r="U161" s="1"/>
      <c r="V161" s="1"/>
      <c r="W161" s="1"/>
      <c r="X161" s="1"/>
    </row>
    <row r="162" ht="12.75" customHeight="1">
      <c r="A162" s="1"/>
      <c r="F162" s="8"/>
      <c r="G162" s="8"/>
      <c r="J162" s="1"/>
      <c r="N162" s="1"/>
      <c r="O162" s="1"/>
      <c r="Q162" s="1"/>
      <c r="R162" s="1"/>
      <c r="S162" s="1"/>
      <c r="T162" s="1"/>
      <c r="U162" s="1"/>
      <c r="V162" s="1"/>
      <c r="W162" s="1"/>
      <c r="X162" s="1"/>
    </row>
    <row r="163" ht="12.75" customHeight="1">
      <c r="A163" s="1"/>
      <c r="F163" s="8"/>
      <c r="G163" s="8"/>
      <c r="J163" s="1"/>
      <c r="N163" s="1"/>
      <c r="O163" s="1"/>
      <c r="Q163" s="1"/>
      <c r="R163" s="1"/>
      <c r="S163" s="1"/>
      <c r="T163" s="1"/>
      <c r="U163" s="1"/>
      <c r="V163" s="1"/>
      <c r="W163" s="1"/>
      <c r="X163" s="1"/>
    </row>
    <row r="164" ht="12.75" customHeight="1">
      <c r="A164" s="1"/>
      <c r="F164" s="8"/>
      <c r="G164" s="8"/>
      <c r="J164" s="1"/>
      <c r="N164" s="1"/>
      <c r="O164" s="1"/>
      <c r="Q164" s="1"/>
      <c r="R164" s="1"/>
      <c r="S164" s="1"/>
      <c r="T164" s="1"/>
      <c r="U164" s="1"/>
      <c r="V164" s="1"/>
      <c r="W164" s="1"/>
      <c r="X164" s="1"/>
    </row>
    <row r="165" ht="12.75" customHeight="1">
      <c r="A165" s="1"/>
      <c r="F165" s="8"/>
      <c r="G165" s="8"/>
      <c r="J165" s="1"/>
      <c r="N165" s="1"/>
      <c r="O165" s="1"/>
      <c r="Q165" s="1"/>
      <c r="R165" s="1"/>
      <c r="S165" s="1"/>
      <c r="T165" s="1"/>
      <c r="U165" s="1"/>
      <c r="V165" s="1"/>
      <c r="W165" s="1"/>
      <c r="X165" s="1"/>
    </row>
    <row r="166" ht="12.75" customHeight="1">
      <c r="A166" s="1"/>
      <c r="F166" s="8"/>
      <c r="G166" s="8"/>
      <c r="J166" s="1"/>
      <c r="N166" s="1"/>
      <c r="O166" s="1"/>
      <c r="Q166" s="1"/>
      <c r="R166" s="1"/>
      <c r="S166" s="1"/>
      <c r="T166" s="1"/>
      <c r="U166" s="1"/>
      <c r="V166" s="1"/>
      <c r="W166" s="1"/>
      <c r="X166" s="1"/>
    </row>
    <row r="167" ht="12.75" customHeight="1">
      <c r="A167" s="1"/>
      <c r="F167" s="8"/>
      <c r="G167" s="8"/>
      <c r="J167" s="1"/>
      <c r="N167" s="1"/>
      <c r="O167" s="1"/>
      <c r="Q167" s="1"/>
      <c r="R167" s="1"/>
      <c r="S167" s="1"/>
      <c r="T167" s="1"/>
      <c r="U167" s="1"/>
      <c r="V167" s="1"/>
      <c r="W167" s="1"/>
      <c r="X167" s="1"/>
    </row>
    <row r="168" ht="12.75" customHeight="1">
      <c r="A168" s="1"/>
      <c r="F168" s="8"/>
      <c r="G168" s="8"/>
      <c r="J168" s="1"/>
      <c r="N168" s="1"/>
      <c r="O168" s="1"/>
      <c r="Q168" s="1"/>
      <c r="R168" s="1"/>
      <c r="S168" s="1"/>
      <c r="T168" s="1"/>
      <c r="U168" s="1"/>
      <c r="V168" s="1"/>
      <c r="W168" s="1"/>
      <c r="X168" s="1"/>
    </row>
    <row r="169" ht="12.75" customHeight="1">
      <c r="A169" s="1"/>
      <c r="F169" s="8"/>
      <c r="G169" s="8"/>
      <c r="J169" s="1"/>
      <c r="N169" s="1"/>
      <c r="O169" s="1"/>
      <c r="Q169" s="1"/>
      <c r="R169" s="1"/>
      <c r="S169" s="1"/>
      <c r="T169" s="1"/>
      <c r="U169" s="1"/>
      <c r="V169" s="1"/>
      <c r="W169" s="1"/>
      <c r="X169" s="1"/>
    </row>
    <row r="170" ht="12.75" customHeight="1">
      <c r="A170" s="1"/>
      <c r="F170" s="8"/>
      <c r="G170" s="8"/>
      <c r="J170" s="1"/>
      <c r="N170" s="1"/>
      <c r="O170" s="1"/>
      <c r="Q170" s="1"/>
      <c r="R170" s="1"/>
      <c r="S170" s="1"/>
      <c r="T170" s="1"/>
      <c r="U170" s="1"/>
      <c r="V170" s="1"/>
      <c r="W170" s="1"/>
      <c r="X170" s="1"/>
    </row>
    <row r="171" ht="12.75" customHeight="1">
      <c r="A171" s="1"/>
      <c r="F171" s="8"/>
      <c r="G171" s="8"/>
      <c r="J171" s="1"/>
      <c r="N171" s="1"/>
      <c r="O171" s="1"/>
      <c r="Q171" s="1"/>
      <c r="R171" s="1"/>
      <c r="S171" s="1"/>
      <c r="T171" s="1"/>
      <c r="U171" s="1"/>
      <c r="V171" s="1"/>
      <c r="W171" s="1"/>
      <c r="X171" s="1"/>
    </row>
    <row r="172" ht="12.75" customHeight="1">
      <c r="A172" s="1"/>
      <c r="F172" s="8"/>
      <c r="G172" s="8"/>
      <c r="J172" s="1"/>
      <c r="N172" s="1"/>
      <c r="O172" s="1"/>
      <c r="Q172" s="1"/>
      <c r="R172" s="1"/>
      <c r="S172" s="1"/>
      <c r="T172" s="1"/>
      <c r="U172" s="1"/>
      <c r="V172" s="1"/>
      <c r="W172" s="1"/>
      <c r="X172" s="1"/>
    </row>
    <row r="173" ht="12.75" customHeight="1">
      <c r="A173" s="1"/>
      <c r="F173" s="8"/>
      <c r="G173" s="8"/>
      <c r="J173" s="1"/>
      <c r="N173" s="1"/>
      <c r="O173" s="1"/>
      <c r="Q173" s="1"/>
      <c r="R173" s="1"/>
      <c r="S173" s="1"/>
      <c r="T173" s="1"/>
      <c r="U173" s="1"/>
      <c r="V173" s="1"/>
      <c r="W173" s="1"/>
      <c r="X173" s="1"/>
    </row>
    <row r="174" ht="12.75" customHeight="1">
      <c r="A174" s="1"/>
      <c r="F174" s="8"/>
      <c r="G174" s="8"/>
      <c r="J174" s="1"/>
      <c r="N174" s="1"/>
      <c r="O174" s="1"/>
      <c r="Q174" s="1"/>
      <c r="R174" s="1"/>
      <c r="S174" s="1"/>
      <c r="T174" s="1"/>
      <c r="U174" s="1"/>
      <c r="V174" s="1"/>
      <c r="W174" s="1"/>
      <c r="X174" s="1"/>
    </row>
    <row r="175" ht="12.75" customHeight="1">
      <c r="A175" s="1"/>
      <c r="F175" s="8"/>
      <c r="G175" s="8"/>
      <c r="J175" s="1"/>
      <c r="N175" s="1"/>
      <c r="O175" s="1"/>
      <c r="Q175" s="1"/>
      <c r="R175" s="1"/>
      <c r="S175" s="1"/>
      <c r="T175" s="1"/>
      <c r="U175" s="1"/>
      <c r="V175" s="1"/>
      <c r="W175" s="1"/>
      <c r="X175" s="1"/>
    </row>
    <row r="176" ht="12.75" customHeight="1">
      <c r="A176" s="1"/>
      <c r="F176" s="8"/>
      <c r="G176" s="8"/>
      <c r="J176" s="1"/>
      <c r="N176" s="1"/>
      <c r="O176" s="1"/>
      <c r="Q176" s="1"/>
      <c r="R176" s="1"/>
      <c r="S176" s="1"/>
      <c r="T176" s="1"/>
      <c r="U176" s="1"/>
      <c r="V176" s="1"/>
      <c r="W176" s="1"/>
      <c r="X176" s="1"/>
    </row>
    <row r="177" ht="12.75" customHeight="1">
      <c r="A177" s="1"/>
      <c r="F177" s="8"/>
      <c r="G177" s="8"/>
      <c r="J177" s="1"/>
      <c r="N177" s="1"/>
      <c r="O177" s="1"/>
      <c r="Q177" s="1"/>
      <c r="R177" s="1"/>
      <c r="S177" s="1"/>
      <c r="T177" s="1"/>
      <c r="U177" s="1"/>
      <c r="V177" s="1"/>
      <c r="W177" s="1"/>
      <c r="X177" s="1"/>
    </row>
    <row r="178" ht="12.75" customHeight="1">
      <c r="A178" s="1"/>
      <c r="F178" s="8"/>
      <c r="G178" s="8"/>
      <c r="J178" s="1"/>
      <c r="N178" s="1"/>
      <c r="O178" s="1"/>
      <c r="Q178" s="1"/>
      <c r="R178" s="1"/>
      <c r="S178" s="1"/>
      <c r="T178" s="1"/>
      <c r="U178" s="1"/>
      <c r="V178" s="1"/>
      <c r="W178" s="1"/>
      <c r="X178" s="1"/>
    </row>
    <row r="179" ht="12.75" customHeight="1">
      <c r="A179" s="1"/>
      <c r="F179" s="8"/>
      <c r="G179" s="8"/>
      <c r="J179" s="1"/>
      <c r="N179" s="1"/>
      <c r="O179" s="1"/>
      <c r="Q179" s="1"/>
      <c r="R179" s="1"/>
      <c r="S179" s="1"/>
      <c r="T179" s="1"/>
      <c r="U179" s="1"/>
      <c r="V179" s="1"/>
      <c r="W179" s="1"/>
      <c r="X179" s="1"/>
    </row>
    <row r="180" ht="12.75" customHeight="1">
      <c r="A180" s="1"/>
      <c r="F180" s="8"/>
      <c r="G180" s="8"/>
      <c r="J180" s="1"/>
      <c r="N180" s="1"/>
      <c r="O180" s="1"/>
      <c r="Q180" s="1"/>
      <c r="R180" s="1"/>
      <c r="S180" s="1"/>
      <c r="T180" s="1"/>
      <c r="U180" s="1"/>
      <c r="V180" s="1"/>
      <c r="W180" s="1"/>
      <c r="X180" s="1"/>
    </row>
    <row r="181" ht="12.75" customHeight="1">
      <c r="A181" s="1"/>
      <c r="F181" s="8"/>
      <c r="G181" s="8"/>
      <c r="J181" s="1"/>
      <c r="N181" s="1"/>
      <c r="O181" s="1"/>
      <c r="Q181" s="1"/>
      <c r="R181" s="1"/>
      <c r="S181" s="1"/>
      <c r="T181" s="1"/>
      <c r="U181" s="1"/>
      <c r="V181" s="1"/>
      <c r="W181" s="1"/>
      <c r="X181" s="1"/>
    </row>
    <row r="182" ht="12.75" customHeight="1">
      <c r="A182" s="1"/>
      <c r="F182" s="8"/>
      <c r="G182" s="8"/>
      <c r="J182" s="1"/>
      <c r="N182" s="1"/>
      <c r="O182" s="1"/>
      <c r="Q182" s="1"/>
      <c r="R182" s="1"/>
      <c r="S182" s="1"/>
      <c r="T182" s="1"/>
      <c r="U182" s="1"/>
      <c r="V182" s="1"/>
      <c r="W182" s="1"/>
      <c r="X182" s="1"/>
    </row>
    <row r="183" ht="12.75" customHeight="1">
      <c r="A183" s="1"/>
      <c r="F183" s="8"/>
      <c r="G183" s="8"/>
      <c r="J183" s="1"/>
      <c r="N183" s="1"/>
      <c r="O183" s="1"/>
      <c r="Q183" s="1"/>
      <c r="R183" s="1"/>
      <c r="S183" s="1"/>
      <c r="T183" s="1"/>
      <c r="U183" s="1"/>
      <c r="V183" s="1"/>
      <c r="W183" s="1"/>
      <c r="X183" s="1"/>
    </row>
    <row r="184" ht="12.75" customHeight="1">
      <c r="A184" s="1"/>
      <c r="F184" s="8"/>
      <c r="G184" s="8"/>
      <c r="J184" s="1"/>
      <c r="N184" s="1"/>
      <c r="O184" s="1"/>
      <c r="Q184" s="1"/>
      <c r="R184" s="1"/>
      <c r="S184" s="1"/>
      <c r="T184" s="1"/>
      <c r="U184" s="1"/>
      <c r="V184" s="1"/>
      <c r="W184" s="1"/>
      <c r="X184" s="1"/>
    </row>
    <row r="185" ht="12.75" customHeight="1">
      <c r="A185" s="1"/>
      <c r="F185" s="8"/>
      <c r="G185" s="8"/>
      <c r="J185" s="1"/>
      <c r="N185" s="1"/>
      <c r="O185" s="1"/>
      <c r="Q185" s="1"/>
      <c r="R185" s="1"/>
      <c r="S185" s="1"/>
      <c r="T185" s="1"/>
      <c r="U185" s="1"/>
      <c r="V185" s="1"/>
      <c r="W185" s="1"/>
      <c r="X185" s="1"/>
    </row>
    <row r="186" ht="12.75" customHeight="1">
      <c r="A186" s="1"/>
      <c r="F186" s="8"/>
      <c r="G186" s="8"/>
      <c r="J186" s="1"/>
      <c r="N186" s="1"/>
      <c r="O186" s="1"/>
      <c r="Q186" s="1"/>
      <c r="R186" s="1"/>
      <c r="S186" s="1"/>
      <c r="T186" s="1"/>
      <c r="U186" s="1"/>
      <c r="V186" s="1"/>
      <c r="W186" s="1"/>
      <c r="X186" s="1"/>
    </row>
    <row r="187" ht="12.75" customHeight="1">
      <c r="A187" s="1"/>
      <c r="F187" s="8"/>
      <c r="G187" s="8"/>
      <c r="J187" s="1"/>
      <c r="N187" s="1"/>
      <c r="O187" s="1"/>
      <c r="Q187" s="1"/>
      <c r="R187" s="1"/>
      <c r="S187" s="1"/>
      <c r="T187" s="1"/>
      <c r="U187" s="1"/>
      <c r="V187" s="1"/>
      <c r="W187" s="1"/>
      <c r="X187" s="1"/>
    </row>
    <row r="188" ht="12.75" customHeight="1">
      <c r="A188" s="1"/>
      <c r="F188" s="8"/>
      <c r="G188" s="8"/>
      <c r="J188" s="1"/>
      <c r="N188" s="1"/>
      <c r="O188" s="1"/>
      <c r="Q188" s="1"/>
      <c r="R188" s="1"/>
      <c r="S188" s="1"/>
      <c r="T188" s="1"/>
      <c r="U188" s="1"/>
      <c r="V188" s="1"/>
      <c r="W188" s="1"/>
      <c r="X188" s="1"/>
    </row>
    <row r="189" ht="12.75" customHeight="1">
      <c r="A189" s="1"/>
      <c r="F189" s="8"/>
      <c r="G189" s="8"/>
      <c r="J189" s="1"/>
      <c r="N189" s="1"/>
      <c r="O189" s="1"/>
      <c r="Q189" s="1"/>
      <c r="R189" s="1"/>
      <c r="S189" s="1"/>
      <c r="T189" s="1"/>
      <c r="U189" s="1"/>
      <c r="V189" s="1"/>
      <c r="W189" s="1"/>
      <c r="X189" s="1"/>
    </row>
    <row r="190" ht="12.75" customHeight="1">
      <c r="A190" s="1"/>
      <c r="F190" s="8"/>
      <c r="G190" s="8"/>
      <c r="J190" s="1"/>
      <c r="N190" s="1"/>
      <c r="O190" s="1"/>
      <c r="Q190" s="1"/>
      <c r="R190" s="1"/>
      <c r="S190" s="1"/>
      <c r="T190" s="1"/>
      <c r="U190" s="1"/>
      <c r="V190" s="1"/>
      <c r="W190" s="1"/>
      <c r="X190" s="1"/>
    </row>
    <row r="191" ht="12.75" customHeight="1">
      <c r="A191" s="1"/>
      <c r="F191" s="8"/>
      <c r="G191" s="8"/>
      <c r="J191" s="1"/>
      <c r="N191" s="1"/>
      <c r="O191" s="1"/>
      <c r="Q191" s="1"/>
      <c r="R191" s="1"/>
      <c r="S191" s="1"/>
      <c r="T191" s="1"/>
      <c r="U191" s="1"/>
      <c r="V191" s="1"/>
      <c r="W191" s="1"/>
      <c r="X191" s="1"/>
    </row>
    <row r="192" ht="12.75" customHeight="1">
      <c r="A192" s="1"/>
      <c r="F192" s="8"/>
      <c r="G192" s="8"/>
      <c r="J192" s="1"/>
      <c r="N192" s="1"/>
      <c r="O192" s="1"/>
      <c r="Q192" s="1"/>
      <c r="R192" s="1"/>
      <c r="S192" s="1"/>
      <c r="T192" s="1"/>
      <c r="U192" s="1"/>
      <c r="V192" s="1"/>
      <c r="W192" s="1"/>
      <c r="X192" s="1"/>
    </row>
    <row r="193" ht="12.75" customHeight="1">
      <c r="A193" s="1"/>
      <c r="F193" s="8"/>
      <c r="G193" s="8"/>
      <c r="J193" s="1"/>
      <c r="N193" s="1"/>
      <c r="O193" s="1"/>
      <c r="Q193" s="1"/>
      <c r="R193" s="1"/>
      <c r="S193" s="1"/>
      <c r="T193" s="1"/>
      <c r="U193" s="1"/>
      <c r="V193" s="1"/>
      <c r="W193" s="1"/>
      <c r="X193" s="1"/>
    </row>
    <row r="194" ht="12.75" customHeight="1">
      <c r="A194" s="1"/>
      <c r="F194" s="8"/>
      <c r="G194" s="8"/>
      <c r="J194" s="1"/>
      <c r="N194" s="1"/>
      <c r="O194" s="1"/>
      <c r="Q194" s="1"/>
      <c r="R194" s="1"/>
      <c r="S194" s="1"/>
      <c r="T194" s="1"/>
      <c r="U194" s="1"/>
      <c r="V194" s="1"/>
      <c r="W194" s="1"/>
      <c r="X194" s="1"/>
    </row>
    <row r="195" ht="12.75" customHeight="1">
      <c r="A195" s="1"/>
      <c r="F195" s="8"/>
      <c r="G195" s="8"/>
      <c r="J195" s="1"/>
      <c r="N195" s="1"/>
      <c r="O195" s="1"/>
      <c r="Q195" s="1"/>
      <c r="R195" s="1"/>
      <c r="S195" s="1"/>
      <c r="T195" s="1"/>
      <c r="U195" s="1"/>
      <c r="V195" s="1"/>
      <c r="W195" s="1"/>
      <c r="X195" s="1"/>
    </row>
    <row r="196" ht="12.75" customHeight="1">
      <c r="A196" s="1"/>
      <c r="F196" s="8"/>
      <c r="G196" s="8"/>
      <c r="J196" s="1"/>
      <c r="N196" s="1"/>
      <c r="O196" s="1"/>
      <c r="Q196" s="1"/>
      <c r="R196" s="1"/>
      <c r="S196" s="1"/>
      <c r="T196" s="1"/>
      <c r="U196" s="1"/>
      <c r="V196" s="1"/>
      <c r="W196" s="1"/>
      <c r="X196" s="1"/>
    </row>
    <row r="197" ht="12.75" customHeight="1">
      <c r="A197" s="1"/>
      <c r="F197" s="8"/>
      <c r="G197" s="8"/>
      <c r="J197" s="1"/>
      <c r="N197" s="1"/>
      <c r="O197" s="1"/>
      <c r="Q197" s="1"/>
      <c r="R197" s="1"/>
      <c r="S197" s="1"/>
      <c r="T197" s="1"/>
      <c r="U197" s="1"/>
      <c r="V197" s="1"/>
      <c r="W197" s="1"/>
      <c r="X197" s="1"/>
    </row>
    <row r="198" ht="12.75" customHeight="1">
      <c r="A198" s="1"/>
      <c r="F198" s="8"/>
      <c r="G198" s="8"/>
      <c r="J198" s="1"/>
      <c r="N198" s="1"/>
      <c r="O198" s="1"/>
      <c r="Q198" s="1"/>
      <c r="R198" s="1"/>
      <c r="S198" s="1"/>
      <c r="T198" s="1"/>
      <c r="U198" s="1"/>
      <c r="V198" s="1"/>
      <c r="W198" s="1"/>
      <c r="X198" s="1"/>
    </row>
    <row r="199" ht="12.75" customHeight="1">
      <c r="A199" s="1"/>
      <c r="F199" s="8"/>
      <c r="G199" s="8"/>
      <c r="J199" s="1"/>
      <c r="N199" s="1"/>
      <c r="O199" s="1"/>
      <c r="Q199" s="1"/>
      <c r="R199" s="1"/>
      <c r="S199" s="1"/>
      <c r="T199" s="1"/>
      <c r="U199" s="1"/>
      <c r="V199" s="1"/>
      <c r="W199" s="1"/>
      <c r="X199" s="1"/>
    </row>
    <row r="200" ht="12.75" customHeight="1">
      <c r="A200" s="1"/>
      <c r="F200" s="8"/>
      <c r="G200" s="8"/>
      <c r="J200" s="1"/>
      <c r="N200" s="1"/>
      <c r="O200" s="1"/>
      <c r="Q200" s="1"/>
      <c r="R200" s="1"/>
      <c r="S200" s="1"/>
      <c r="T200" s="1"/>
      <c r="U200" s="1"/>
      <c r="V200" s="1"/>
      <c r="W200" s="1"/>
      <c r="X200" s="1"/>
    </row>
    <row r="201" ht="12.75" customHeight="1">
      <c r="A201" s="1"/>
      <c r="F201" s="8"/>
      <c r="G201" s="8"/>
      <c r="J201" s="1"/>
      <c r="N201" s="1"/>
      <c r="O201" s="1"/>
      <c r="Q201" s="1"/>
      <c r="R201" s="1"/>
      <c r="S201" s="1"/>
      <c r="T201" s="1"/>
      <c r="U201" s="1"/>
      <c r="V201" s="1"/>
      <c r="W201" s="1"/>
      <c r="X201" s="1"/>
    </row>
    <row r="202" ht="12.75" customHeight="1">
      <c r="A202" s="1"/>
      <c r="F202" s="8"/>
      <c r="G202" s="8"/>
      <c r="J202" s="1"/>
      <c r="N202" s="1"/>
      <c r="O202" s="1"/>
      <c r="Q202" s="1"/>
      <c r="R202" s="1"/>
      <c r="S202" s="1"/>
      <c r="T202" s="1"/>
      <c r="U202" s="1"/>
      <c r="V202" s="1"/>
      <c r="W202" s="1"/>
      <c r="X202" s="1"/>
    </row>
    <row r="203" ht="12.75" customHeight="1">
      <c r="A203" s="1"/>
      <c r="F203" s="8"/>
      <c r="G203" s="8"/>
      <c r="J203" s="1"/>
      <c r="N203" s="1"/>
      <c r="O203" s="1"/>
      <c r="Q203" s="1"/>
      <c r="R203" s="1"/>
      <c r="S203" s="1"/>
      <c r="T203" s="1"/>
      <c r="U203" s="1"/>
      <c r="V203" s="1"/>
      <c r="W203" s="1"/>
      <c r="X203" s="1"/>
    </row>
    <row r="204" ht="12.75" customHeight="1">
      <c r="A204" s="1"/>
      <c r="F204" s="8"/>
      <c r="G204" s="8"/>
      <c r="J204" s="1"/>
      <c r="N204" s="1"/>
      <c r="O204" s="1"/>
      <c r="Q204" s="1"/>
      <c r="R204" s="1"/>
      <c r="S204" s="1"/>
      <c r="T204" s="1"/>
      <c r="U204" s="1"/>
      <c r="V204" s="1"/>
      <c r="W204" s="1"/>
      <c r="X204" s="1"/>
    </row>
    <row r="205" ht="12.75" customHeight="1">
      <c r="A205" s="1"/>
      <c r="F205" s="8"/>
      <c r="G205" s="8"/>
      <c r="J205" s="1"/>
      <c r="N205" s="1"/>
      <c r="O205" s="1"/>
      <c r="Q205" s="1"/>
      <c r="R205" s="1"/>
      <c r="S205" s="1"/>
      <c r="T205" s="1"/>
      <c r="U205" s="1"/>
      <c r="V205" s="1"/>
      <c r="W205" s="1"/>
      <c r="X205" s="1"/>
    </row>
    <row r="206" ht="12.75" customHeight="1">
      <c r="A206" s="1"/>
      <c r="F206" s="8"/>
      <c r="G206" s="8"/>
      <c r="J206" s="1"/>
      <c r="N206" s="1"/>
      <c r="O206" s="1"/>
      <c r="Q206" s="1"/>
      <c r="R206" s="1"/>
      <c r="S206" s="1"/>
      <c r="T206" s="1"/>
      <c r="U206" s="1"/>
      <c r="V206" s="1"/>
      <c r="W206" s="1"/>
      <c r="X206" s="1"/>
    </row>
    <row r="207" ht="12.75" customHeight="1">
      <c r="A207" s="1"/>
      <c r="F207" s="8"/>
      <c r="G207" s="8"/>
      <c r="J207" s="1"/>
      <c r="N207" s="1"/>
      <c r="O207" s="1"/>
      <c r="Q207" s="1"/>
      <c r="R207" s="1"/>
      <c r="S207" s="1"/>
      <c r="T207" s="1"/>
      <c r="U207" s="1"/>
      <c r="V207" s="1"/>
      <c r="W207" s="1"/>
      <c r="X207" s="1"/>
    </row>
    <row r="208" ht="12.75" customHeight="1">
      <c r="A208" s="1"/>
      <c r="F208" s="8"/>
      <c r="G208" s="8"/>
      <c r="J208" s="1"/>
      <c r="N208" s="1"/>
      <c r="O208" s="1"/>
      <c r="Q208" s="1"/>
      <c r="R208" s="1"/>
      <c r="S208" s="1"/>
      <c r="T208" s="1"/>
      <c r="U208" s="1"/>
      <c r="V208" s="1"/>
      <c r="W208" s="1"/>
      <c r="X208" s="1"/>
    </row>
    <row r="209" ht="12.75" customHeight="1">
      <c r="A209" s="1"/>
      <c r="F209" s="8"/>
      <c r="G209" s="8"/>
      <c r="J209" s="1"/>
      <c r="N209" s="1"/>
      <c r="O209" s="1"/>
      <c r="Q209" s="1"/>
      <c r="R209" s="1"/>
      <c r="S209" s="1"/>
      <c r="T209" s="1"/>
      <c r="U209" s="1"/>
      <c r="V209" s="1"/>
      <c r="W209" s="1"/>
      <c r="X209" s="1"/>
    </row>
    <row r="210" ht="12.75" customHeight="1">
      <c r="A210" s="1"/>
      <c r="F210" s="8"/>
      <c r="G210" s="8"/>
      <c r="J210" s="1"/>
      <c r="N210" s="1"/>
      <c r="O210" s="1"/>
      <c r="Q210" s="1"/>
      <c r="R210" s="1"/>
      <c r="S210" s="1"/>
      <c r="T210" s="1"/>
      <c r="U210" s="1"/>
      <c r="V210" s="1"/>
      <c r="W210" s="1"/>
      <c r="X210" s="1"/>
    </row>
    <row r="211" ht="12.75" customHeight="1">
      <c r="A211" s="1"/>
      <c r="F211" s="8"/>
      <c r="G211" s="8"/>
      <c r="J211" s="1"/>
      <c r="N211" s="1"/>
      <c r="O211" s="1"/>
      <c r="Q211" s="1"/>
      <c r="R211" s="1"/>
      <c r="S211" s="1"/>
      <c r="T211" s="1"/>
      <c r="U211" s="1"/>
      <c r="V211" s="1"/>
      <c r="W211" s="1"/>
      <c r="X211" s="1"/>
    </row>
    <row r="212" ht="12.75" customHeight="1">
      <c r="A212" s="1"/>
      <c r="F212" s="8"/>
      <c r="G212" s="8"/>
      <c r="J212" s="1"/>
      <c r="N212" s="1"/>
      <c r="O212" s="1"/>
      <c r="Q212" s="1"/>
      <c r="R212" s="1"/>
      <c r="S212" s="1"/>
      <c r="T212" s="1"/>
      <c r="U212" s="1"/>
      <c r="V212" s="1"/>
      <c r="W212" s="1"/>
      <c r="X212" s="1"/>
    </row>
    <row r="213" ht="12.75" customHeight="1">
      <c r="A213" s="1"/>
      <c r="F213" s="8"/>
      <c r="G213" s="8"/>
      <c r="J213" s="1"/>
      <c r="N213" s="1"/>
      <c r="O213" s="1"/>
      <c r="Q213" s="1"/>
      <c r="R213" s="1"/>
      <c r="S213" s="1"/>
      <c r="T213" s="1"/>
      <c r="U213" s="1"/>
      <c r="V213" s="1"/>
      <c r="W213" s="1"/>
      <c r="X213" s="1"/>
    </row>
    <row r="214" ht="12.75" customHeight="1">
      <c r="A214" s="1"/>
      <c r="F214" s="8"/>
      <c r="G214" s="8"/>
      <c r="J214" s="1"/>
      <c r="N214" s="1"/>
      <c r="O214" s="1"/>
      <c r="Q214" s="1"/>
      <c r="R214" s="1"/>
      <c r="S214" s="1"/>
      <c r="T214" s="1"/>
      <c r="U214" s="1"/>
      <c r="V214" s="1"/>
      <c r="W214" s="1"/>
      <c r="X214" s="1"/>
    </row>
    <row r="215" ht="12.75" customHeight="1">
      <c r="A215" s="1"/>
      <c r="F215" s="8"/>
      <c r="G215" s="8"/>
      <c r="J215" s="1"/>
      <c r="N215" s="1"/>
      <c r="O215" s="1"/>
      <c r="Q215" s="1"/>
      <c r="R215" s="1"/>
      <c r="S215" s="1"/>
      <c r="T215" s="1"/>
      <c r="U215" s="1"/>
      <c r="V215" s="1"/>
      <c r="W215" s="1"/>
      <c r="X215" s="1"/>
    </row>
    <row r="216" ht="12.75" customHeight="1">
      <c r="A216" s="1"/>
      <c r="F216" s="8"/>
      <c r="G216" s="8"/>
      <c r="J216" s="1"/>
      <c r="N216" s="1"/>
      <c r="O216" s="1"/>
      <c r="Q216" s="1"/>
      <c r="R216" s="1"/>
      <c r="S216" s="1"/>
      <c r="T216" s="1"/>
      <c r="U216" s="1"/>
      <c r="V216" s="1"/>
      <c r="W216" s="1"/>
      <c r="X216" s="1"/>
    </row>
    <row r="217" ht="12.75" customHeight="1">
      <c r="A217" s="1"/>
      <c r="F217" s="8"/>
      <c r="G217" s="8"/>
      <c r="J217" s="1"/>
      <c r="N217" s="1"/>
      <c r="O217" s="1"/>
      <c r="Q217" s="1"/>
      <c r="R217" s="1"/>
      <c r="S217" s="1"/>
      <c r="T217" s="1"/>
      <c r="U217" s="1"/>
      <c r="V217" s="1"/>
      <c r="W217" s="1"/>
      <c r="X217" s="1"/>
    </row>
    <row r="218" ht="12.75" customHeight="1">
      <c r="A218" s="1"/>
      <c r="F218" s="8"/>
      <c r="G218" s="8"/>
      <c r="J218" s="1"/>
      <c r="N218" s="1"/>
      <c r="O218" s="1"/>
      <c r="Q218" s="1"/>
      <c r="R218" s="1"/>
      <c r="S218" s="1"/>
      <c r="T218" s="1"/>
      <c r="U218" s="1"/>
      <c r="V218" s="1"/>
      <c r="W218" s="1"/>
      <c r="X218" s="1"/>
    </row>
    <row r="219" ht="12.75" customHeight="1">
      <c r="A219" s="1"/>
      <c r="F219" s="8"/>
      <c r="G219" s="8"/>
      <c r="J219" s="1"/>
      <c r="N219" s="1"/>
      <c r="O219" s="1"/>
      <c r="Q219" s="1"/>
      <c r="R219" s="1"/>
      <c r="S219" s="1"/>
      <c r="T219" s="1"/>
      <c r="U219" s="1"/>
      <c r="V219" s="1"/>
      <c r="W219" s="1"/>
      <c r="X219" s="1"/>
    </row>
    <row r="220" ht="12.75" customHeight="1">
      <c r="A220" s="1"/>
      <c r="F220" s="8"/>
      <c r="G220" s="8"/>
      <c r="J220" s="1"/>
      <c r="N220" s="1"/>
      <c r="O220" s="1"/>
      <c r="Q220" s="1"/>
      <c r="R220" s="1"/>
      <c r="S220" s="1"/>
      <c r="T220" s="1"/>
      <c r="U220" s="1"/>
      <c r="V220" s="1"/>
      <c r="W220" s="1"/>
      <c r="X220" s="1"/>
    </row>
    <row r="221" ht="12.75" customHeight="1">
      <c r="A221" s="1"/>
      <c r="F221" s="8"/>
      <c r="G221" s="8"/>
      <c r="J221" s="1"/>
      <c r="N221" s="1"/>
      <c r="O221" s="1"/>
      <c r="Q221" s="1"/>
      <c r="R221" s="1"/>
      <c r="S221" s="1"/>
      <c r="T221" s="1"/>
      <c r="U221" s="1"/>
      <c r="V221" s="1"/>
      <c r="W221" s="1"/>
      <c r="X221" s="1"/>
    </row>
    <row r="222" ht="12.75" customHeight="1">
      <c r="A222" s="1"/>
      <c r="F222" s="8"/>
      <c r="G222" s="8"/>
      <c r="J222" s="1"/>
      <c r="N222" s="1"/>
      <c r="O222" s="1"/>
      <c r="Q222" s="1"/>
      <c r="R222" s="1"/>
      <c r="S222" s="1"/>
      <c r="T222" s="1"/>
      <c r="U222" s="1"/>
      <c r="V222" s="1"/>
      <c r="W222" s="1"/>
      <c r="X222" s="1"/>
    </row>
    <row r="223" ht="12.75" customHeight="1">
      <c r="A223" s="1"/>
      <c r="F223" s="8"/>
      <c r="G223" s="8"/>
      <c r="J223" s="1"/>
      <c r="N223" s="1"/>
      <c r="O223" s="1"/>
      <c r="Q223" s="1"/>
      <c r="R223" s="1"/>
      <c r="S223" s="1"/>
      <c r="T223" s="1"/>
      <c r="U223" s="1"/>
      <c r="V223" s="1"/>
      <c r="W223" s="1"/>
      <c r="X223" s="1"/>
    </row>
    <row r="224" ht="12.75" customHeight="1">
      <c r="A224" s="1"/>
      <c r="F224" s="8"/>
      <c r="G224" s="8"/>
      <c r="J224" s="1"/>
      <c r="N224" s="1"/>
      <c r="O224" s="1"/>
      <c r="Q224" s="1"/>
      <c r="R224" s="1"/>
      <c r="S224" s="1"/>
      <c r="T224" s="1"/>
      <c r="U224" s="1"/>
      <c r="V224" s="1"/>
      <c r="W224" s="1"/>
      <c r="X224" s="1"/>
    </row>
    <row r="225" ht="12.75" customHeight="1">
      <c r="A225" s="1"/>
      <c r="F225" s="8"/>
      <c r="G225" s="8"/>
      <c r="J225" s="1"/>
      <c r="N225" s="1"/>
      <c r="O225" s="1"/>
      <c r="Q225" s="1"/>
      <c r="R225" s="1"/>
      <c r="S225" s="1"/>
      <c r="T225" s="1"/>
      <c r="U225" s="1"/>
      <c r="V225" s="1"/>
      <c r="W225" s="1"/>
      <c r="X225" s="1"/>
    </row>
    <row r="226" ht="12.75" customHeight="1">
      <c r="A226" s="1"/>
      <c r="F226" s="8"/>
      <c r="G226" s="8"/>
      <c r="J226" s="1"/>
      <c r="N226" s="1"/>
      <c r="O226" s="1"/>
      <c r="Q226" s="1"/>
      <c r="R226" s="1"/>
      <c r="S226" s="1"/>
      <c r="T226" s="1"/>
      <c r="U226" s="1"/>
      <c r="V226" s="1"/>
      <c r="W226" s="1"/>
      <c r="X226" s="1"/>
    </row>
    <row r="227" ht="12.75" customHeight="1">
      <c r="A227" s="1"/>
      <c r="F227" s="8"/>
      <c r="G227" s="8"/>
      <c r="J227" s="1"/>
      <c r="N227" s="1"/>
      <c r="O227" s="1"/>
      <c r="Q227" s="1"/>
      <c r="R227" s="1"/>
      <c r="S227" s="1"/>
      <c r="T227" s="1"/>
      <c r="U227" s="1"/>
      <c r="V227" s="1"/>
      <c r="W227" s="1"/>
      <c r="X227" s="1"/>
    </row>
    <row r="228" ht="12.75" customHeight="1">
      <c r="A228" s="1"/>
      <c r="F228" s="8"/>
      <c r="G228" s="8"/>
      <c r="J228" s="1"/>
      <c r="N228" s="1"/>
      <c r="O228" s="1"/>
      <c r="Q228" s="1"/>
      <c r="R228" s="1"/>
      <c r="S228" s="1"/>
      <c r="T228" s="1"/>
      <c r="U228" s="1"/>
      <c r="V228" s="1"/>
      <c r="W228" s="1"/>
      <c r="X228" s="1"/>
    </row>
    <row r="229" ht="12.75" customHeight="1">
      <c r="A229" s="1"/>
      <c r="F229" s="8"/>
      <c r="G229" s="8"/>
      <c r="J229" s="1"/>
      <c r="N229" s="1"/>
      <c r="O229" s="1"/>
      <c r="Q229" s="1"/>
      <c r="R229" s="1"/>
      <c r="S229" s="1"/>
      <c r="T229" s="1"/>
      <c r="U229" s="1"/>
      <c r="V229" s="1"/>
      <c r="W229" s="1"/>
      <c r="X229" s="1"/>
    </row>
    <row r="230" ht="12.75" customHeight="1">
      <c r="A230" s="1"/>
      <c r="F230" s="8"/>
      <c r="G230" s="8"/>
      <c r="J230" s="1"/>
      <c r="N230" s="1"/>
      <c r="O230" s="1"/>
      <c r="Q230" s="1"/>
      <c r="R230" s="1"/>
      <c r="S230" s="1"/>
      <c r="T230" s="1"/>
      <c r="U230" s="1"/>
      <c r="V230" s="1"/>
      <c r="W230" s="1"/>
      <c r="X230" s="1"/>
    </row>
    <row r="231" ht="12.75" customHeight="1">
      <c r="A231" s="1"/>
      <c r="F231" s="8"/>
      <c r="G231" s="8"/>
      <c r="J231" s="1"/>
      <c r="N231" s="1"/>
      <c r="O231" s="1"/>
      <c r="Q231" s="1"/>
      <c r="R231" s="1"/>
      <c r="S231" s="1"/>
      <c r="T231" s="1"/>
      <c r="U231" s="1"/>
      <c r="V231" s="1"/>
      <c r="W231" s="1"/>
      <c r="X231" s="1"/>
    </row>
    <row r="232" ht="12.75" customHeight="1">
      <c r="A232" s="1"/>
      <c r="F232" s="8"/>
      <c r="G232" s="8"/>
      <c r="J232" s="1"/>
      <c r="N232" s="1"/>
      <c r="O232" s="1"/>
      <c r="Q232" s="1"/>
      <c r="R232" s="1"/>
      <c r="S232" s="1"/>
      <c r="T232" s="1"/>
      <c r="U232" s="1"/>
      <c r="V232" s="1"/>
      <c r="W232" s="1"/>
      <c r="X232" s="1"/>
    </row>
    <row r="233" ht="12.75" customHeight="1">
      <c r="A233" s="1"/>
      <c r="F233" s="8"/>
      <c r="G233" s="8"/>
      <c r="J233" s="1"/>
      <c r="N233" s="1"/>
      <c r="O233" s="1"/>
      <c r="Q233" s="1"/>
      <c r="R233" s="1"/>
      <c r="S233" s="1"/>
      <c r="T233" s="1"/>
      <c r="U233" s="1"/>
      <c r="V233" s="1"/>
      <c r="W233" s="1"/>
      <c r="X233" s="1"/>
    </row>
    <row r="234" ht="12.75" customHeight="1">
      <c r="A234" s="1"/>
      <c r="F234" s="8"/>
      <c r="G234" s="8"/>
      <c r="J234" s="1"/>
      <c r="N234" s="1"/>
      <c r="O234" s="1"/>
      <c r="Q234" s="1"/>
      <c r="R234" s="1"/>
      <c r="S234" s="1"/>
      <c r="T234" s="1"/>
      <c r="U234" s="1"/>
      <c r="V234" s="1"/>
      <c r="W234" s="1"/>
      <c r="X234" s="1"/>
    </row>
    <row r="235" ht="12.75" customHeight="1">
      <c r="A235" s="1"/>
      <c r="F235" s="8"/>
      <c r="G235" s="8"/>
      <c r="J235" s="1"/>
      <c r="N235" s="1"/>
      <c r="O235" s="1"/>
      <c r="Q235" s="1"/>
      <c r="R235" s="1"/>
      <c r="S235" s="1"/>
      <c r="T235" s="1"/>
      <c r="U235" s="1"/>
      <c r="V235" s="1"/>
      <c r="W235" s="1"/>
      <c r="X235" s="1"/>
    </row>
    <row r="236" ht="12.75" customHeight="1">
      <c r="A236" s="1"/>
      <c r="F236" s="8"/>
      <c r="G236" s="8"/>
      <c r="J236" s="1"/>
      <c r="N236" s="1"/>
      <c r="O236" s="1"/>
      <c r="Q236" s="1"/>
      <c r="R236" s="1"/>
      <c r="S236" s="1"/>
      <c r="T236" s="1"/>
      <c r="U236" s="1"/>
      <c r="V236" s="1"/>
      <c r="W236" s="1"/>
      <c r="X236" s="1"/>
    </row>
    <row r="237" ht="12.75" customHeight="1">
      <c r="A237" s="1"/>
      <c r="F237" s="8"/>
      <c r="G237" s="8"/>
      <c r="J237" s="1"/>
      <c r="N237" s="1"/>
      <c r="O237" s="1"/>
      <c r="Q237" s="1"/>
      <c r="R237" s="1"/>
      <c r="S237" s="1"/>
      <c r="T237" s="1"/>
      <c r="U237" s="1"/>
      <c r="V237" s="1"/>
      <c r="W237" s="1"/>
      <c r="X237" s="1"/>
    </row>
    <row r="238" ht="12.75" customHeight="1">
      <c r="A238" s="1"/>
      <c r="F238" s="8"/>
      <c r="G238" s="8"/>
      <c r="J238" s="1"/>
      <c r="N238" s="1"/>
      <c r="O238" s="1"/>
      <c r="Q238" s="1"/>
      <c r="R238" s="1"/>
      <c r="S238" s="1"/>
      <c r="T238" s="1"/>
      <c r="U238" s="1"/>
      <c r="V238" s="1"/>
      <c r="W238" s="1"/>
      <c r="X238" s="1"/>
    </row>
    <row r="239" ht="12.75" customHeight="1">
      <c r="A239" s="1"/>
      <c r="F239" s="8"/>
      <c r="G239" s="8"/>
      <c r="J239" s="1"/>
      <c r="N239" s="1"/>
      <c r="O239" s="1"/>
      <c r="Q239" s="1"/>
      <c r="R239" s="1"/>
      <c r="S239" s="1"/>
      <c r="T239" s="1"/>
      <c r="U239" s="1"/>
      <c r="V239" s="1"/>
      <c r="W239" s="1"/>
      <c r="X239" s="1"/>
    </row>
    <row r="240" ht="12.75" customHeight="1">
      <c r="A240" s="1"/>
      <c r="F240" s="8"/>
      <c r="G240" s="8"/>
      <c r="J240" s="1"/>
      <c r="N240" s="1"/>
      <c r="O240" s="1"/>
      <c r="Q240" s="1"/>
      <c r="R240" s="1"/>
      <c r="S240" s="1"/>
      <c r="T240" s="1"/>
      <c r="U240" s="1"/>
      <c r="V240" s="1"/>
      <c r="W240" s="1"/>
      <c r="X240" s="1"/>
    </row>
    <row r="241" ht="12.75" customHeight="1">
      <c r="A241" s="1"/>
      <c r="F241" s="8"/>
      <c r="G241" s="8"/>
      <c r="J241" s="1"/>
      <c r="N241" s="1"/>
      <c r="O241" s="1"/>
      <c r="Q241" s="1"/>
      <c r="R241" s="1"/>
      <c r="S241" s="1"/>
      <c r="T241" s="1"/>
      <c r="U241" s="1"/>
      <c r="V241" s="1"/>
      <c r="W241" s="1"/>
      <c r="X241" s="1"/>
    </row>
    <row r="242" ht="12.75" customHeight="1">
      <c r="A242" s="1"/>
      <c r="F242" s="8"/>
      <c r="G242" s="8"/>
      <c r="J242" s="1"/>
      <c r="N242" s="1"/>
      <c r="O242" s="1"/>
      <c r="Q242" s="1"/>
      <c r="R242" s="1"/>
      <c r="S242" s="1"/>
      <c r="T242" s="1"/>
      <c r="U242" s="1"/>
      <c r="V242" s="1"/>
      <c r="W242" s="1"/>
      <c r="X242" s="1"/>
    </row>
    <row r="243" ht="12.75" customHeight="1">
      <c r="A243" s="1"/>
      <c r="F243" s="8"/>
      <c r="G243" s="8"/>
      <c r="J243" s="1"/>
      <c r="N243" s="1"/>
      <c r="O243" s="1"/>
      <c r="Q243" s="1"/>
      <c r="R243" s="1"/>
      <c r="S243" s="1"/>
      <c r="T243" s="1"/>
      <c r="U243" s="1"/>
      <c r="V243" s="1"/>
      <c r="W243" s="1"/>
      <c r="X243" s="1"/>
    </row>
    <row r="244" ht="12.75" customHeight="1">
      <c r="A244" s="1"/>
      <c r="F244" s="8"/>
      <c r="G244" s="8"/>
      <c r="J244" s="1"/>
      <c r="N244" s="1"/>
      <c r="O244" s="1"/>
      <c r="Q244" s="1"/>
      <c r="R244" s="1"/>
      <c r="S244" s="1"/>
      <c r="T244" s="1"/>
      <c r="U244" s="1"/>
      <c r="V244" s="1"/>
      <c r="W244" s="1"/>
      <c r="X244" s="1"/>
    </row>
    <row r="245" ht="12.75" customHeight="1">
      <c r="A245" s="1"/>
      <c r="F245" s="8"/>
      <c r="G245" s="8"/>
      <c r="J245" s="1"/>
      <c r="N245" s="1"/>
      <c r="O245" s="1"/>
      <c r="Q245" s="1"/>
      <c r="R245" s="1"/>
      <c r="S245" s="1"/>
      <c r="T245" s="1"/>
      <c r="U245" s="1"/>
      <c r="V245" s="1"/>
      <c r="W245" s="1"/>
      <c r="X245" s="1"/>
    </row>
    <row r="246" ht="12.75" customHeight="1">
      <c r="A246" s="1"/>
      <c r="F246" s="8"/>
      <c r="G246" s="8"/>
      <c r="J246" s="1"/>
      <c r="N246" s="1"/>
      <c r="O246" s="1"/>
      <c r="Q246" s="1"/>
      <c r="R246" s="1"/>
      <c r="S246" s="1"/>
      <c r="T246" s="1"/>
      <c r="U246" s="1"/>
      <c r="V246" s="1"/>
      <c r="W246" s="1"/>
      <c r="X246" s="1"/>
    </row>
    <row r="247" ht="12.75" customHeight="1">
      <c r="A247" s="1"/>
      <c r="F247" s="8"/>
      <c r="G247" s="8"/>
      <c r="J247" s="1"/>
      <c r="N247" s="1"/>
      <c r="O247" s="1"/>
      <c r="Q247" s="1"/>
      <c r="R247" s="1"/>
      <c r="S247" s="1"/>
      <c r="T247" s="1"/>
      <c r="U247" s="1"/>
      <c r="V247" s="1"/>
      <c r="W247" s="1"/>
      <c r="X247" s="1"/>
    </row>
    <row r="248" ht="12.75" customHeight="1">
      <c r="A248" s="1"/>
      <c r="F248" s="8"/>
      <c r="G248" s="8"/>
      <c r="J248" s="1"/>
      <c r="N248" s="1"/>
      <c r="O248" s="1"/>
      <c r="Q248" s="1"/>
      <c r="R248" s="1"/>
      <c r="S248" s="1"/>
      <c r="T248" s="1"/>
      <c r="U248" s="1"/>
      <c r="V248" s="1"/>
      <c r="W248" s="1"/>
      <c r="X248" s="1"/>
    </row>
    <row r="249" ht="12.75" customHeight="1">
      <c r="A249" s="1"/>
      <c r="F249" s="8"/>
      <c r="G249" s="8"/>
      <c r="J249" s="1"/>
      <c r="N249" s="1"/>
      <c r="O249" s="1"/>
      <c r="Q249" s="1"/>
      <c r="R249" s="1"/>
      <c r="S249" s="1"/>
      <c r="T249" s="1"/>
      <c r="U249" s="1"/>
      <c r="V249" s="1"/>
      <c r="W249" s="1"/>
      <c r="X249" s="1"/>
    </row>
    <row r="250" ht="12.75" customHeight="1">
      <c r="A250" s="1"/>
      <c r="F250" s="8"/>
      <c r="G250" s="8"/>
      <c r="J250" s="1"/>
      <c r="N250" s="1"/>
      <c r="O250" s="1"/>
      <c r="Q250" s="1"/>
      <c r="R250" s="1"/>
      <c r="S250" s="1"/>
      <c r="T250" s="1"/>
      <c r="U250" s="1"/>
      <c r="V250" s="1"/>
      <c r="W250" s="1"/>
      <c r="X250" s="1"/>
    </row>
    <row r="251" ht="12.75" customHeight="1">
      <c r="A251" s="1"/>
      <c r="F251" s="8"/>
      <c r="G251" s="8"/>
      <c r="J251" s="1"/>
      <c r="N251" s="1"/>
      <c r="O251" s="1"/>
      <c r="Q251" s="1"/>
      <c r="R251" s="1"/>
      <c r="S251" s="1"/>
      <c r="T251" s="1"/>
      <c r="U251" s="1"/>
      <c r="V251" s="1"/>
      <c r="W251" s="1"/>
      <c r="X251" s="1"/>
    </row>
    <row r="252" ht="12.75" customHeight="1">
      <c r="A252" s="1"/>
      <c r="F252" s="8"/>
      <c r="G252" s="8"/>
      <c r="J252" s="1"/>
      <c r="N252" s="1"/>
      <c r="O252" s="1"/>
      <c r="Q252" s="1"/>
      <c r="R252" s="1"/>
      <c r="S252" s="1"/>
      <c r="T252" s="1"/>
      <c r="U252" s="1"/>
      <c r="V252" s="1"/>
      <c r="W252" s="1"/>
      <c r="X252" s="1"/>
    </row>
    <row r="253" ht="12.75" customHeight="1">
      <c r="A253" s="1"/>
      <c r="F253" s="8"/>
      <c r="G253" s="8"/>
      <c r="J253" s="1"/>
      <c r="N253" s="1"/>
      <c r="O253" s="1"/>
      <c r="Q253" s="1"/>
      <c r="R253" s="1"/>
      <c r="S253" s="1"/>
      <c r="T253" s="1"/>
      <c r="U253" s="1"/>
      <c r="V253" s="1"/>
      <c r="W253" s="1"/>
      <c r="X253" s="1"/>
    </row>
    <row r="254" ht="12.75" customHeight="1">
      <c r="A254" s="1"/>
      <c r="F254" s="8"/>
      <c r="G254" s="8"/>
      <c r="J254" s="1"/>
      <c r="N254" s="1"/>
      <c r="O254" s="1"/>
      <c r="Q254" s="1"/>
      <c r="R254" s="1"/>
      <c r="S254" s="1"/>
      <c r="T254" s="1"/>
      <c r="U254" s="1"/>
      <c r="V254" s="1"/>
      <c r="W254" s="1"/>
      <c r="X254" s="1"/>
    </row>
    <row r="255" ht="12.75" customHeight="1">
      <c r="A255" s="1"/>
      <c r="F255" s="8"/>
      <c r="G255" s="8"/>
      <c r="J255" s="1"/>
      <c r="N255" s="1"/>
      <c r="O255" s="1"/>
      <c r="Q255" s="1"/>
      <c r="R255" s="1"/>
      <c r="S255" s="1"/>
      <c r="T255" s="1"/>
      <c r="U255" s="1"/>
      <c r="V255" s="1"/>
      <c r="W255" s="1"/>
      <c r="X255" s="1"/>
    </row>
    <row r="256" ht="12.75" customHeight="1">
      <c r="A256" s="1"/>
      <c r="F256" s="8"/>
      <c r="G256" s="8"/>
      <c r="J256" s="1"/>
      <c r="N256" s="1"/>
      <c r="O256" s="1"/>
      <c r="Q256" s="1"/>
      <c r="R256" s="1"/>
      <c r="S256" s="1"/>
      <c r="T256" s="1"/>
      <c r="U256" s="1"/>
      <c r="V256" s="1"/>
      <c r="W256" s="1"/>
      <c r="X256" s="1"/>
    </row>
    <row r="257" ht="12.75" customHeight="1">
      <c r="A257" s="1"/>
      <c r="F257" s="8"/>
      <c r="G257" s="8"/>
      <c r="J257" s="1"/>
      <c r="N257" s="1"/>
      <c r="O257" s="1"/>
      <c r="Q257" s="1"/>
      <c r="R257" s="1"/>
      <c r="S257" s="1"/>
      <c r="T257" s="1"/>
      <c r="U257" s="1"/>
      <c r="V257" s="1"/>
      <c r="W257" s="1"/>
      <c r="X257" s="1"/>
    </row>
    <row r="258" ht="12.75" customHeight="1">
      <c r="A258" s="1"/>
      <c r="F258" s="8"/>
      <c r="G258" s="8"/>
      <c r="J258" s="1"/>
      <c r="N258" s="1"/>
      <c r="O258" s="1"/>
      <c r="Q258" s="1"/>
      <c r="R258" s="1"/>
      <c r="S258" s="1"/>
      <c r="T258" s="1"/>
      <c r="U258" s="1"/>
      <c r="V258" s="1"/>
      <c r="W258" s="1"/>
      <c r="X258" s="1"/>
    </row>
    <row r="259" ht="12.75" customHeight="1">
      <c r="A259" s="1"/>
      <c r="F259" s="8"/>
      <c r="G259" s="8"/>
      <c r="J259" s="1"/>
      <c r="N259" s="1"/>
      <c r="O259" s="1"/>
      <c r="Q259" s="1"/>
      <c r="R259" s="1"/>
      <c r="S259" s="1"/>
      <c r="T259" s="1"/>
      <c r="U259" s="1"/>
      <c r="V259" s="1"/>
      <c r="W259" s="1"/>
      <c r="X259" s="1"/>
    </row>
    <row r="260" ht="12.75" customHeight="1">
      <c r="A260" s="1"/>
      <c r="F260" s="8"/>
      <c r="G260" s="8"/>
      <c r="J260" s="1"/>
      <c r="N260" s="1"/>
      <c r="O260" s="1"/>
      <c r="Q260" s="1"/>
      <c r="R260" s="1"/>
      <c r="S260" s="1"/>
      <c r="T260" s="1"/>
      <c r="U260" s="1"/>
      <c r="V260" s="1"/>
      <c r="W260" s="1"/>
      <c r="X260" s="1"/>
    </row>
    <row r="261" ht="12.75" customHeight="1">
      <c r="A261" s="1"/>
      <c r="F261" s="8"/>
      <c r="G261" s="8"/>
      <c r="J261" s="1"/>
      <c r="N261" s="1"/>
      <c r="O261" s="1"/>
      <c r="Q261" s="1"/>
      <c r="R261" s="1"/>
      <c r="S261" s="1"/>
      <c r="T261" s="1"/>
      <c r="U261" s="1"/>
      <c r="V261" s="1"/>
      <c r="W261" s="1"/>
      <c r="X261" s="1"/>
    </row>
    <row r="262" ht="12.75" customHeight="1">
      <c r="A262" s="1"/>
      <c r="F262" s="8"/>
      <c r="G262" s="8"/>
      <c r="J262" s="1"/>
      <c r="N262" s="1"/>
      <c r="O262" s="1"/>
      <c r="Q262" s="1"/>
      <c r="R262" s="1"/>
      <c r="S262" s="1"/>
      <c r="T262" s="1"/>
      <c r="U262" s="1"/>
      <c r="V262" s="1"/>
      <c r="W262" s="1"/>
      <c r="X262" s="1"/>
    </row>
    <row r="263" ht="12.75" customHeight="1">
      <c r="A263" s="1"/>
      <c r="F263" s="8"/>
      <c r="G263" s="8"/>
      <c r="J263" s="1"/>
      <c r="N263" s="1"/>
      <c r="O263" s="1"/>
      <c r="Q263" s="1"/>
      <c r="R263" s="1"/>
      <c r="S263" s="1"/>
      <c r="T263" s="1"/>
      <c r="U263" s="1"/>
      <c r="V263" s="1"/>
      <c r="W263" s="1"/>
      <c r="X263" s="1"/>
    </row>
    <row r="264" ht="12.75" customHeight="1">
      <c r="A264" s="1"/>
      <c r="F264" s="8"/>
      <c r="G264" s="8"/>
      <c r="J264" s="1"/>
      <c r="N264" s="1"/>
      <c r="O264" s="1"/>
      <c r="Q264" s="1"/>
      <c r="R264" s="1"/>
      <c r="S264" s="1"/>
      <c r="T264" s="1"/>
      <c r="U264" s="1"/>
      <c r="V264" s="1"/>
      <c r="W264" s="1"/>
      <c r="X264" s="1"/>
    </row>
    <row r="265" ht="12.75" customHeight="1">
      <c r="A265" s="1"/>
      <c r="F265" s="8"/>
      <c r="G265" s="8"/>
      <c r="J265" s="1"/>
      <c r="N265" s="1"/>
      <c r="O265" s="1"/>
      <c r="Q265" s="1"/>
      <c r="R265" s="1"/>
      <c r="S265" s="1"/>
      <c r="T265" s="1"/>
      <c r="U265" s="1"/>
      <c r="V265" s="1"/>
      <c r="W265" s="1"/>
      <c r="X265" s="1"/>
    </row>
    <row r="266" ht="12.75" customHeight="1">
      <c r="A266" s="1"/>
      <c r="F266" s="8"/>
      <c r="G266" s="8"/>
      <c r="J266" s="1"/>
      <c r="N266" s="1"/>
      <c r="O266" s="1"/>
      <c r="Q266" s="1"/>
      <c r="R266" s="1"/>
      <c r="S266" s="1"/>
      <c r="T266" s="1"/>
      <c r="U266" s="1"/>
      <c r="V266" s="1"/>
      <c r="W266" s="1"/>
      <c r="X266" s="1"/>
    </row>
    <row r="267" ht="12.75" customHeight="1">
      <c r="A267" s="1"/>
      <c r="F267" s="8"/>
      <c r="G267" s="8"/>
      <c r="J267" s="1"/>
      <c r="N267" s="1"/>
      <c r="O267" s="1"/>
      <c r="Q267" s="1"/>
      <c r="R267" s="1"/>
      <c r="S267" s="1"/>
      <c r="T267" s="1"/>
      <c r="U267" s="1"/>
      <c r="V267" s="1"/>
      <c r="W267" s="1"/>
      <c r="X267" s="1"/>
    </row>
    <row r="268" ht="12.75" customHeight="1">
      <c r="A268" s="1"/>
      <c r="F268" s="8"/>
      <c r="G268" s="8"/>
      <c r="J268" s="1"/>
      <c r="N268" s="1"/>
      <c r="O268" s="1"/>
      <c r="Q268" s="1"/>
      <c r="R268" s="1"/>
      <c r="S268" s="1"/>
      <c r="T268" s="1"/>
      <c r="U268" s="1"/>
      <c r="V268" s="1"/>
      <c r="W268" s="1"/>
      <c r="X268" s="1"/>
    </row>
    <row r="269" ht="12.75" customHeight="1">
      <c r="A269" s="1"/>
      <c r="F269" s="8"/>
      <c r="G269" s="8"/>
      <c r="J269" s="1"/>
      <c r="N269" s="1"/>
      <c r="O269" s="1"/>
      <c r="Q269" s="1"/>
      <c r="R269" s="1"/>
      <c r="S269" s="1"/>
      <c r="T269" s="1"/>
      <c r="U269" s="1"/>
      <c r="V269" s="1"/>
      <c r="W269" s="1"/>
      <c r="X269" s="1"/>
    </row>
    <row r="270" ht="12.75" customHeight="1">
      <c r="A270" s="1"/>
      <c r="F270" s="8"/>
      <c r="G270" s="8"/>
      <c r="J270" s="1"/>
      <c r="N270" s="1"/>
      <c r="O270" s="1"/>
      <c r="Q270" s="1"/>
      <c r="R270" s="1"/>
      <c r="S270" s="1"/>
      <c r="T270" s="1"/>
      <c r="U270" s="1"/>
      <c r="V270" s="1"/>
      <c r="W270" s="1"/>
      <c r="X270" s="1"/>
    </row>
    <row r="271" ht="12.75" customHeight="1">
      <c r="A271" s="1"/>
      <c r="F271" s="8"/>
      <c r="G271" s="8"/>
      <c r="J271" s="1"/>
      <c r="N271" s="1"/>
      <c r="O271" s="1"/>
      <c r="Q271" s="1"/>
      <c r="R271" s="1"/>
      <c r="S271" s="1"/>
      <c r="T271" s="1"/>
      <c r="U271" s="1"/>
      <c r="V271" s="1"/>
      <c r="W271" s="1"/>
      <c r="X271" s="1"/>
    </row>
    <row r="272" ht="12.75" customHeight="1">
      <c r="A272" s="1"/>
      <c r="F272" s="8"/>
      <c r="G272" s="8"/>
      <c r="J272" s="1"/>
      <c r="N272" s="1"/>
      <c r="O272" s="1"/>
      <c r="Q272" s="1"/>
      <c r="R272" s="1"/>
      <c r="S272" s="1"/>
      <c r="T272" s="1"/>
      <c r="U272" s="1"/>
      <c r="V272" s="1"/>
      <c r="W272" s="1"/>
      <c r="X272" s="1"/>
    </row>
    <row r="273" ht="12.75" customHeight="1">
      <c r="A273" s="1"/>
      <c r="F273" s="8"/>
      <c r="G273" s="8"/>
      <c r="J273" s="1"/>
      <c r="N273" s="1"/>
      <c r="O273" s="1"/>
      <c r="Q273" s="1"/>
      <c r="R273" s="1"/>
      <c r="S273" s="1"/>
      <c r="T273" s="1"/>
      <c r="U273" s="1"/>
      <c r="V273" s="1"/>
      <c r="W273" s="1"/>
      <c r="X273" s="1"/>
    </row>
    <row r="274" ht="12.75" customHeight="1">
      <c r="A274" s="1"/>
      <c r="F274" s="8"/>
      <c r="G274" s="8"/>
      <c r="J274" s="1"/>
      <c r="N274" s="1"/>
      <c r="O274" s="1"/>
      <c r="Q274" s="1"/>
      <c r="R274" s="1"/>
      <c r="S274" s="1"/>
      <c r="T274" s="1"/>
      <c r="U274" s="1"/>
      <c r="V274" s="1"/>
      <c r="W274" s="1"/>
      <c r="X274" s="1"/>
    </row>
    <row r="275" ht="12.75" customHeight="1">
      <c r="A275" s="1"/>
      <c r="F275" s="8"/>
      <c r="G275" s="8"/>
      <c r="J275" s="1"/>
      <c r="N275" s="1"/>
      <c r="O275" s="1"/>
      <c r="Q275" s="1"/>
      <c r="R275" s="1"/>
      <c r="S275" s="1"/>
      <c r="T275" s="1"/>
      <c r="U275" s="1"/>
      <c r="V275" s="1"/>
      <c r="W275" s="1"/>
      <c r="X275" s="1"/>
    </row>
    <row r="276" ht="12.75" customHeight="1">
      <c r="A276" s="1"/>
      <c r="F276" s="8"/>
      <c r="G276" s="8"/>
      <c r="J276" s="1"/>
      <c r="N276" s="1"/>
      <c r="O276" s="1"/>
      <c r="Q276" s="1"/>
      <c r="R276" s="1"/>
      <c r="S276" s="1"/>
      <c r="T276" s="1"/>
      <c r="U276" s="1"/>
      <c r="V276" s="1"/>
      <c r="W276" s="1"/>
      <c r="X276" s="1"/>
    </row>
    <row r="277" ht="12.75" customHeight="1">
      <c r="A277" s="1"/>
      <c r="F277" s="8"/>
      <c r="G277" s="8"/>
      <c r="J277" s="1"/>
      <c r="N277" s="1"/>
      <c r="O277" s="1"/>
      <c r="Q277" s="1"/>
      <c r="R277" s="1"/>
      <c r="S277" s="1"/>
      <c r="T277" s="1"/>
      <c r="U277" s="1"/>
      <c r="V277" s="1"/>
      <c r="W277" s="1"/>
      <c r="X277" s="1"/>
    </row>
    <row r="278" ht="12.75" customHeight="1">
      <c r="A278" s="1"/>
      <c r="F278" s="8"/>
      <c r="G278" s="8"/>
      <c r="J278" s="1"/>
      <c r="N278" s="1"/>
      <c r="O278" s="1"/>
      <c r="Q278" s="1"/>
      <c r="R278" s="1"/>
      <c r="S278" s="1"/>
      <c r="T278" s="1"/>
      <c r="U278" s="1"/>
      <c r="V278" s="1"/>
      <c r="W278" s="1"/>
      <c r="X278" s="1"/>
    </row>
    <row r="279" ht="12.75" customHeight="1">
      <c r="A279" s="1"/>
      <c r="F279" s="8"/>
      <c r="G279" s="8"/>
      <c r="J279" s="1"/>
      <c r="N279" s="1"/>
      <c r="O279" s="1"/>
      <c r="Q279" s="1"/>
      <c r="R279" s="1"/>
      <c r="S279" s="1"/>
      <c r="T279" s="1"/>
      <c r="U279" s="1"/>
      <c r="V279" s="1"/>
      <c r="W279" s="1"/>
      <c r="X279" s="1"/>
    </row>
    <row r="280" ht="12.75" customHeight="1">
      <c r="A280" s="1"/>
      <c r="F280" s="8"/>
      <c r="G280" s="8"/>
      <c r="J280" s="1"/>
      <c r="N280" s="1"/>
      <c r="O280" s="1"/>
      <c r="Q280" s="1"/>
      <c r="R280" s="1"/>
      <c r="S280" s="1"/>
      <c r="T280" s="1"/>
      <c r="U280" s="1"/>
      <c r="V280" s="1"/>
      <c r="W280" s="1"/>
      <c r="X280" s="1"/>
    </row>
    <row r="281" ht="12.75" customHeight="1">
      <c r="A281" s="1"/>
      <c r="F281" s="8"/>
      <c r="G281" s="8"/>
      <c r="J281" s="1"/>
      <c r="N281" s="1"/>
      <c r="O281" s="1"/>
      <c r="Q281" s="1"/>
      <c r="R281" s="1"/>
      <c r="S281" s="1"/>
      <c r="T281" s="1"/>
      <c r="U281" s="1"/>
      <c r="V281" s="1"/>
      <c r="W281" s="1"/>
      <c r="X281" s="1"/>
    </row>
    <row r="282" ht="12.75" customHeight="1">
      <c r="A282" s="1"/>
      <c r="F282" s="8"/>
      <c r="G282" s="8"/>
      <c r="J282" s="1"/>
      <c r="N282" s="1"/>
      <c r="O282" s="1"/>
      <c r="Q282" s="1"/>
      <c r="R282" s="1"/>
      <c r="S282" s="1"/>
      <c r="T282" s="1"/>
      <c r="U282" s="1"/>
      <c r="V282" s="1"/>
      <c r="W282" s="1"/>
      <c r="X282" s="1"/>
    </row>
    <row r="283" ht="12.75" customHeight="1">
      <c r="A283" s="1"/>
      <c r="F283" s="8"/>
      <c r="G283" s="8"/>
      <c r="J283" s="1"/>
      <c r="N283" s="1"/>
      <c r="O283" s="1"/>
      <c r="Q283" s="1"/>
      <c r="R283" s="1"/>
      <c r="S283" s="1"/>
      <c r="T283" s="1"/>
      <c r="U283" s="1"/>
      <c r="V283" s="1"/>
      <c r="W283" s="1"/>
      <c r="X283" s="1"/>
    </row>
    <row r="284" ht="12.75" customHeight="1">
      <c r="A284" s="1"/>
      <c r="F284" s="8"/>
      <c r="G284" s="8"/>
      <c r="J284" s="1"/>
      <c r="N284" s="1"/>
      <c r="O284" s="1"/>
      <c r="Q284" s="1"/>
      <c r="R284" s="1"/>
      <c r="S284" s="1"/>
      <c r="T284" s="1"/>
      <c r="U284" s="1"/>
      <c r="V284" s="1"/>
      <c r="W284" s="1"/>
      <c r="X284" s="1"/>
    </row>
    <row r="285" ht="12.75" customHeight="1">
      <c r="A285" s="1"/>
      <c r="F285" s="8"/>
      <c r="G285" s="8"/>
      <c r="J285" s="1"/>
      <c r="N285" s="1"/>
      <c r="O285" s="1"/>
      <c r="Q285" s="1"/>
      <c r="R285" s="1"/>
      <c r="S285" s="1"/>
      <c r="T285" s="1"/>
      <c r="U285" s="1"/>
      <c r="V285" s="1"/>
      <c r="W285" s="1"/>
      <c r="X285" s="1"/>
    </row>
    <row r="286" ht="12.75" customHeight="1">
      <c r="A286" s="1"/>
      <c r="F286" s="8"/>
      <c r="G286" s="8"/>
      <c r="J286" s="1"/>
      <c r="N286" s="1"/>
      <c r="O286" s="1"/>
      <c r="Q286" s="1"/>
      <c r="R286" s="1"/>
      <c r="S286" s="1"/>
      <c r="T286" s="1"/>
      <c r="U286" s="1"/>
      <c r="V286" s="1"/>
      <c r="W286" s="1"/>
      <c r="X286" s="1"/>
    </row>
    <row r="287" ht="12.75" customHeight="1">
      <c r="A287" s="1"/>
      <c r="F287" s="8"/>
      <c r="G287" s="8"/>
      <c r="J287" s="1"/>
      <c r="N287" s="1"/>
      <c r="O287" s="1"/>
      <c r="Q287" s="1"/>
      <c r="R287" s="1"/>
      <c r="S287" s="1"/>
      <c r="T287" s="1"/>
      <c r="U287" s="1"/>
      <c r="V287" s="1"/>
      <c r="W287" s="1"/>
      <c r="X287" s="1"/>
    </row>
    <row r="288" ht="12.75" customHeight="1">
      <c r="A288" s="1"/>
      <c r="F288" s="8"/>
      <c r="G288" s="8"/>
      <c r="J288" s="1"/>
      <c r="N288" s="1"/>
      <c r="O288" s="1"/>
      <c r="Q288" s="1"/>
      <c r="R288" s="1"/>
      <c r="S288" s="1"/>
      <c r="T288" s="1"/>
      <c r="U288" s="1"/>
      <c r="V288" s="1"/>
      <c r="W288" s="1"/>
      <c r="X288" s="1"/>
    </row>
    <row r="289" ht="12.75" customHeight="1">
      <c r="A289" s="1"/>
      <c r="F289" s="8"/>
      <c r="G289" s="8"/>
      <c r="J289" s="1"/>
      <c r="N289" s="1"/>
      <c r="O289" s="1"/>
      <c r="Q289" s="1"/>
      <c r="R289" s="1"/>
      <c r="S289" s="1"/>
      <c r="T289" s="1"/>
      <c r="U289" s="1"/>
      <c r="V289" s="1"/>
      <c r="W289" s="1"/>
      <c r="X289" s="1"/>
    </row>
    <row r="290" ht="12.75" customHeight="1">
      <c r="A290" s="1"/>
      <c r="F290" s="8"/>
      <c r="G290" s="8"/>
      <c r="J290" s="1"/>
      <c r="N290" s="1"/>
      <c r="O290" s="1"/>
      <c r="Q290" s="1"/>
      <c r="R290" s="1"/>
      <c r="S290" s="1"/>
      <c r="T290" s="1"/>
      <c r="U290" s="1"/>
      <c r="V290" s="1"/>
      <c r="W290" s="1"/>
      <c r="X290" s="1"/>
    </row>
    <row r="291" ht="12.75" customHeight="1">
      <c r="A291" s="1"/>
      <c r="F291" s="8"/>
      <c r="G291" s="8"/>
      <c r="J291" s="1"/>
      <c r="N291" s="1"/>
      <c r="O291" s="1"/>
      <c r="Q291" s="1"/>
      <c r="R291" s="1"/>
      <c r="S291" s="1"/>
      <c r="T291" s="1"/>
      <c r="U291" s="1"/>
      <c r="V291" s="1"/>
      <c r="W291" s="1"/>
      <c r="X291" s="1"/>
    </row>
    <row r="292" ht="12.75" customHeight="1">
      <c r="A292" s="1"/>
      <c r="F292" s="8"/>
      <c r="G292" s="8"/>
      <c r="J292" s="1"/>
      <c r="N292" s="1"/>
      <c r="O292" s="1"/>
      <c r="Q292" s="1"/>
      <c r="R292" s="1"/>
      <c r="S292" s="1"/>
      <c r="T292" s="1"/>
      <c r="U292" s="1"/>
      <c r="V292" s="1"/>
      <c r="W292" s="1"/>
      <c r="X292" s="1"/>
    </row>
    <row r="293" ht="12.75" customHeight="1">
      <c r="A293" s="1"/>
      <c r="F293" s="8"/>
      <c r="G293" s="8"/>
      <c r="J293" s="1"/>
      <c r="N293" s="1"/>
      <c r="O293" s="1"/>
      <c r="Q293" s="1"/>
      <c r="R293" s="1"/>
      <c r="S293" s="1"/>
      <c r="T293" s="1"/>
      <c r="U293" s="1"/>
      <c r="V293" s="1"/>
      <c r="W293" s="1"/>
      <c r="X293" s="1"/>
    </row>
    <row r="294" ht="12.75" customHeight="1">
      <c r="A294" s="1"/>
      <c r="F294" s="8"/>
      <c r="G294" s="8"/>
      <c r="J294" s="1"/>
      <c r="N294" s="1"/>
      <c r="O294" s="1"/>
      <c r="Q294" s="1"/>
      <c r="R294" s="1"/>
      <c r="S294" s="1"/>
      <c r="T294" s="1"/>
      <c r="U294" s="1"/>
      <c r="V294" s="1"/>
      <c r="W294" s="1"/>
      <c r="X294" s="1"/>
    </row>
    <row r="295" ht="12.75" customHeight="1">
      <c r="A295" s="1"/>
      <c r="F295" s="8"/>
      <c r="G295" s="8"/>
      <c r="J295" s="1"/>
      <c r="N295" s="1"/>
      <c r="O295" s="1"/>
      <c r="Q295" s="1"/>
      <c r="R295" s="1"/>
      <c r="S295" s="1"/>
      <c r="T295" s="1"/>
      <c r="U295" s="1"/>
      <c r="V295" s="1"/>
      <c r="W295" s="1"/>
      <c r="X295" s="1"/>
    </row>
    <row r="296" ht="12.75" customHeight="1">
      <c r="A296" s="1"/>
      <c r="F296" s="8"/>
      <c r="G296" s="8"/>
      <c r="J296" s="1"/>
      <c r="N296" s="1"/>
      <c r="O296" s="1"/>
      <c r="Q296" s="1"/>
      <c r="R296" s="1"/>
      <c r="S296" s="1"/>
      <c r="T296" s="1"/>
      <c r="U296" s="1"/>
      <c r="V296" s="1"/>
      <c r="W296" s="1"/>
      <c r="X296" s="1"/>
    </row>
    <row r="297" ht="12.75" customHeight="1">
      <c r="A297" s="1"/>
      <c r="F297" s="8"/>
      <c r="G297" s="8"/>
      <c r="J297" s="1"/>
      <c r="N297" s="1"/>
      <c r="O297" s="1"/>
      <c r="Q297" s="1"/>
      <c r="R297" s="1"/>
      <c r="S297" s="1"/>
      <c r="T297" s="1"/>
      <c r="U297" s="1"/>
      <c r="V297" s="1"/>
      <c r="W297" s="1"/>
      <c r="X297" s="1"/>
    </row>
    <row r="298" ht="12.75" customHeight="1">
      <c r="A298" s="1"/>
      <c r="F298" s="8"/>
      <c r="G298" s="8"/>
      <c r="J298" s="1"/>
      <c r="N298" s="1"/>
      <c r="O298" s="1"/>
      <c r="Q298" s="1"/>
      <c r="R298" s="1"/>
      <c r="S298" s="1"/>
      <c r="T298" s="1"/>
      <c r="U298" s="1"/>
      <c r="V298" s="1"/>
      <c r="W298" s="1"/>
      <c r="X298" s="1"/>
    </row>
    <row r="299" ht="12.75" customHeight="1">
      <c r="A299" s="1"/>
      <c r="F299" s="8"/>
      <c r="G299" s="8"/>
      <c r="J299" s="1"/>
      <c r="N299" s="1"/>
      <c r="O299" s="1"/>
      <c r="Q299" s="1"/>
      <c r="R299" s="1"/>
      <c r="S299" s="1"/>
      <c r="T299" s="1"/>
      <c r="U299" s="1"/>
      <c r="V299" s="1"/>
      <c r="W299" s="1"/>
      <c r="X299" s="1"/>
    </row>
    <row r="300" ht="12.75" customHeight="1">
      <c r="A300" s="1"/>
      <c r="F300" s="8"/>
      <c r="G300" s="8"/>
      <c r="J300" s="1"/>
      <c r="N300" s="1"/>
      <c r="O300" s="1"/>
      <c r="Q300" s="1"/>
      <c r="R300" s="1"/>
      <c r="S300" s="1"/>
      <c r="T300" s="1"/>
      <c r="U300" s="1"/>
      <c r="V300" s="1"/>
      <c r="W300" s="1"/>
      <c r="X300" s="1"/>
    </row>
    <row r="301" ht="12.75" customHeight="1">
      <c r="A301" s="1"/>
      <c r="F301" s="8"/>
      <c r="G301" s="8"/>
      <c r="J301" s="1"/>
      <c r="N301" s="1"/>
      <c r="O301" s="1"/>
      <c r="Q301" s="1"/>
      <c r="R301" s="1"/>
      <c r="S301" s="1"/>
      <c r="T301" s="1"/>
      <c r="U301" s="1"/>
      <c r="V301" s="1"/>
      <c r="W301" s="1"/>
      <c r="X301" s="1"/>
    </row>
    <row r="302" ht="12.75" customHeight="1">
      <c r="A302" s="1"/>
      <c r="F302" s="8"/>
      <c r="G302" s="8"/>
      <c r="J302" s="1"/>
      <c r="N302" s="1"/>
      <c r="O302" s="1"/>
      <c r="Q302" s="1"/>
      <c r="R302" s="1"/>
      <c r="S302" s="1"/>
      <c r="T302" s="1"/>
      <c r="U302" s="1"/>
      <c r="V302" s="1"/>
      <c r="W302" s="1"/>
      <c r="X302" s="1"/>
    </row>
    <row r="303" ht="12.75" customHeight="1">
      <c r="A303" s="1"/>
      <c r="F303" s="8"/>
      <c r="G303" s="8"/>
      <c r="J303" s="1"/>
      <c r="N303" s="1"/>
      <c r="O303" s="1"/>
      <c r="Q303" s="1"/>
      <c r="R303" s="1"/>
      <c r="S303" s="1"/>
      <c r="T303" s="1"/>
      <c r="U303" s="1"/>
      <c r="V303" s="1"/>
      <c r="W303" s="1"/>
      <c r="X303" s="1"/>
    </row>
    <row r="304" ht="12.75" customHeight="1">
      <c r="A304" s="1"/>
      <c r="F304" s="8"/>
      <c r="G304" s="8"/>
      <c r="J304" s="1"/>
      <c r="N304" s="1"/>
      <c r="O304" s="1"/>
      <c r="Q304" s="1"/>
      <c r="R304" s="1"/>
      <c r="S304" s="1"/>
      <c r="T304" s="1"/>
      <c r="U304" s="1"/>
      <c r="V304" s="1"/>
      <c r="W304" s="1"/>
      <c r="X304" s="1"/>
    </row>
    <row r="305" ht="12.75" customHeight="1">
      <c r="A305" s="1"/>
      <c r="F305" s="8"/>
      <c r="G305" s="8"/>
      <c r="J305" s="1"/>
      <c r="N305" s="1"/>
      <c r="O305" s="1"/>
      <c r="Q305" s="1"/>
      <c r="R305" s="1"/>
      <c r="S305" s="1"/>
      <c r="T305" s="1"/>
      <c r="U305" s="1"/>
      <c r="V305" s="1"/>
      <c r="W305" s="1"/>
      <c r="X305" s="1"/>
    </row>
    <row r="306" ht="12.75" customHeight="1">
      <c r="A306" s="1"/>
      <c r="F306" s="8"/>
      <c r="G306" s="8"/>
      <c r="J306" s="1"/>
      <c r="N306" s="1"/>
      <c r="O306" s="1"/>
      <c r="Q306" s="1"/>
      <c r="R306" s="1"/>
      <c r="S306" s="1"/>
      <c r="T306" s="1"/>
      <c r="U306" s="1"/>
      <c r="V306" s="1"/>
      <c r="W306" s="1"/>
      <c r="X306" s="1"/>
    </row>
    <row r="307" ht="12.75" customHeight="1">
      <c r="A307" s="1"/>
      <c r="F307" s="8"/>
      <c r="G307" s="8"/>
      <c r="J307" s="1"/>
      <c r="N307" s="1"/>
      <c r="O307" s="1"/>
      <c r="Q307" s="1"/>
      <c r="R307" s="1"/>
      <c r="S307" s="1"/>
      <c r="T307" s="1"/>
      <c r="U307" s="1"/>
      <c r="V307" s="1"/>
      <c r="W307" s="1"/>
      <c r="X307" s="1"/>
    </row>
    <row r="308" ht="12.75" customHeight="1">
      <c r="A308" s="1"/>
      <c r="F308" s="8"/>
      <c r="G308" s="8"/>
      <c r="J308" s="1"/>
      <c r="N308" s="1"/>
      <c r="O308" s="1"/>
      <c r="Q308" s="1"/>
      <c r="R308" s="1"/>
      <c r="S308" s="1"/>
      <c r="T308" s="1"/>
      <c r="U308" s="1"/>
      <c r="V308" s="1"/>
      <c r="W308" s="1"/>
      <c r="X308" s="1"/>
    </row>
    <row r="309" ht="12.75" customHeight="1">
      <c r="A309" s="1"/>
      <c r="F309" s="8"/>
      <c r="G309" s="8"/>
      <c r="J309" s="1"/>
      <c r="N309" s="1"/>
      <c r="O309" s="1"/>
      <c r="Q309" s="1"/>
      <c r="R309" s="1"/>
      <c r="S309" s="1"/>
      <c r="T309" s="1"/>
      <c r="U309" s="1"/>
      <c r="V309" s="1"/>
      <c r="W309" s="1"/>
      <c r="X309" s="1"/>
    </row>
    <row r="310" ht="12.75" customHeight="1">
      <c r="A310" s="1"/>
      <c r="F310" s="8"/>
      <c r="G310" s="8"/>
      <c r="J310" s="1"/>
      <c r="N310" s="1"/>
      <c r="O310" s="1"/>
      <c r="Q310" s="1"/>
      <c r="R310" s="1"/>
      <c r="S310" s="1"/>
      <c r="T310" s="1"/>
      <c r="U310" s="1"/>
      <c r="V310" s="1"/>
      <c r="W310" s="1"/>
      <c r="X310" s="1"/>
    </row>
    <row r="311" ht="12.75" customHeight="1">
      <c r="A311" s="1"/>
      <c r="F311" s="8"/>
      <c r="G311" s="8"/>
      <c r="J311" s="1"/>
      <c r="N311" s="1"/>
      <c r="O311" s="1"/>
      <c r="Q311" s="1"/>
      <c r="R311" s="1"/>
      <c r="S311" s="1"/>
      <c r="T311" s="1"/>
      <c r="U311" s="1"/>
      <c r="V311" s="1"/>
      <c r="W311" s="1"/>
      <c r="X311" s="1"/>
    </row>
    <row r="312" ht="12.75" customHeight="1">
      <c r="A312" s="1"/>
      <c r="F312" s="8"/>
      <c r="G312" s="8"/>
      <c r="J312" s="1"/>
      <c r="N312" s="1"/>
      <c r="O312" s="1"/>
      <c r="Q312" s="1"/>
      <c r="R312" s="1"/>
      <c r="S312" s="1"/>
      <c r="T312" s="1"/>
      <c r="U312" s="1"/>
      <c r="V312" s="1"/>
      <c r="W312" s="1"/>
      <c r="X312" s="1"/>
    </row>
    <row r="313" ht="12.75" customHeight="1">
      <c r="A313" s="1"/>
      <c r="F313" s="8"/>
      <c r="G313" s="8"/>
      <c r="J313" s="1"/>
      <c r="N313" s="1"/>
      <c r="O313" s="1"/>
      <c r="Q313" s="1"/>
      <c r="R313" s="1"/>
      <c r="S313" s="1"/>
      <c r="T313" s="1"/>
      <c r="U313" s="1"/>
      <c r="V313" s="1"/>
      <c r="W313" s="1"/>
      <c r="X313" s="1"/>
    </row>
    <row r="314" ht="12.75" customHeight="1">
      <c r="A314" s="1"/>
      <c r="F314" s="8"/>
      <c r="G314" s="8"/>
      <c r="J314" s="1"/>
      <c r="N314" s="1"/>
      <c r="O314" s="1"/>
      <c r="Q314" s="1"/>
      <c r="R314" s="1"/>
      <c r="S314" s="1"/>
      <c r="T314" s="1"/>
      <c r="U314" s="1"/>
      <c r="V314" s="1"/>
      <c r="W314" s="1"/>
      <c r="X314" s="1"/>
    </row>
    <row r="315" ht="12.75" customHeight="1">
      <c r="A315" s="1"/>
      <c r="F315" s="8"/>
      <c r="G315" s="8"/>
      <c r="J315" s="1"/>
      <c r="N315" s="1"/>
      <c r="O315" s="1"/>
      <c r="Q315" s="1"/>
      <c r="R315" s="1"/>
      <c r="S315" s="1"/>
      <c r="T315" s="1"/>
      <c r="U315" s="1"/>
      <c r="V315" s="1"/>
      <c r="W315" s="1"/>
      <c r="X315" s="1"/>
    </row>
    <row r="316" ht="12.75" customHeight="1">
      <c r="A316" s="1"/>
      <c r="F316" s="8"/>
      <c r="G316" s="8"/>
      <c r="J316" s="1"/>
      <c r="N316" s="1"/>
      <c r="O316" s="1"/>
      <c r="Q316" s="1"/>
      <c r="R316" s="1"/>
      <c r="S316" s="1"/>
      <c r="T316" s="1"/>
      <c r="U316" s="1"/>
      <c r="V316" s="1"/>
      <c r="W316" s="1"/>
      <c r="X316" s="1"/>
    </row>
    <row r="317" ht="12.75" customHeight="1">
      <c r="A317" s="1"/>
      <c r="F317" s="8"/>
      <c r="G317" s="8"/>
      <c r="J317" s="1"/>
      <c r="N317" s="1"/>
      <c r="O317" s="1"/>
      <c r="Q317" s="1"/>
      <c r="R317" s="1"/>
      <c r="S317" s="1"/>
      <c r="T317" s="1"/>
      <c r="U317" s="1"/>
      <c r="V317" s="1"/>
      <c r="W317" s="1"/>
      <c r="X317" s="1"/>
    </row>
    <row r="318" ht="12.75" customHeight="1">
      <c r="A318" s="1"/>
      <c r="F318" s="8"/>
      <c r="G318" s="8"/>
      <c r="J318" s="1"/>
      <c r="N318" s="1"/>
      <c r="O318" s="1"/>
      <c r="Q318" s="1"/>
      <c r="R318" s="1"/>
      <c r="S318" s="1"/>
      <c r="T318" s="1"/>
      <c r="U318" s="1"/>
      <c r="V318" s="1"/>
      <c r="W318" s="1"/>
      <c r="X318" s="1"/>
    </row>
    <row r="319" ht="12.75" customHeight="1">
      <c r="A319" s="1"/>
      <c r="F319" s="8"/>
      <c r="G319" s="8"/>
      <c r="J319" s="1"/>
      <c r="N319" s="1"/>
      <c r="O319" s="1"/>
      <c r="Q319" s="1"/>
      <c r="R319" s="1"/>
      <c r="S319" s="1"/>
      <c r="T319" s="1"/>
      <c r="U319" s="1"/>
      <c r="V319" s="1"/>
      <c r="W319" s="1"/>
      <c r="X319" s="1"/>
    </row>
    <row r="320" ht="12.75" customHeight="1">
      <c r="A320" s="1"/>
      <c r="F320" s="8"/>
      <c r="G320" s="8"/>
      <c r="J320" s="1"/>
      <c r="N320" s="1"/>
      <c r="O320" s="1"/>
      <c r="Q320" s="1"/>
      <c r="R320" s="1"/>
      <c r="S320" s="1"/>
      <c r="T320" s="1"/>
      <c r="U320" s="1"/>
      <c r="V320" s="1"/>
      <c r="W320" s="1"/>
      <c r="X320" s="1"/>
    </row>
    <row r="321" ht="12.75" customHeight="1">
      <c r="A321" s="1"/>
      <c r="F321" s="8"/>
      <c r="G321" s="8"/>
      <c r="J321" s="1"/>
      <c r="N321" s="1"/>
      <c r="O321" s="1"/>
      <c r="Q321" s="1"/>
      <c r="R321" s="1"/>
      <c r="S321" s="1"/>
      <c r="T321" s="1"/>
      <c r="U321" s="1"/>
      <c r="V321" s="1"/>
      <c r="W321" s="1"/>
      <c r="X321" s="1"/>
    </row>
    <row r="322" ht="12.75" customHeight="1">
      <c r="A322" s="1"/>
      <c r="F322" s="8"/>
      <c r="G322" s="8"/>
      <c r="J322" s="1"/>
      <c r="N322" s="1"/>
      <c r="O322" s="1"/>
      <c r="Q322" s="1"/>
      <c r="R322" s="1"/>
      <c r="S322" s="1"/>
      <c r="T322" s="1"/>
      <c r="U322" s="1"/>
      <c r="V322" s="1"/>
      <c r="W322" s="1"/>
      <c r="X322" s="1"/>
    </row>
    <row r="323" ht="12.75" customHeight="1">
      <c r="A323" s="1"/>
      <c r="F323" s="8"/>
      <c r="G323" s="8"/>
      <c r="J323" s="1"/>
      <c r="N323" s="1"/>
      <c r="O323" s="1"/>
      <c r="Q323" s="1"/>
      <c r="R323" s="1"/>
      <c r="S323" s="1"/>
      <c r="T323" s="1"/>
      <c r="U323" s="1"/>
      <c r="V323" s="1"/>
      <c r="W323" s="1"/>
      <c r="X323" s="1"/>
    </row>
    <row r="324" ht="12.75" customHeight="1">
      <c r="A324" s="1"/>
      <c r="F324" s="8"/>
      <c r="G324" s="8"/>
      <c r="J324" s="1"/>
      <c r="N324" s="1"/>
      <c r="O324" s="1"/>
      <c r="Q324" s="1"/>
      <c r="R324" s="1"/>
      <c r="S324" s="1"/>
      <c r="T324" s="1"/>
      <c r="U324" s="1"/>
      <c r="V324" s="1"/>
      <c r="W324" s="1"/>
      <c r="X324" s="1"/>
    </row>
    <row r="325" ht="12.75" customHeight="1">
      <c r="A325" s="1"/>
      <c r="F325" s="8"/>
      <c r="G325" s="8"/>
      <c r="J325" s="1"/>
      <c r="N325" s="1"/>
      <c r="O325" s="1"/>
      <c r="Q325" s="1"/>
      <c r="R325" s="1"/>
      <c r="S325" s="1"/>
      <c r="T325" s="1"/>
      <c r="U325" s="1"/>
      <c r="V325" s="1"/>
      <c r="W325" s="1"/>
      <c r="X325" s="1"/>
    </row>
    <row r="326" ht="12.75" customHeight="1">
      <c r="A326" s="1"/>
      <c r="F326" s="8"/>
      <c r="G326" s="8"/>
      <c r="J326" s="1"/>
      <c r="N326" s="1"/>
      <c r="O326" s="1"/>
      <c r="Q326" s="1"/>
      <c r="R326" s="1"/>
      <c r="S326" s="1"/>
      <c r="T326" s="1"/>
      <c r="U326" s="1"/>
      <c r="V326" s="1"/>
      <c r="W326" s="1"/>
      <c r="X326" s="1"/>
    </row>
    <row r="327" ht="12.75" customHeight="1">
      <c r="A327" s="1"/>
      <c r="F327" s="8"/>
      <c r="G327" s="8"/>
      <c r="J327" s="1"/>
      <c r="N327" s="1"/>
      <c r="O327" s="1"/>
      <c r="Q327" s="1"/>
      <c r="R327" s="1"/>
      <c r="S327" s="1"/>
      <c r="T327" s="1"/>
      <c r="U327" s="1"/>
      <c r="V327" s="1"/>
      <c r="W327" s="1"/>
      <c r="X327" s="1"/>
    </row>
    <row r="328" ht="12.75" customHeight="1">
      <c r="A328" s="1"/>
      <c r="F328" s="8"/>
      <c r="G328" s="8"/>
      <c r="J328" s="1"/>
      <c r="N328" s="1"/>
      <c r="O328" s="1"/>
      <c r="Q328" s="1"/>
      <c r="R328" s="1"/>
      <c r="S328" s="1"/>
      <c r="T328" s="1"/>
      <c r="U328" s="1"/>
      <c r="V328" s="1"/>
      <c r="W328" s="1"/>
      <c r="X328" s="1"/>
    </row>
    <row r="329" ht="12.75" customHeight="1">
      <c r="A329" s="1"/>
      <c r="F329" s="8"/>
      <c r="G329" s="8"/>
      <c r="J329" s="1"/>
      <c r="N329" s="1"/>
      <c r="O329" s="1"/>
      <c r="Q329" s="1"/>
      <c r="R329" s="1"/>
      <c r="S329" s="1"/>
      <c r="T329" s="1"/>
      <c r="U329" s="1"/>
      <c r="V329" s="1"/>
      <c r="W329" s="1"/>
      <c r="X329" s="1"/>
    </row>
    <row r="330" ht="12.75" customHeight="1">
      <c r="A330" s="1"/>
      <c r="F330" s="8"/>
      <c r="G330" s="8"/>
      <c r="J330" s="1"/>
      <c r="N330" s="1"/>
      <c r="O330" s="1"/>
      <c r="Q330" s="1"/>
      <c r="R330" s="1"/>
      <c r="S330" s="1"/>
      <c r="T330" s="1"/>
      <c r="U330" s="1"/>
      <c r="V330" s="1"/>
      <c r="W330" s="1"/>
      <c r="X330" s="1"/>
    </row>
    <row r="331" ht="12.75" customHeight="1">
      <c r="A331" s="1"/>
      <c r="F331" s="8"/>
      <c r="G331" s="8"/>
      <c r="J331" s="1"/>
      <c r="N331" s="1"/>
      <c r="O331" s="1"/>
      <c r="Q331" s="1"/>
      <c r="R331" s="1"/>
      <c r="S331" s="1"/>
      <c r="T331" s="1"/>
      <c r="U331" s="1"/>
      <c r="V331" s="1"/>
      <c r="W331" s="1"/>
      <c r="X331" s="1"/>
    </row>
    <row r="332" ht="12.75" customHeight="1">
      <c r="A332" s="1"/>
      <c r="F332" s="8"/>
      <c r="G332" s="8"/>
      <c r="J332" s="1"/>
      <c r="N332" s="1"/>
      <c r="O332" s="1"/>
      <c r="Q332" s="1"/>
      <c r="R332" s="1"/>
      <c r="S332" s="1"/>
      <c r="T332" s="1"/>
      <c r="U332" s="1"/>
      <c r="V332" s="1"/>
      <c r="W332" s="1"/>
      <c r="X332" s="1"/>
    </row>
    <row r="333" ht="12.75" customHeight="1">
      <c r="A333" s="1"/>
      <c r="F333" s="8"/>
      <c r="G333" s="8"/>
      <c r="J333" s="1"/>
      <c r="N333" s="1"/>
      <c r="O333" s="1"/>
      <c r="Q333" s="1"/>
      <c r="R333" s="1"/>
      <c r="S333" s="1"/>
      <c r="T333" s="1"/>
      <c r="U333" s="1"/>
      <c r="V333" s="1"/>
      <c r="W333" s="1"/>
      <c r="X333" s="1"/>
    </row>
    <row r="334" ht="12.75" customHeight="1">
      <c r="A334" s="1"/>
      <c r="F334" s="8"/>
      <c r="G334" s="8"/>
      <c r="J334" s="1"/>
      <c r="N334" s="1"/>
      <c r="O334" s="1"/>
      <c r="Q334" s="1"/>
      <c r="R334" s="1"/>
      <c r="S334" s="1"/>
      <c r="T334" s="1"/>
      <c r="U334" s="1"/>
      <c r="V334" s="1"/>
      <c r="W334" s="1"/>
      <c r="X334" s="1"/>
    </row>
    <row r="335" ht="12.75" customHeight="1">
      <c r="A335" s="1"/>
      <c r="F335" s="8"/>
      <c r="G335" s="8"/>
      <c r="J335" s="1"/>
      <c r="N335" s="1"/>
      <c r="O335" s="1"/>
      <c r="Q335" s="1"/>
      <c r="R335" s="1"/>
      <c r="S335" s="1"/>
      <c r="T335" s="1"/>
      <c r="U335" s="1"/>
      <c r="V335" s="1"/>
      <c r="W335" s="1"/>
      <c r="X335" s="1"/>
    </row>
    <row r="336" ht="12.75" customHeight="1">
      <c r="A336" s="1"/>
      <c r="F336" s="8"/>
      <c r="G336" s="8"/>
      <c r="J336" s="1"/>
      <c r="N336" s="1"/>
      <c r="O336" s="1"/>
      <c r="Q336" s="1"/>
      <c r="R336" s="1"/>
      <c r="S336" s="1"/>
      <c r="T336" s="1"/>
      <c r="U336" s="1"/>
      <c r="V336" s="1"/>
      <c r="W336" s="1"/>
      <c r="X336" s="1"/>
    </row>
    <row r="337" ht="12.75" customHeight="1">
      <c r="A337" s="1"/>
      <c r="F337" s="8"/>
      <c r="G337" s="8"/>
      <c r="J337" s="1"/>
      <c r="N337" s="1"/>
      <c r="O337" s="1"/>
      <c r="Q337" s="1"/>
      <c r="R337" s="1"/>
      <c r="S337" s="1"/>
      <c r="T337" s="1"/>
      <c r="U337" s="1"/>
      <c r="V337" s="1"/>
      <c r="W337" s="1"/>
      <c r="X337" s="1"/>
    </row>
    <row r="338" ht="12.75" customHeight="1">
      <c r="A338" s="1"/>
      <c r="F338" s="8"/>
      <c r="G338" s="8"/>
      <c r="J338" s="1"/>
      <c r="N338" s="1"/>
      <c r="O338" s="1"/>
      <c r="Q338" s="1"/>
      <c r="R338" s="1"/>
      <c r="S338" s="1"/>
      <c r="T338" s="1"/>
      <c r="U338" s="1"/>
      <c r="V338" s="1"/>
      <c r="W338" s="1"/>
      <c r="X338" s="1"/>
    </row>
    <row r="339" ht="12.75" customHeight="1">
      <c r="A339" s="1"/>
      <c r="F339" s="8"/>
      <c r="G339" s="8"/>
      <c r="J339" s="1"/>
      <c r="N339" s="1"/>
      <c r="O339" s="1"/>
      <c r="Q339" s="1"/>
      <c r="R339" s="1"/>
      <c r="S339" s="1"/>
      <c r="T339" s="1"/>
      <c r="U339" s="1"/>
      <c r="V339" s="1"/>
      <c r="W339" s="1"/>
      <c r="X339" s="1"/>
    </row>
    <row r="340" ht="12.75" customHeight="1">
      <c r="A340" s="1"/>
      <c r="F340" s="8"/>
      <c r="G340" s="8"/>
      <c r="J340" s="1"/>
      <c r="N340" s="1"/>
      <c r="O340" s="1"/>
      <c r="Q340" s="1"/>
      <c r="R340" s="1"/>
      <c r="S340" s="1"/>
      <c r="T340" s="1"/>
      <c r="U340" s="1"/>
      <c r="V340" s="1"/>
      <c r="W340" s="1"/>
      <c r="X340" s="1"/>
    </row>
    <row r="341" ht="12.75" customHeight="1">
      <c r="A341" s="1"/>
      <c r="F341" s="8"/>
      <c r="G341" s="8"/>
      <c r="J341" s="1"/>
      <c r="N341" s="1"/>
      <c r="O341" s="1"/>
      <c r="Q341" s="1"/>
      <c r="R341" s="1"/>
      <c r="S341" s="1"/>
      <c r="T341" s="1"/>
      <c r="U341" s="1"/>
      <c r="V341" s="1"/>
      <c r="W341" s="1"/>
      <c r="X341" s="1"/>
    </row>
    <row r="342" ht="12.75" customHeight="1">
      <c r="A342" s="1"/>
      <c r="F342" s="8"/>
      <c r="G342" s="8"/>
      <c r="J342" s="1"/>
      <c r="N342" s="1"/>
      <c r="O342" s="1"/>
      <c r="Q342" s="1"/>
      <c r="R342" s="1"/>
      <c r="S342" s="1"/>
      <c r="T342" s="1"/>
      <c r="U342" s="1"/>
      <c r="V342" s="1"/>
      <c r="W342" s="1"/>
      <c r="X342" s="1"/>
    </row>
    <row r="343" ht="12.75" customHeight="1">
      <c r="A343" s="1"/>
      <c r="F343" s="8"/>
      <c r="G343" s="8"/>
      <c r="J343" s="1"/>
      <c r="N343" s="1"/>
      <c r="O343" s="1"/>
      <c r="Q343" s="1"/>
      <c r="R343" s="1"/>
      <c r="S343" s="1"/>
      <c r="T343" s="1"/>
      <c r="U343" s="1"/>
      <c r="V343" s="1"/>
      <c r="W343" s="1"/>
      <c r="X343" s="1"/>
    </row>
    <row r="344" ht="12.75" customHeight="1">
      <c r="A344" s="1"/>
      <c r="F344" s="8"/>
      <c r="G344" s="8"/>
      <c r="J344" s="1"/>
      <c r="N344" s="1"/>
      <c r="O344" s="1"/>
      <c r="Q344" s="1"/>
      <c r="R344" s="1"/>
      <c r="S344" s="1"/>
      <c r="T344" s="1"/>
      <c r="U344" s="1"/>
      <c r="V344" s="1"/>
      <c r="W344" s="1"/>
      <c r="X344" s="1"/>
    </row>
    <row r="345" ht="12.75" customHeight="1">
      <c r="A345" s="1"/>
      <c r="F345" s="8"/>
      <c r="G345" s="8"/>
      <c r="J345" s="1"/>
      <c r="N345" s="1"/>
      <c r="O345" s="1"/>
      <c r="Q345" s="1"/>
      <c r="R345" s="1"/>
      <c r="S345" s="1"/>
      <c r="T345" s="1"/>
      <c r="U345" s="1"/>
      <c r="V345" s="1"/>
      <c r="W345" s="1"/>
      <c r="X345" s="1"/>
    </row>
    <row r="346" ht="12.75" customHeight="1">
      <c r="A346" s="1"/>
      <c r="F346" s="8"/>
      <c r="G346" s="8"/>
      <c r="J346" s="1"/>
      <c r="N346" s="1"/>
      <c r="O346" s="1"/>
      <c r="Q346" s="1"/>
      <c r="R346" s="1"/>
      <c r="S346" s="1"/>
      <c r="T346" s="1"/>
      <c r="U346" s="1"/>
      <c r="V346" s="1"/>
      <c r="W346" s="1"/>
      <c r="X346" s="1"/>
    </row>
    <row r="347" ht="12.75" customHeight="1">
      <c r="A347" s="1"/>
      <c r="F347" s="8"/>
      <c r="G347" s="8"/>
      <c r="J347" s="1"/>
      <c r="N347" s="1"/>
      <c r="O347" s="1"/>
      <c r="Q347" s="1"/>
      <c r="R347" s="1"/>
      <c r="S347" s="1"/>
      <c r="T347" s="1"/>
      <c r="U347" s="1"/>
      <c r="V347" s="1"/>
      <c r="W347" s="1"/>
      <c r="X347" s="1"/>
    </row>
    <row r="348" ht="12.75" customHeight="1">
      <c r="A348" s="1"/>
      <c r="F348" s="8"/>
      <c r="G348" s="8"/>
      <c r="J348" s="1"/>
      <c r="N348" s="1"/>
      <c r="O348" s="1"/>
      <c r="Q348" s="1"/>
      <c r="R348" s="1"/>
      <c r="S348" s="1"/>
      <c r="T348" s="1"/>
      <c r="U348" s="1"/>
      <c r="V348" s="1"/>
      <c r="W348" s="1"/>
      <c r="X348" s="1"/>
    </row>
    <row r="349" ht="12.75" customHeight="1">
      <c r="A349" s="1"/>
      <c r="F349" s="8"/>
      <c r="G349" s="8"/>
      <c r="J349" s="1"/>
      <c r="N349" s="1"/>
      <c r="O349" s="1"/>
      <c r="Q349" s="1"/>
      <c r="R349" s="1"/>
      <c r="S349" s="1"/>
      <c r="T349" s="1"/>
      <c r="U349" s="1"/>
      <c r="V349" s="1"/>
      <c r="W349" s="1"/>
      <c r="X349" s="1"/>
    </row>
    <row r="350" ht="12.75" customHeight="1">
      <c r="A350" s="1"/>
      <c r="F350" s="8"/>
      <c r="G350" s="8"/>
      <c r="J350" s="1"/>
      <c r="N350" s="1"/>
      <c r="O350" s="1"/>
      <c r="Q350" s="1"/>
      <c r="R350" s="1"/>
      <c r="S350" s="1"/>
      <c r="T350" s="1"/>
      <c r="U350" s="1"/>
      <c r="V350" s="1"/>
      <c r="W350" s="1"/>
      <c r="X350" s="1"/>
    </row>
    <row r="351" ht="12.75" customHeight="1">
      <c r="A351" s="1"/>
      <c r="F351" s="8"/>
      <c r="G351" s="8"/>
      <c r="J351" s="1"/>
      <c r="N351" s="1"/>
      <c r="O351" s="1"/>
      <c r="Q351" s="1"/>
      <c r="R351" s="1"/>
      <c r="S351" s="1"/>
      <c r="T351" s="1"/>
      <c r="U351" s="1"/>
      <c r="V351" s="1"/>
      <c r="W351" s="1"/>
      <c r="X351" s="1"/>
    </row>
    <row r="352" ht="12.75" customHeight="1">
      <c r="A352" s="1"/>
      <c r="F352" s="8"/>
      <c r="G352" s="8"/>
      <c r="J352" s="1"/>
      <c r="N352" s="1"/>
      <c r="O352" s="1"/>
      <c r="Q352" s="1"/>
      <c r="R352" s="1"/>
      <c r="S352" s="1"/>
      <c r="T352" s="1"/>
      <c r="U352" s="1"/>
      <c r="V352" s="1"/>
      <c r="W352" s="1"/>
      <c r="X352" s="1"/>
    </row>
    <row r="353" ht="12.75" customHeight="1">
      <c r="A353" s="1"/>
      <c r="F353" s="8"/>
      <c r="G353" s="8"/>
      <c r="J353" s="1"/>
      <c r="N353" s="1"/>
      <c r="O353" s="1"/>
      <c r="Q353" s="1"/>
      <c r="R353" s="1"/>
      <c r="S353" s="1"/>
      <c r="T353" s="1"/>
      <c r="U353" s="1"/>
      <c r="V353" s="1"/>
      <c r="W353" s="1"/>
      <c r="X353" s="1"/>
    </row>
    <row r="354" ht="12.75" customHeight="1">
      <c r="A354" s="1"/>
      <c r="F354" s="8"/>
      <c r="G354" s="8"/>
      <c r="J354" s="1"/>
      <c r="N354" s="1"/>
      <c r="O354" s="1"/>
      <c r="Q354" s="1"/>
      <c r="R354" s="1"/>
      <c r="S354" s="1"/>
      <c r="T354" s="1"/>
      <c r="U354" s="1"/>
      <c r="V354" s="1"/>
      <c r="W354" s="1"/>
      <c r="X354" s="1"/>
    </row>
    <row r="355" ht="12.75" customHeight="1">
      <c r="A355" s="1"/>
      <c r="F355" s="8"/>
      <c r="G355" s="8"/>
      <c r="J355" s="1"/>
      <c r="N355" s="1"/>
      <c r="O355" s="1"/>
      <c r="Q355" s="1"/>
      <c r="R355" s="1"/>
      <c r="S355" s="1"/>
      <c r="T355" s="1"/>
      <c r="U355" s="1"/>
      <c r="V355" s="1"/>
      <c r="W355" s="1"/>
      <c r="X355" s="1"/>
    </row>
    <row r="356" ht="12.75" customHeight="1">
      <c r="A356" s="1"/>
      <c r="F356" s="8"/>
      <c r="G356" s="8"/>
      <c r="J356" s="1"/>
      <c r="N356" s="1"/>
      <c r="O356" s="1"/>
      <c r="Q356" s="1"/>
      <c r="R356" s="1"/>
      <c r="S356" s="1"/>
      <c r="T356" s="1"/>
      <c r="U356" s="1"/>
      <c r="V356" s="1"/>
      <c r="W356" s="1"/>
      <c r="X356" s="1"/>
    </row>
    <row r="357" ht="12.75" customHeight="1">
      <c r="A357" s="1"/>
      <c r="F357" s="8"/>
      <c r="G357" s="8"/>
      <c r="J357" s="1"/>
      <c r="N357" s="1"/>
      <c r="O357" s="1"/>
      <c r="Q357" s="1"/>
      <c r="R357" s="1"/>
      <c r="S357" s="1"/>
      <c r="T357" s="1"/>
      <c r="U357" s="1"/>
      <c r="V357" s="1"/>
      <c r="W357" s="1"/>
      <c r="X357" s="1"/>
    </row>
    <row r="358" ht="12.75" customHeight="1">
      <c r="A358" s="1"/>
      <c r="F358" s="8"/>
      <c r="G358" s="8"/>
      <c r="J358" s="1"/>
      <c r="N358" s="1"/>
      <c r="O358" s="1"/>
      <c r="Q358" s="1"/>
      <c r="R358" s="1"/>
      <c r="S358" s="1"/>
      <c r="T358" s="1"/>
      <c r="U358" s="1"/>
      <c r="V358" s="1"/>
      <c r="W358" s="1"/>
      <c r="X358" s="1"/>
    </row>
    <row r="359" ht="12.75" customHeight="1">
      <c r="A359" s="1"/>
      <c r="F359" s="8"/>
      <c r="G359" s="8"/>
      <c r="J359" s="1"/>
      <c r="N359" s="1"/>
      <c r="O359" s="1"/>
      <c r="Q359" s="1"/>
      <c r="R359" s="1"/>
      <c r="S359" s="1"/>
      <c r="T359" s="1"/>
      <c r="U359" s="1"/>
      <c r="V359" s="1"/>
      <c r="W359" s="1"/>
      <c r="X359" s="1"/>
    </row>
    <row r="360" ht="12.75" customHeight="1">
      <c r="A360" s="1"/>
      <c r="F360" s="8"/>
      <c r="G360" s="8"/>
      <c r="J360" s="1"/>
      <c r="N360" s="1"/>
      <c r="O360" s="1"/>
      <c r="Q360" s="1"/>
      <c r="R360" s="1"/>
      <c r="S360" s="1"/>
      <c r="T360" s="1"/>
      <c r="U360" s="1"/>
      <c r="V360" s="1"/>
      <c r="W360" s="1"/>
      <c r="X360" s="1"/>
    </row>
    <row r="361" ht="12.75" customHeight="1">
      <c r="A361" s="1"/>
      <c r="F361" s="8"/>
      <c r="G361" s="8"/>
      <c r="J361" s="1"/>
      <c r="N361" s="1"/>
      <c r="O361" s="1"/>
      <c r="Q361" s="1"/>
      <c r="R361" s="1"/>
      <c r="S361" s="1"/>
      <c r="T361" s="1"/>
      <c r="U361" s="1"/>
      <c r="V361" s="1"/>
      <c r="W361" s="1"/>
      <c r="X361" s="1"/>
    </row>
    <row r="362" ht="12.75" customHeight="1">
      <c r="A362" s="1"/>
      <c r="F362" s="8"/>
      <c r="G362" s="8"/>
      <c r="J362" s="1"/>
      <c r="N362" s="1"/>
      <c r="O362" s="1"/>
      <c r="Q362" s="1"/>
      <c r="R362" s="1"/>
      <c r="S362" s="1"/>
      <c r="T362" s="1"/>
      <c r="U362" s="1"/>
      <c r="V362" s="1"/>
      <c r="W362" s="1"/>
      <c r="X362" s="1"/>
    </row>
    <row r="363" ht="12.75" customHeight="1">
      <c r="A363" s="1"/>
      <c r="F363" s="8"/>
      <c r="G363" s="8"/>
      <c r="J363" s="1"/>
      <c r="N363" s="1"/>
      <c r="O363" s="1"/>
      <c r="Q363" s="1"/>
      <c r="R363" s="1"/>
      <c r="S363" s="1"/>
      <c r="T363" s="1"/>
      <c r="U363" s="1"/>
      <c r="V363" s="1"/>
      <c r="W363" s="1"/>
      <c r="X363" s="1"/>
    </row>
    <row r="364" ht="12.75" customHeight="1">
      <c r="A364" s="1"/>
      <c r="F364" s="8"/>
      <c r="G364" s="8"/>
      <c r="J364" s="1"/>
      <c r="N364" s="1"/>
      <c r="O364" s="1"/>
      <c r="Q364" s="1"/>
      <c r="R364" s="1"/>
      <c r="S364" s="1"/>
      <c r="T364" s="1"/>
      <c r="U364" s="1"/>
      <c r="V364" s="1"/>
      <c r="W364" s="1"/>
      <c r="X364" s="1"/>
    </row>
    <row r="365" ht="12.75" customHeight="1">
      <c r="A365" s="1"/>
      <c r="F365" s="8"/>
      <c r="G365" s="8"/>
      <c r="J365" s="1"/>
      <c r="N365" s="1"/>
      <c r="O365" s="1"/>
      <c r="Q365" s="1"/>
      <c r="R365" s="1"/>
      <c r="S365" s="1"/>
      <c r="T365" s="1"/>
      <c r="U365" s="1"/>
      <c r="V365" s="1"/>
      <c r="W365" s="1"/>
      <c r="X365" s="1"/>
    </row>
    <row r="366" ht="12.75" customHeight="1">
      <c r="A366" s="1"/>
      <c r="F366" s="8"/>
      <c r="G366" s="8"/>
      <c r="J366" s="1"/>
      <c r="N366" s="1"/>
      <c r="O366" s="1"/>
      <c r="Q366" s="1"/>
      <c r="R366" s="1"/>
      <c r="S366" s="1"/>
      <c r="T366" s="1"/>
      <c r="U366" s="1"/>
      <c r="V366" s="1"/>
      <c r="W366" s="1"/>
      <c r="X366" s="1"/>
    </row>
    <row r="367" ht="12.75" customHeight="1">
      <c r="A367" s="1"/>
      <c r="F367" s="8"/>
      <c r="G367" s="8"/>
      <c r="J367" s="1"/>
      <c r="N367" s="1"/>
      <c r="O367" s="1"/>
      <c r="Q367" s="1"/>
      <c r="R367" s="1"/>
      <c r="S367" s="1"/>
      <c r="T367" s="1"/>
      <c r="U367" s="1"/>
      <c r="V367" s="1"/>
      <c r="W367" s="1"/>
      <c r="X367" s="1"/>
    </row>
    <row r="368" ht="12.75" customHeight="1">
      <c r="A368" s="1"/>
      <c r="F368" s="8"/>
      <c r="G368" s="8"/>
      <c r="J368" s="1"/>
      <c r="N368" s="1"/>
      <c r="O368" s="1"/>
      <c r="Q368" s="1"/>
      <c r="R368" s="1"/>
      <c r="S368" s="1"/>
      <c r="T368" s="1"/>
      <c r="U368" s="1"/>
      <c r="V368" s="1"/>
      <c r="W368" s="1"/>
      <c r="X368" s="1"/>
    </row>
    <row r="369" ht="12.75" customHeight="1">
      <c r="A369" s="1"/>
      <c r="F369" s="8"/>
      <c r="G369" s="8"/>
      <c r="J369" s="1"/>
      <c r="N369" s="1"/>
      <c r="O369" s="1"/>
      <c r="Q369" s="1"/>
      <c r="R369" s="1"/>
      <c r="S369" s="1"/>
      <c r="T369" s="1"/>
      <c r="U369" s="1"/>
      <c r="V369" s="1"/>
      <c r="W369" s="1"/>
      <c r="X369" s="1"/>
    </row>
    <row r="370" ht="12.75" customHeight="1">
      <c r="A370" s="1"/>
      <c r="F370" s="8"/>
      <c r="G370" s="8"/>
      <c r="J370" s="1"/>
      <c r="N370" s="1"/>
      <c r="O370" s="1"/>
      <c r="Q370" s="1"/>
      <c r="R370" s="1"/>
      <c r="S370" s="1"/>
      <c r="T370" s="1"/>
      <c r="U370" s="1"/>
      <c r="V370" s="1"/>
      <c r="W370" s="1"/>
      <c r="X370" s="1"/>
    </row>
    <row r="371" ht="12.75" customHeight="1">
      <c r="A371" s="1"/>
      <c r="F371" s="8"/>
      <c r="G371" s="8"/>
      <c r="J371" s="1"/>
      <c r="N371" s="1"/>
      <c r="O371" s="1"/>
      <c r="Q371" s="1"/>
      <c r="R371" s="1"/>
      <c r="S371" s="1"/>
      <c r="T371" s="1"/>
      <c r="U371" s="1"/>
      <c r="V371" s="1"/>
      <c r="W371" s="1"/>
      <c r="X371" s="1"/>
    </row>
    <row r="372" ht="12.75" customHeight="1">
      <c r="A372" s="1"/>
      <c r="F372" s="8"/>
      <c r="G372" s="8"/>
      <c r="J372" s="1"/>
      <c r="N372" s="1"/>
      <c r="O372" s="1"/>
      <c r="Q372" s="1"/>
      <c r="R372" s="1"/>
      <c r="S372" s="1"/>
      <c r="T372" s="1"/>
      <c r="U372" s="1"/>
      <c r="V372" s="1"/>
      <c r="W372" s="1"/>
      <c r="X372" s="1"/>
    </row>
    <row r="373" ht="12.75" customHeight="1">
      <c r="A373" s="1"/>
      <c r="F373" s="8"/>
      <c r="G373" s="8"/>
      <c r="J373" s="1"/>
      <c r="N373" s="1"/>
      <c r="O373" s="1"/>
      <c r="Q373" s="1"/>
      <c r="R373" s="1"/>
      <c r="S373" s="1"/>
      <c r="T373" s="1"/>
      <c r="U373" s="1"/>
      <c r="V373" s="1"/>
      <c r="W373" s="1"/>
      <c r="X373" s="1"/>
    </row>
    <row r="374" ht="12.75" customHeight="1">
      <c r="A374" s="1"/>
      <c r="F374" s="8"/>
      <c r="G374" s="8"/>
      <c r="J374" s="1"/>
      <c r="N374" s="1"/>
      <c r="O374" s="1"/>
      <c r="Q374" s="1"/>
      <c r="R374" s="1"/>
      <c r="S374" s="1"/>
      <c r="T374" s="1"/>
      <c r="U374" s="1"/>
      <c r="V374" s="1"/>
      <c r="W374" s="1"/>
      <c r="X374" s="1"/>
    </row>
    <row r="375" ht="12.75" customHeight="1">
      <c r="A375" s="1"/>
      <c r="F375" s="8"/>
      <c r="G375" s="8"/>
      <c r="J375" s="1"/>
      <c r="N375" s="1"/>
      <c r="O375" s="1"/>
      <c r="Q375" s="1"/>
      <c r="R375" s="1"/>
      <c r="S375" s="1"/>
      <c r="T375" s="1"/>
      <c r="U375" s="1"/>
      <c r="V375" s="1"/>
      <c r="W375" s="1"/>
      <c r="X375" s="1"/>
    </row>
    <row r="376" ht="12.75" customHeight="1">
      <c r="A376" s="1"/>
      <c r="F376" s="8"/>
      <c r="G376" s="8"/>
      <c r="J376" s="1"/>
      <c r="N376" s="1"/>
      <c r="O376" s="1"/>
      <c r="Q376" s="1"/>
      <c r="R376" s="1"/>
      <c r="S376" s="1"/>
      <c r="T376" s="1"/>
      <c r="U376" s="1"/>
      <c r="V376" s="1"/>
      <c r="W376" s="1"/>
      <c r="X376" s="1"/>
    </row>
    <row r="377" ht="12.75" customHeight="1">
      <c r="A377" s="1"/>
      <c r="F377" s="8"/>
      <c r="G377" s="8"/>
      <c r="J377" s="1"/>
      <c r="N377" s="1"/>
      <c r="O377" s="1"/>
      <c r="Q377" s="1"/>
      <c r="R377" s="1"/>
      <c r="S377" s="1"/>
      <c r="T377" s="1"/>
      <c r="U377" s="1"/>
      <c r="V377" s="1"/>
      <c r="W377" s="1"/>
      <c r="X377" s="1"/>
    </row>
    <row r="378" ht="12.75" customHeight="1">
      <c r="A378" s="1"/>
      <c r="F378" s="8"/>
      <c r="G378" s="8"/>
      <c r="J378" s="1"/>
      <c r="N378" s="1"/>
      <c r="O378" s="1"/>
      <c r="Q378" s="1"/>
      <c r="R378" s="1"/>
      <c r="S378" s="1"/>
      <c r="T378" s="1"/>
      <c r="U378" s="1"/>
      <c r="V378" s="1"/>
      <c r="W378" s="1"/>
      <c r="X378" s="1"/>
    </row>
    <row r="379" ht="12.75" customHeight="1">
      <c r="A379" s="1"/>
      <c r="F379" s="8"/>
      <c r="G379" s="8"/>
      <c r="J379" s="1"/>
      <c r="N379" s="1"/>
      <c r="O379" s="1"/>
      <c r="Q379" s="1"/>
      <c r="R379" s="1"/>
      <c r="S379" s="1"/>
      <c r="T379" s="1"/>
      <c r="U379" s="1"/>
      <c r="V379" s="1"/>
      <c r="W379" s="1"/>
      <c r="X379" s="1"/>
    </row>
    <row r="380" ht="12.75" customHeight="1">
      <c r="A380" s="1"/>
      <c r="F380" s="8"/>
      <c r="G380" s="8"/>
      <c r="J380" s="1"/>
      <c r="N380" s="1"/>
      <c r="O380" s="1"/>
      <c r="Q380" s="1"/>
      <c r="R380" s="1"/>
      <c r="S380" s="1"/>
      <c r="T380" s="1"/>
      <c r="U380" s="1"/>
      <c r="V380" s="1"/>
      <c r="W380" s="1"/>
      <c r="X380" s="1"/>
    </row>
    <row r="381" ht="12.75" customHeight="1">
      <c r="A381" s="1"/>
      <c r="F381" s="8"/>
      <c r="G381" s="8"/>
      <c r="J381" s="1"/>
      <c r="N381" s="1"/>
      <c r="O381" s="1"/>
      <c r="Q381" s="1"/>
      <c r="R381" s="1"/>
      <c r="S381" s="1"/>
      <c r="T381" s="1"/>
      <c r="U381" s="1"/>
      <c r="V381" s="1"/>
      <c r="W381" s="1"/>
      <c r="X381" s="1"/>
    </row>
    <row r="382" ht="12.75" customHeight="1">
      <c r="A382" s="1"/>
      <c r="F382" s="8"/>
      <c r="G382" s="8"/>
      <c r="J382" s="1"/>
      <c r="N382" s="1"/>
      <c r="O382" s="1"/>
      <c r="Q382" s="1"/>
      <c r="R382" s="1"/>
      <c r="S382" s="1"/>
      <c r="T382" s="1"/>
      <c r="U382" s="1"/>
      <c r="V382" s="1"/>
      <c r="W382" s="1"/>
      <c r="X382" s="1"/>
    </row>
    <row r="383" ht="12.75" customHeight="1">
      <c r="A383" s="1"/>
      <c r="F383" s="8"/>
      <c r="G383" s="8"/>
      <c r="J383" s="1"/>
      <c r="N383" s="1"/>
      <c r="O383" s="1"/>
      <c r="Q383" s="1"/>
      <c r="R383" s="1"/>
      <c r="S383" s="1"/>
      <c r="T383" s="1"/>
      <c r="U383" s="1"/>
      <c r="V383" s="1"/>
      <c r="W383" s="1"/>
      <c r="X383" s="1"/>
    </row>
    <row r="384" ht="12.75" customHeight="1">
      <c r="A384" s="1"/>
      <c r="F384" s="8"/>
      <c r="G384" s="8"/>
      <c r="J384" s="1"/>
      <c r="N384" s="1"/>
      <c r="O384" s="1"/>
      <c r="Q384" s="1"/>
      <c r="R384" s="1"/>
      <c r="S384" s="1"/>
      <c r="T384" s="1"/>
      <c r="U384" s="1"/>
      <c r="V384" s="1"/>
      <c r="W384" s="1"/>
      <c r="X384" s="1"/>
    </row>
    <row r="385" ht="12.75" customHeight="1">
      <c r="A385" s="1"/>
      <c r="F385" s="8"/>
      <c r="G385" s="8"/>
      <c r="J385" s="1"/>
      <c r="N385" s="1"/>
      <c r="O385" s="1"/>
      <c r="Q385" s="1"/>
      <c r="R385" s="1"/>
      <c r="S385" s="1"/>
      <c r="T385" s="1"/>
      <c r="U385" s="1"/>
      <c r="V385" s="1"/>
      <c r="W385" s="1"/>
      <c r="X385" s="1"/>
    </row>
    <row r="386" ht="12.75" customHeight="1">
      <c r="A386" s="1"/>
      <c r="F386" s="8"/>
      <c r="G386" s="8"/>
      <c r="J386" s="1"/>
      <c r="N386" s="1"/>
      <c r="O386" s="1"/>
      <c r="Q386" s="1"/>
      <c r="R386" s="1"/>
      <c r="S386" s="1"/>
      <c r="T386" s="1"/>
      <c r="U386" s="1"/>
      <c r="V386" s="1"/>
      <c r="W386" s="1"/>
      <c r="X386" s="1"/>
    </row>
    <row r="387" ht="12.75" customHeight="1">
      <c r="A387" s="1"/>
      <c r="F387" s="8"/>
      <c r="G387" s="8"/>
      <c r="J387" s="1"/>
      <c r="N387" s="1"/>
      <c r="O387" s="1"/>
      <c r="Q387" s="1"/>
      <c r="R387" s="1"/>
      <c r="S387" s="1"/>
      <c r="T387" s="1"/>
      <c r="U387" s="1"/>
      <c r="V387" s="1"/>
      <c r="W387" s="1"/>
      <c r="X387" s="1"/>
    </row>
    <row r="388" ht="12.75" customHeight="1">
      <c r="A388" s="1"/>
      <c r="F388" s="8"/>
      <c r="G388" s="8"/>
      <c r="J388" s="1"/>
      <c r="N388" s="1"/>
      <c r="O388" s="1"/>
      <c r="Q388" s="1"/>
      <c r="R388" s="1"/>
      <c r="S388" s="1"/>
      <c r="T388" s="1"/>
      <c r="U388" s="1"/>
      <c r="V388" s="1"/>
      <c r="W388" s="1"/>
      <c r="X388" s="1"/>
    </row>
    <row r="389" ht="12.75" customHeight="1">
      <c r="A389" s="1"/>
      <c r="F389" s="8"/>
      <c r="G389" s="8"/>
      <c r="J389" s="1"/>
      <c r="N389" s="1"/>
      <c r="O389" s="1"/>
      <c r="Q389" s="1"/>
      <c r="R389" s="1"/>
      <c r="S389" s="1"/>
      <c r="T389" s="1"/>
      <c r="U389" s="1"/>
      <c r="V389" s="1"/>
      <c r="W389" s="1"/>
      <c r="X389" s="1"/>
    </row>
    <row r="390" ht="12.75" customHeight="1">
      <c r="A390" s="1"/>
      <c r="F390" s="8"/>
      <c r="G390" s="8"/>
      <c r="J390" s="1"/>
      <c r="N390" s="1"/>
      <c r="O390" s="1"/>
      <c r="Q390" s="1"/>
      <c r="R390" s="1"/>
      <c r="S390" s="1"/>
      <c r="T390" s="1"/>
      <c r="U390" s="1"/>
      <c r="V390" s="1"/>
      <c r="W390" s="1"/>
      <c r="X390" s="1"/>
    </row>
    <row r="391" ht="12.75" customHeight="1">
      <c r="A391" s="1"/>
      <c r="F391" s="8"/>
      <c r="G391" s="8"/>
      <c r="J391" s="1"/>
      <c r="N391" s="1"/>
      <c r="O391" s="1"/>
      <c r="Q391" s="1"/>
      <c r="R391" s="1"/>
      <c r="S391" s="1"/>
      <c r="T391" s="1"/>
      <c r="U391" s="1"/>
      <c r="V391" s="1"/>
      <c r="W391" s="1"/>
      <c r="X391" s="1"/>
    </row>
    <row r="392" ht="12.75" customHeight="1">
      <c r="A392" s="1"/>
      <c r="F392" s="8"/>
      <c r="G392" s="8"/>
      <c r="J392" s="1"/>
      <c r="N392" s="1"/>
      <c r="O392" s="1"/>
      <c r="Q392" s="1"/>
      <c r="R392" s="1"/>
      <c r="S392" s="1"/>
      <c r="T392" s="1"/>
      <c r="U392" s="1"/>
      <c r="V392" s="1"/>
      <c r="W392" s="1"/>
      <c r="X392" s="1"/>
    </row>
    <row r="393" ht="12.75" customHeight="1">
      <c r="A393" s="1"/>
      <c r="F393" s="8"/>
      <c r="G393" s="8"/>
      <c r="J393" s="1"/>
      <c r="N393" s="1"/>
      <c r="O393" s="1"/>
      <c r="Q393" s="1"/>
      <c r="R393" s="1"/>
      <c r="S393" s="1"/>
      <c r="T393" s="1"/>
      <c r="U393" s="1"/>
      <c r="V393" s="1"/>
      <c r="W393" s="1"/>
      <c r="X393" s="1"/>
    </row>
    <row r="394" ht="12.75" customHeight="1">
      <c r="A394" s="1"/>
      <c r="F394" s="8"/>
      <c r="G394" s="8"/>
      <c r="J394" s="1"/>
      <c r="N394" s="1"/>
      <c r="O394" s="1"/>
      <c r="Q394" s="1"/>
      <c r="R394" s="1"/>
      <c r="S394" s="1"/>
      <c r="T394" s="1"/>
      <c r="U394" s="1"/>
      <c r="V394" s="1"/>
      <c r="W394" s="1"/>
      <c r="X394" s="1"/>
    </row>
    <row r="395" ht="12.75" customHeight="1">
      <c r="A395" s="1"/>
      <c r="F395" s="8"/>
      <c r="G395" s="8"/>
      <c r="J395" s="1"/>
      <c r="N395" s="1"/>
      <c r="O395" s="1"/>
      <c r="Q395" s="1"/>
      <c r="R395" s="1"/>
      <c r="S395" s="1"/>
      <c r="T395" s="1"/>
      <c r="U395" s="1"/>
      <c r="V395" s="1"/>
      <c r="W395" s="1"/>
      <c r="X395" s="1"/>
    </row>
    <row r="396" ht="12.75" customHeight="1">
      <c r="A396" s="1"/>
      <c r="F396" s="8"/>
      <c r="G396" s="8"/>
      <c r="J396" s="1"/>
      <c r="N396" s="1"/>
      <c r="O396" s="1"/>
      <c r="Q396" s="1"/>
      <c r="R396" s="1"/>
      <c r="S396" s="1"/>
      <c r="T396" s="1"/>
      <c r="U396" s="1"/>
      <c r="V396" s="1"/>
      <c r="W396" s="1"/>
      <c r="X396" s="1"/>
    </row>
    <row r="397" ht="12.75" customHeight="1">
      <c r="A397" s="1"/>
      <c r="F397" s="8"/>
      <c r="G397" s="8"/>
      <c r="J397" s="1"/>
      <c r="N397" s="1"/>
      <c r="O397" s="1"/>
      <c r="Q397" s="1"/>
      <c r="R397" s="1"/>
      <c r="S397" s="1"/>
      <c r="T397" s="1"/>
      <c r="U397" s="1"/>
      <c r="V397" s="1"/>
      <c r="W397" s="1"/>
      <c r="X397" s="1"/>
    </row>
    <row r="398" ht="12.75" customHeight="1">
      <c r="A398" s="1"/>
      <c r="F398" s="8"/>
      <c r="G398" s="8"/>
      <c r="J398" s="1"/>
      <c r="N398" s="1"/>
      <c r="O398" s="1"/>
      <c r="Q398" s="1"/>
      <c r="R398" s="1"/>
      <c r="S398" s="1"/>
      <c r="T398" s="1"/>
      <c r="U398" s="1"/>
      <c r="V398" s="1"/>
      <c r="W398" s="1"/>
      <c r="X398" s="1"/>
    </row>
    <row r="399" ht="12.75" customHeight="1">
      <c r="A399" s="1"/>
      <c r="F399" s="8"/>
      <c r="G399" s="8"/>
      <c r="J399" s="1"/>
      <c r="N399" s="1"/>
      <c r="O399" s="1"/>
      <c r="Q399" s="1"/>
      <c r="R399" s="1"/>
      <c r="S399" s="1"/>
      <c r="T399" s="1"/>
      <c r="U399" s="1"/>
      <c r="V399" s="1"/>
      <c r="W399" s="1"/>
      <c r="X399" s="1"/>
    </row>
    <row r="400" ht="12.75" customHeight="1">
      <c r="A400" s="1"/>
      <c r="F400" s="8"/>
      <c r="G400" s="8"/>
      <c r="J400" s="1"/>
      <c r="N400" s="1"/>
      <c r="O400" s="1"/>
      <c r="Q400" s="1"/>
      <c r="R400" s="1"/>
      <c r="S400" s="1"/>
      <c r="T400" s="1"/>
      <c r="U400" s="1"/>
      <c r="V400" s="1"/>
      <c r="W400" s="1"/>
      <c r="X400" s="1"/>
    </row>
    <row r="401" ht="12.75" customHeight="1">
      <c r="A401" s="1"/>
      <c r="F401" s="8"/>
      <c r="G401" s="8"/>
      <c r="J401" s="1"/>
      <c r="N401" s="1"/>
      <c r="O401" s="1"/>
      <c r="Q401" s="1"/>
      <c r="R401" s="1"/>
      <c r="S401" s="1"/>
      <c r="T401" s="1"/>
      <c r="U401" s="1"/>
      <c r="V401" s="1"/>
      <c r="W401" s="1"/>
      <c r="X401" s="1"/>
    </row>
    <row r="402" ht="12.75" customHeight="1">
      <c r="A402" s="1"/>
      <c r="F402" s="8"/>
      <c r="G402" s="8"/>
      <c r="J402" s="1"/>
      <c r="N402" s="1"/>
      <c r="O402" s="1"/>
      <c r="Q402" s="1"/>
      <c r="R402" s="1"/>
      <c r="S402" s="1"/>
      <c r="T402" s="1"/>
      <c r="U402" s="1"/>
      <c r="V402" s="1"/>
      <c r="W402" s="1"/>
      <c r="X402" s="1"/>
    </row>
    <row r="403" ht="12.75" customHeight="1">
      <c r="A403" s="1"/>
      <c r="F403" s="8"/>
      <c r="G403" s="8"/>
      <c r="J403" s="1"/>
      <c r="N403" s="1"/>
      <c r="O403" s="1"/>
      <c r="Q403" s="1"/>
      <c r="R403" s="1"/>
      <c r="S403" s="1"/>
      <c r="T403" s="1"/>
      <c r="U403" s="1"/>
      <c r="V403" s="1"/>
      <c r="W403" s="1"/>
      <c r="X403" s="1"/>
    </row>
    <row r="404" ht="12.75" customHeight="1">
      <c r="A404" s="1"/>
      <c r="F404" s="8"/>
      <c r="G404" s="8"/>
      <c r="J404" s="1"/>
      <c r="N404" s="1"/>
      <c r="O404" s="1"/>
      <c r="Q404" s="1"/>
      <c r="R404" s="1"/>
      <c r="S404" s="1"/>
      <c r="T404" s="1"/>
      <c r="U404" s="1"/>
      <c r="V404" s="1"/>
      <c r="W404" s="1"/>
      <c r="X404" s="1"/>
    </row>
    <row r="405" ht="12.75" customHeight="1">
      <c r="A405" s="1"/>
      <c r="F405" s="8"/>
      <c r="G405" s="8"/>
      <c r="J405" s="1"/>
      <c r="N405" s="1"/>
      <c r="O405" s="1"/>
      <c r="Q405" s="1"/>
      <c r="R405" s="1"/>
      <c r="S405" s="1"/>
      <c r="T405" s="1"/>
      <c r="U405" s="1"/>
      <c r="V405" s="1"/>
      <c r="W405" s="1"/>
      <c r="X405" s="1"/>
    </row>
    <row r="406" ht="12.75" customHeight="1">
      <c r="A406" s="1"/>
      <c r="F406" s="8"/>
      <c r="G406" s="8"/>
      <c r="J406" s="1"/>
      <c r="N406" s="1"/>
      <c r="O406" s="1"/>
      <c r="Q406" s="1"/>
      <c r="R406" s="1"/>
      <c r="S406" s="1"/>
      <c r="T406" s="1"/>
      <c r="U406" s="1"/>
      <c r="V406" s="1"/>
      <c r="W406" s="1"/>
      <c r="X406" s="1"/>
    </row>
    <row r="407" ht="12.75" customHeight="1">
      <c r="A407" s="1"/>
      <c r="F407" s="8"/>
      <c r="G407" s="8"/>
      <c r="J407" s="1"/>
      <c r="N407" s="1"/>
      <c r="O407" s="1"/>
      <c r="Q407" s="1"/>
      <c r="R407" s="1"/>
      <c r="S407" s="1"/>
      <c r="T407" s="1"/>
      <c r="U407" s="1"/>
      <c r="V407" s="1"/>
      <c r="W407" s="1"/>
      <c r="X407" s="1"/>
    </row>
    <row r="408" ht="12.75" customHeight="1">
      <c r="A408" s="1"/>
      <c r="F408" s="8"/>
      <c r="G408" s="8"/>
      <c r="J408" s="1"/>
      <c r="N408" s="1"/>
      <c r="O408" s="1"/>
      <c r="Q408" s="1"/>
      <c r="R408" s="1"/>
      <c r="S408" s="1"/>
      <c r="T408" s="1"/>
      <c r="U408" s="1"/>
      <c r="V408" s="1"/>
      <c r="W408" s="1"/>
      <c r="X408" s="1"/>
    </row>
    <row r="409" ht="12.75" customHeight="1">
      <c r="A409" s="1"/>
      <c r="F409" s="8"/>
      <c r="G409" s="8"/>
      <c r="J409" s="1"/>
      <c r="N409" s="1"/>
      <c r="O409" s="1"/>
      <c r="Q409" s="1"/>
      <c r="R409" s="1"/>
      <c r="S409" s="1"/>
      <c r="T409" s="1"/>
      <c r="U409" s="1"/>
      <c r="V409" s="1"/>
      <c r="W409" s="1"/>
      <c r="X409" s="1"/>
    </row>
    <row r="410" ht="12.75" customHeight="1">
      <c r="A410" s="1"/>
      <c r="F410" s="8"/>
      <c r="G410" s="8"/>
      <c r="J410" s="1"/>
      <c r="N410" s="1"/>
      <c r="O410" s="1"/>
      <c r="Q410" s="1"/>
      <c r="R410" s="1"/>
      <c r="S410" s="1"/>
      <c r="T410" s="1"/>
      <c r="U410" s="1"/>
      <c r="V410" s="1"/>
      <c r="W410" s="1"/>
      <c r="X410" s="1"/>
    </row>
    <row r="411" ht="12.75" customHeight="1">
      <c r="A411" s="1"/>
      <c r="F411" s="8"/>
      <c r="G411" s="8"/>
      <c r="J411" s="1"/>
      <c r="N411" s="1"/>
      <c r="O411" s="1"/>
      <c r="Q411" s="1"/>
      <c r="R411" s="1"/>
      <c r="S411" s="1"/>
      <c r="T411" s="1"/>
      <c r="U411" s="1"/>
      <c r="V411" s="1"/>
      <c r="W411" s="1"/>
      <c r="X411" s="1"/>
    </row>
    <row r="412" ht="12.75" customHeight="1">
      <c r="A412" s="1"/>
      <c r="F412" s="8"/>
      <c r="G412" s="8"/>
      <c r="J412" s="1"/>
      <c r="N412" s="1"/>
      <c r="O412" s="1"/>
      <c r="Q412" s="1"/>
      <c r="R412" s="1"/>
      <c r="S412" s="1"/>
      <c r="T412" s="1"/>
      <c r="U412" s="1"/>
      <c r="V412" s="1"/>
      <c r="W412" s="1"/>
      <c r="X412" s="1"/>
    </row>
    <row r="413" ht="12.75" customHeight="1">
      <c r="A413" s="1"/>
      <c r="F413" s="8"/>
      <c r="G413" s="8"/>
      <c r="J413" s="1"/>
      <c r="N413" s="1"/>
      <c r="O413" s="1"/>
      <c r="Q413" s="1"/>
      <c r="R413" s="1"/>
      <c r="S413" s="1"/>
      <c r="T413" s="1"/>
      <c r="U413" s="1"/>
      <c r="V413" s="1"/>
      <c r="W413" s="1"/>
      <c r="X413" s="1"/>
    </row>
    <row r="414" ht="12.75" customHeight="1">
      <c r="A414" s="1"/>
      <c r="F414" s="8"/>
      <c r="G414" s="8"/>
      <c r="J414" s="1"/>
      <c r="N414" s="1"/>
      <c r="O414" s="1"/>
      <c r="Q414" s="1"/>
      <c r="R414" s="1"/>
      <c r="S414" s="1"/>
      <c r="T414" s="1"/>
      <c r="U414" s="1"/>
      <c r="V414" s="1"/>
      <c r="W414" s="1"/>
      <c r="X414" s="1"/>
    </row>
    <row r="415" ht="12.75" customHeight="1">
      <c r="A415" s="1"/>
      <c r="F415" s="8"/>
      <c r="G415" s="8"/>
      <c r="J415" s="1"/>
      <c r="N415" s="1"/>
      <c r="O415" s="1"/>
      <c r="Q415" s="1"/>
      <c r="R415" s="1"/>
      <c r="S415" s="1"/>
      <c r="T415" s="1"/>
      <c r="U415" s="1"/>
      <c r="V415" s="1"/>
      <c r="W415" s="1"/>
      <c r="X415" s="1"/>
    </row>
    <row r="416" ht="12.75" customHeight="1">
      <c r="A416" s="1"/>
      <c r="F416" s="8"/>
      <c r="G416" s="8"/>
      <c r="J416" s="1"/>
      <c r="N416" s="1"/>
      <c r="O416" s="1"/>
      <c r="Q416" s="1"/>
      <c r="R416" s="1"/>
      <c r="S416" s="1"/>
      <c r="T416" s="1"/>
      <c r="U416" s="1"/>
      <c r="V416" s="1"/>
      <c r="W416" s="1"/>
      <c r="X416" s="1"/>
    </row>
    <row r="417" ht="12.75" customHeight="1">
      <c r="A417" s="1"/>
      <c r="F417" s="8"/>
      <c r="G417" s="8"/>
      <c r="J417" s="1"/>
      <c r="N417" s="1"/>
      <c r="O417" s="1"/>
      <c r="Q417" s="1"/>
      <c r="R417" s="1"/>
      <c r="S417" s="1"/>
      <c r="T417" s="1"/>
      <c r="U417" s="1"/>
      <c r="V417" s="1"/>
      <c r="W417" s="1"/>
      <c r="X417" s="1"/>
    </row>
    <row r="418" ht="12.75" customHeight="1">
      <c r="A418" s="1"/>
      <c r="F418" s="8"/>
      <c r="G418" s="8"/>
      <c r="J418" s="1"/>
      <c r="N418" s="1"/>
      <c r="O418" s="1"/>
      <c r="Q418" s="1"/>
      <c r="R418" s="1"/>
      <c r="S418" s="1"/>
      <c r="T418" s="1"/>
      <c r="U418" s="1"/>
      <c r="V418" s="1"/>
      <c r="W418" s="1"/>
      <c r="X418" s="1"/>
    </row>
    <row r="419" ht="12.75" customHeight="1">
      <c r="A419" s="1"/>
      <c r="F419" s="8"/>
      <c r="G419" s="8"/>
      <c r="J419" s="1"/>
      <c r="N419" s="1"/>
      <c r="O419" s="1"/>
      <c r="Q419" s="1"/>
      <c r="R419" s="1"/>
      <c r="S419" s="1"/>
      <c r="T419" s="1"/>
      <c r="U419" s="1"/>
      <c r="V419" s="1"/>
      <c r="W419" s="1"/>
      <c r="X419" s="1"/>
    </row>
    <row r="420" ht="12.75" customHeight="1">
      <c r="A420" s="1"/>
      <c r="F420" s="8"/>
      <c r="G420" s="8"/>
      <c r="J420" s="1"/>
      <c r="N420" s="1"/>
      <c r="O420" s="1"/>
      <c r="Q420" s="1"/>
      <c r="R420" s="1"/>
      <c r="S420" s="1"/>
      <c r="T420" s="1"/>
      <c r="U420" s="1"/>
      <c r="V420" s="1"/>
      <c r="W420" s="1"/>
      <c r="X420" s="1"/>
    </row>
    <row r="421" ht="12.75" customHeight="1">
      <c r="A421" s="1"/>
      <c r="F421" s="8"/>
      <c r="G421" s="8"/>
      <c r="J421" s="1"/>
      <c r="N421" s="1"/>
      <c r="O421" s="1"/>
      <c r="Q421" s="1"/>
      <c r="R421" s="1"/>
      <c r="S421" s="1"/>
      <c r="T421" s="1"/>
      <c r="U421" s="1"/>
      <c r="V421" s="1"/>
      <c r="W421" s="1"/>
      <c r="X421" s="1"/>
    </row>
    <row r="422" ht="12.75" customHeight="1">
      <c r="A422" s="1"/>
      <c r="F422" s="8"/>
      <c r="G422" s="8"/>
      <c r="J422" s="1"/>
      <c r="N422" s="1"/>
      <c r="O422" s="1"/>
      <c r="Q422" s="1"/>
      <c r="R422" s="1"/>
      <c r="S422" s="1"/>
      <c r="T422" s="1"/>
      <c r="U422" s="1"/>
      <c r="V422" s="1"/>
      <c r="W422" s="1"/>
      <c r="X422" s="1"/>
    </row>
    <row r="423" ht="12.75" customHeight="1">
      <c r="A423" s="1"/>
      <c r="F423" s="8"/>
      <c r="G423" s="8"/>
      <c r="J423" s="1"/>
      <c r="N423" s="1"/>
      <c r="O423" s="1"/>
      <c r="Q423" s="1"/>
      <c r="R423" s="1"/>
      <c r="S423" s="1"/>
      <c r="T423" s="1"/>
      <c r="U423" s="1"/>
      <c r="V423" s="1"/>
      <c r="W423" s="1"/>
      <c r="X423" s="1"/>
    </row>
    <row r="424" ht="12.75" customHeight="1">
      <c r="A424" s="1"/>
      <c r="F424" s="8"/>
      <c r="G424" s="8"/>
      <c r="J424" s="1"/>
      <c r="N424" s="1"/>
      <c r="O424" s="1"/>
      <c r="Q424" s="1"/>
      <c r="R424" s="1"/>
      <c r="S424" s="1"/>
      <c r="T424" s="1"/>
      <c r="U424" s="1"/>
      <c r="V424" s="1"/>
      <c r="W424" s="1"/>
      <c r="X424" s="1"/>
    </row>
    <row r="425" ht="12.75" customHeight="1">
      <c r="A425" s="1"/>
      <c r="F425" s="8"/>
      <c r="G425" s="8"/>
      <c r="J425" s="1"/>
      <c r="N425" s="1"/>
      <c r="O425" s="1"/>
      <c r="Q425" s="1"/>
      <c r="R425" s="1"/>
      <c r="S425" s="1"/>
      <c r="T425" s="1"/>
      <c r="U425" s="1"/>
      <c r="V425" s="1"/>
      <c r="W425" s="1"/>
      <c r="X425" s="1"/>
    </row>
    <row r="426" ht="12.75" customHeight="1">
      <c r="A426" s="1"/>
      <c r="F426" s="8"/>
      <c r="G426" s="8"/>
      <c r="J426" s="1"/>
      <c r="N426" s="1"/>
      <c r="O426" s="1"/>
      <c r="Q426" s="1"/>
      <c r="R426" s="1"/>
      <c r="S426" s="1"/>
      <c r="T426" s="1"/>
      <c r="U426" s="1"/>
      <c r="V426" s="1"/>
      <c r="W426" s="1"/>
      <c r="X426" s="1"/>
    </row>
    <row r="427" ht="12.75" customHeight="1">
      <c r="A427" s="1"/>
      <c r="F427" s="8"/>
      <c r="G427" s="8"/>
      <c r="J427" s="1"/>
      <c r="N427" s="1"/>
      <c r="O427" s="1"/>
      <c r="Q427" s="1"/>
      <c r="R427" s="1"/>
      <c r="S427" s="1"/>
      <c r="T427" s="1"/>
      <c r="U427" s="1"/>
      <c r="V427" s="1"/>
      <c r="W427" s="1"/>
      <c r="X427" s="1"/>
    </row>
    <row r="428" ht="12.75" customHeight="1">
      <c r="A428" s="1"/>
      <c r="F428" s="8"/>
      <c r="G428" s="8"/>
      <c r="J428" s="1"/>
      <c r="N428" s="1"/>
      <c r="O428" s="1"/>
      <c r="Q428" s="1"/>
      <c r="R428" s="1"/>
      <c r="S428" s="1"/>
      <c r="T428" s="1"/>
      <c r="U428" s="1"/>
      <c r="V428" s="1"/>
      <c r="W428" s="1"/>
      <c r="X428" s="1"/>
    </row>
    <row r="429" ht="12.75" customHeight="1">
      <c r="A429" s="1"/>
      <c r="F429" s="8"/>
      <c r="G429" s="8"/>
      <c r="J429" s="1"/>
      <c r="N429" s="1"/>
      <c r="O429" s="1"/>
      <c r="Q429" s="1"/>
      <c r="R429" s="1"/>
      <c r="S429" s="1"/>
      <c r="T429" s="1"/>
      <c r="U429" s="1"/>
      <c r="V429" s="1"/>
      <c r="W429" s="1"/>
      <c r="X429" s="1"/>
    </row>
    <row r="430" ht="12.75" customHeight="1">
      <c r="A430" s="1"/>
      <c r="F430" s="8"/>
      <c r="G430" s="8"/>
      <c r="J430" s="1"/>
      <c r="N430" s="1"/>
      <c r="O430" s="1"/>
      <c r="Q430" s="1"/>
      <c r="R430" s="1"/>
      <c r="S430" s="1"/>
      <c r="T430" s="1"/>
      <c r="U430" s="1"/>
      <c r="V430" s="1"/>
      <c r="W430" s="1"/>
      <c r="X430" s="1"/>
    </row>
    <row r="431" ht="12.75" customHeight="1">
      <c r="A431" s="1"/>
      <c r="F431" s="8"/>
      <c r="G431" s="8"/>
      <c r="J431" s="1"/>
      <c r="N431" s="1"/>
      <c r="O431" s="1"/>
      <c r="Q431" s="1"/>
      <c r="R431" s="1"/>
      <c r="S431" s="1"/>
      <c r="T431" s="1"/>
      <c r="U431" s="1"/>
      <c r="V431" s="1"/>
      <c r="W431" s="1"/>
      <c r="X431" s="1"/>
    </row>
    <row r="432" ht="12.75" customHeight="1">
      <c r="A432" s="1"/>
      <c r="F432" s="8"/>
      <c r="G432" s="8"/>
      <c r="J432" s="1"/>
      <c r="N432" s="1"/>
      <c r="O432" s="1"/>
      <c r="Q432" s="1"/>
      <c r="R432" s="1"/>
      <c r="S432" s="1"/>
      <c r="T432" s="1"/>
      <c r="U432" s="1"/>
      <c r="V432" s="1"/>
      <c r="W432" s="1"/>
      <c r="X432" s="1"/>
    </row>
    <row r="433" ht="12.75" customHeight="1">
      <c r="A433" s="1"/>
      <c r="F433" s="8"/>
      <c r="G433" s="8"/>
      <c r="J433" s="1"/>
      <c r="N433" s="1"/>
      <c r="O433" s="1"/>
      <c r="Q433" s="1"/>
      <c r="R433" s="1"/>
      <c r="S433" s="1"/>
      <c r="T433" s="1"/>
      <c r="U433" s="1"/>
      <c r="V433" s="1"/>
      <c r="W433" s="1"/>
      <c r="X433" s="1"/>
    </row>
    <row r="434" ht="12.75" customHeight="1">
      <c r="A434" s="1"/>
      <c r="F434" s="8"/>
      <c r="G434" s="8"/>
      <c r="J434" s="1"/>
      <c r="N434" s="1"/>
      <c r="O434" s="1"/>
      <c r="Q434" s="1"/>
      <c r="R434" s="1"/>
      <c r="S434" s="1"/>
      <c r="T434" s="1"/>
      <c r="U434" s="1"/>
      <c r="V434" s="1"/>
      <c r="W434" s="1"/>
      <c r="X434" s="1"/>
    </row>
    <row r="435" ht="12.75" customHeight="1">
      <c r="A435" s="1"/>
      <c r="F435" s="8"/>
      <c r="G435" s="8"/>
      <c r="J435" s="1"/>
      <c r="N435" s="1"/>
      <c r="O435" s="1"/>
      <c r="Q435" s="1"/>
      <c r="R435" s="1"/>
      <c r="S435" s="1"/>
      <c r="T435" s="1"/>
      <c r="U435" s="1"/>
      <c r="V435" s="1"/>
      <c r="W435" s="1"/>
      <c r="X435" s="1"/>
    </row>
    <row r="436" ht="12.75" customHeight="1">
      <c r="A436" s="1"/>
      <c r="F436" s="8"/>
      <c r="G436" s="8"/>
      <c r="J436" s="1"/>
      <c r="N436" s="1"/>
      <c r="O436" s="1"/>
      <c r="Q436" s="1"/>
      <c r="R436" s="1"/>
      <c r="S436" s="1"/>
      <c r="T436" s="1"/>
      <c r="U436" s="1"/>
      <c r="V436" s="1"/>
      <c r="W436" s="1"/>
      <c r="X436" s="1"/>
    </row>
    <row r="437" ht="12.75" customHeight="1">
      <c r="A437" s="1"/>
      <c r="F437" s="8"/>
      <c r="G437" s="8"/>
      <c r="J437" s="1"/>
      <c r="N437" s="1"/>
      <c r="O437" s="1"/>
      <c r="Q437" s="1"/>
      <c r="R437" s="1"/>
      <c r="S437" s="1"/>
      <c r="T437" s="1"/>
      <c r="U437" s="1"/>
      <c r="V437" s="1"/>
      <c r="W437" s="1"/>
      <c r="X437" s="1"/>
    </row>
    <row r="438" ht="12.75" customHeight="1">
      <c r="A438" s="1"/>
      <c r="F438" s="8"/>
      <c r="G438" s="8"/>
      <c r="J438" s="1"/>
      <c r="N438" s="1"/>
      <c r="O438" s="1"/>
      <c r="Q438" s="1"/>
      <c r="R438" s="1"/>
      <c r="S438" s="1"/>
      <c r="T438" s="1"/>
      <c r="U438" s="1"/>
      <c r="V438" s="1"/>
      <c r="W438" s="1"/>
      <c r="X438" s="1"/>
    </row>
    <row r="439" ht="12.75" customHeight="1">
      <c r="A439" s="1"/>
      <c r="F439" s="8"/>
      <c r="G439" s="8"/>
      <c r="J439" s="1"/>
      <c r="N439" s="1"/>
      <c r="O439" s="1"/>
      <c r="Q439" s="1"/>
      <c r="R439" s="1"/>
      <c r="S439" s="1"/>
      <c r="T439" s="1"/>
      <c r="U439" s="1"/>
      <c r="V439" s="1"/>
      <c r="W439" s="1"/>
      <c r="X439" s="1"/>
    </row>
    <row r="440" ht="12.75" customHeight="1">
      <c r="A440" s="1"/>
      <c r="F440" s="8"/>
      <c r="G440" s="8"/>
      <c r="J440" s="1"/>
      <c r="N440" s="1"/>
      <c r="O440" s="1"/>
      <c r="Q440" s="1"/>
      <c r="R440" s="1"/>
      <c r="S440" s="1"/>
      <c r="T440" s="1"/>
      <c r="U440" s="1"/>
      <c r="V440" s="1"/>
      <c r="W440" s="1"/>
      <c r="X440" s="1"/>
    </row>
    <row r="441" ht="12.75" customHeight="1">
      <c r="A441" s="1"/>
      <c r="F441" s="8"/>
      <c r="G441" s="8"/>
      <c r="J441" s="1"/>
      <c r="N441" s="1"/>
      <c r="O441" s="1"/>
      <c r="Q441" s="1"/>
      <c r="R441" s="1"/>
      <c r="S441" s="1"/>
      <c r="T441" s="1"/>
      <c r="U441" s="1"/>
      <c r="V441" s="1"/>
      <c r="W441" s="1"/>
      <c r="X441" s="1"/>
    </row>
    <row r="442" ht="12.75" customHeight="1">
      <c r="A442" s="1"/>
      <c r="F442" s="8"/>
      <c r="G442" s="8"/>
      <c r="J442" s="1"/>
      <c r="N442" s="1"/>
      <c r="O442" s="1"/>
      <c r="Q442" s="1"/>
      <c r="R442" s="1"/>
      <c r="S442" s="1"/>
      <c r="T442" s="1"/>
      <c r="U442" s="1"/>
      <c r="V442" s="1"/>
      <c r="W442" s="1"/>
      <c r="X442" s="1"/>
    </row>
    <row r="443" ht="12.75" customHeight="1">
      <c r="A443" s="1"/>
      <c r="F443" s="8"/>
      <c r="G443" s="8"/>
      <c r="J443" s="1"/>
      <c r="N443" s="1"/>
      <c r="O443" s="1"/>
      <c r="Q443" s="1"/>
      <c r="R443" s="1"/>
      <c r="S443" s="1"/>
      <c r="T443" s="1"/>
      <c r="U443" s="1"/>
      <c r="V443" s="1"/>
      <c r="W443" s="1"/>
      <c r="X443" s="1"/>
    </row>
    <row r="444" ht="12.75" customHeight="1">
      <c r="A444" s="1"/>
      <c r="F444" s="8"/>
      <c r="G444" s="8"/>
      <c r="J444" s="1"/>
      <c r="N444" s="1"/>
      <c r="O444" s="1"/>
      <c r="Q444" s="1"/>
      <c r="R444" s="1"/>
      <c r="S444" s="1"/>
      <c r="T444" s="1"/>
      <c r="U444" s="1"/>
      <c r="V444" s="1"/>
      <c r="W444" s="1"/>
      <c r="X444" s="1"/>
    </row>
    <row r="445" ht="12.75" customHeight="1">
      <c r="A445" s="1"/>
      <c r="F445" s="8"/>
      <c r="G445" s="8"/>
      <c r="J445" s="1"/>
      <c r="N445" s="1"/>
      <c r="O445" s="1"/>
      <c r="Q445" s="1"/>
      <c r="R445" s="1"/>
      <c r="S445" s="1"/>
      <c r="T445" s="1"/>
      <c r="U445" s="1"/>
      <c r="V445" s="1"/>
      <c r="W445" s="1"/>
      <c r="X445" s="1"/>
    </row>
    <row r="446" ht="12.75" customHeight="1">
      <c r="A446" s="1"/>
      <c r="F446" s="8"/>
      <c r="G446" s="8"/>
      <c r="J446" s="1"/>
      <c r="N446" s="1"/>
      <c r="O446" s="1"/>
      <c r="Q446" s="1"/>
      <c r="R446" s="1"/>
      <c r="S446" s="1"/>
      <c r="T446" s="1"/>
      <c r="U446" s="1"/>
      <c r="V446" s="1"/>
      <c r="W446" s="1"/>
      <c r="X446" s="1"/>
    </row>
    <row r="447" ht="12.75" customHeight="1">
      <c r="A447" s="1"/>
      <c r="F447" s="8"/>
      <c r="G447" s="8"/>
      <c r="J447" s="1"/>
      <c r="N447" s="1"/>
      <c r="O447" s="1"/>
      <c r="Q447" s="1"/>
      <c r="R447" s="1"/>
      <c r="S447" s="1"/>
      <c r="T447" s="1"/>
      <c r="U447" s="1"/>
      <c r="V447" s="1"/>
      <c r="W447" s="1"/>
      <c r="X447" s="1"/>
    </row>
    <row r="448" ht="12.75" customHeight="1">
      <c r="A448" s="1"/>
      <c r="F448" s="8"/>
      <c r="G448" s="8"/>
      <c r="J448" s="1"/>
      <c r="N448" s="1"/>
      <c r="O448" s="1"/>
      <c r="Q448" s="1"/>
      <c r="R448" s="1"/>
      <c r="S448" s="1"/>
      <c r="T448" s="1"/>
      <c r="U448" s="1"/>
      <c r="V448" s="1"/>
      <c r="W448" s="1"/>
      <c r="X448" s="1"/>
    </row>
    <row r="449" ht="12.75" customHeight="1">
      <c r="A449" s="1"/>
      <c r="F449" s="8"/>
      <c r="G449" s="8"/>
      <c r="J449" s="1"/>
      <c r="N449" s="1"/>
      <c r="O449" s="1"/>
      <c r="Q449" s="1"/>
      <c r="R449" s="1"/>
      <c r="S449" s="1"/>
      <c r="T449" s="1"/>
      <c r="U449" s="1"/>
      <c r="V449" s="1"/>
      <c r="W449" s="1"/>
      <c r="X449" s="1"/>
    </row>
    <row r="450" ht="12.75" customHeight="1">
      <c r="A450" s="1"/>
      <c r="F450" s="8"/>
      <c r="G450" s="8"/>
      <c r="J450" s="1"/>
      <c r="N450" s="1"/>
      <c r="O450" s="1"/>
      <c r="Q450" s="1"/>
      <c r="R450" s="1"/>
      <c r="S450" s="1"/>
      <c r="T450" s="1"/>
      <c r="U450" s="1"/>
      <c r="V450" s="1"/>
      <c r="W450" s="1"/>
      <c r="X450" s="1"/>
    </row>
    <row r="451" ht="12.75" customHeight="1">
      <c r="A451" s="1"/>
      <c r="F451" s="8"/>
      <c r="G451" s="8"/>
      <c r="J451" s="1"/>
      <c r="N451" s="1"/>
      <c r="O451" s="1"/>
      <c r="Q451" s="1"/>
      <c r="R451" s="1"/>
      <c r="S451" s="1"/>
      <c r="T451" s="1"/>
      <c r="U451" s="1"/>
      <c r="V451" s="1"/>
      <c r="W451" s="1"/>
      <c r="X451" s="1"/>
    </row>
    <row r="452" ht="12.75" customHeight="1">
      <c r="A452" s="1"/>
      <c r="F452" s="8"/>
      <c r="G452" s="8"/>
      <c r="J452" s="1"/>
      <c r="N452" s="1"/>
      <c r="O452" s="1"/>
      <c r="Q452" s="1"/>
      <c r="R452" s="1"/>
      <c r="S452" s="1"/>
      <c r="T452" s="1"/>
      <c r="U452" s="1"/>
      <c r="V452" s="1"/>
      <c r="W452" s="1"/>
      <c r="X452" s="1"/>
    </row>
    <row r="453" ht="12.75" customHeight="1">
      <c r="A453" s="1"/>
      <c r="F453" s="8"/>
      <c r="G453" s="8"/>
      <c r="J453" s="1"/>
      <c r="N453" s="1"/>
      <c r="O453" s="1"/>
      <c r="Q453" s="1"/>
      <c r="R453" s="1"/>
      <c r="S453" s="1"/>
      <c r="T453" s="1"/>
      <c r="U453" s="1"/>
      <c r="V453" s="1"/>
      <c r="W453" s="1"/>
      <c r="X453" s="1"/>
    </row>
    <row r="454" ht="12.75" customHeight="1">
      <c r="A454" s="1"/>
      <c r="F454" s="8"/>
      <c r="G454" s="8"/>
      <c r="J454" s="1"/>
      <c r="N454" s="1"/>
      <c r="O454" s="1"/>
      <c r="Q454" s="1"/>
      <c r="R454" s="1"/>
      <c r="S454" s="1"/>
      <c r="T454" s="1"/>
      <c r="U454" s="1"/>
      <c r="V454" s="1"/>
      <c r="W454" s="1"/>
      <c r="X454" s="1"/>
    </row>
    <row r="455" ht="12.75" customHeight="1">
      <c r="A455" s="1"/>
      <c r="F455" s="8"/>
      <c r="G455" s="8"/>
      <c r="J455" s="1"/>
      <c r="N455" s="1"/>
      <c r="O455" s="1"/>
      <c r="Q455" s="1"/>
      <c r="R455" s="1"/>
      <c r="S455" s="1"/>
      <c r="T455" s="1"/>
      <c r="U455" s="1"/>
      <c r="V455" s="1"/>
      <c r="W455" s="1"/>
      <c r="X455" s="1"/>
    </row>
    <row r="456" ht="12.75" customHeight="1">
      <c r="A456" s="1"/>
      <c r="F456" s="8"/>
      <c r="G456" s="8"/>
      <c r="J456" s="1"/>
      <c r="N456" s="1"/>
      <c r="O456" s="1"/>
      <c r="Q456" s="1"/>
      <c r="R456" s="1"/>
      <c r="S456" s="1"/>
      <c r="T456" s="1"/>
      <c r="U456" s="1"/>
      <c r="V456" s="1"/>
      <c r="W456" s="1"/>
      <c r="X456" s="1"/>
    </row>
    <row r="457" ht="12.75" customHeight="1">
      <c r="A457" s="1"/>
      <c r="F457" s="8"/>
      <c r="G457" s="8"/>
      <c r="J457" s="1"/>
      <c r="N457" s="1"/>
      <c r="O457" s="1"/>
      <c r="Q457" s="1"/>
      <c r="R457" s="1"/>
      <c r="S457" s="1"/>
      <c r="T457" s="1"/>
      <c r="U457" s="1"/>
      <c r="V457" s="1"/>
      <c r="W457" s="1"/>
      <c r="X457" s="1"/>
    </row>
    <row r="458" ht="12.75" customHeight="1">
      <c r="A458" s="1"/>
      <c r="F458" s="8"/>
      <c r="G458" s="8"/>
      <c r="J458" s="1"/>
      <c r="N458" s="1"/>
      <c r="O458" s="1"/>
      <c r="Q458" s="1"/>
      <c r="R458" s="1"/>
      <c r="S458" s="1"/>
      <c r="T458" s="1"/>
      <c r="U458" s="1"/>
      <c r="V458" s="1"/>
      <c r="W458" s="1"/>
      <c r="X458" s="1"/>
    </row>
    <row r="459" ht="12.75" customHeight="1">
      <c r="A459" s="1"/>
      <c r="F459" s="8"/>
      <c r="G459" s="8"/>
      <c r="J459" s="1"/>
      <c r="N459" s="1"/>
      <c r="O459" s="1"/>
      <c r="Q459" s="1"/>
      <c r="R459" s="1"/>
      <c r="S459" s="1"/>
      <c r="T459" s="1"/>
      <c r="U459" s="1"/>
      <c r="V459" s="1"/>
      <c r="W459" s="1"/>
      <c r="X459" s="1"/>
    </row>
    <row r="460" ht="12.75" customHeight="1">
      <c r="A460" s="1"/>
      <c r="F460" s="8"/>
      <c r="G460" s="8"/>
      <c r="J460" s="1"/>
      <c r="N460" s="1"/>
      <c r="O460" s="1"/>
      <c r="Q460" s="1"/>
      <c r="R460" s="1"/>
      <c r="S460" s="1"/>
      <c r="T460" s="1"/>
      <c r="U460" s="1"/>
      <c r="V460" s="1"/>
      <c r="W460" s="1"/>
      <c r="X460" s="1"/>
    </row>
    <row r="461" ht="12.75" customHeight="1">
      <c r="A461" s="1"/>
      <c r="F461" s="8"/>
      <c r="G461" s="8"/>
      <c r="J461" s="1"/>
      <c r="N461" s="1"/>
      <c r="O461" s="1"/>
      <c r="Q461" s="1"/>
      <c r="R461" s="1"/>
      <c r="S461" s="1"/>
      <c r="T461" s="1"/>
      <c r="U461" s="1"/>
      <c r="V461" s="1"/>
      <c r="W461" s="1"/>
      <c r="X461" s="1"/>
    </row>
    <row r="462" ht="12.75" customHeight="1">
      <c r="A462" s="1"/>
      <c r="F462" s="8"/>
      <c r="G462" s="8"/>
      <c r="J462" s="1"/>
      <c r="N462" s="1"/>
      <c r="O462" s="1"/>
      <c r="Q462" s="1"/>
      <c r="R462" s="1"/>
      <c r="S462" s="1"/>
      <c r="T462" s="1"/>
      <c r="U462" s="1"/>
      <c r="V462" s="1"/>
      <c r="W462" s="1"/>
      <c r="X462" s="1"/>
    </row>
    <row r="463" ht="12.75" customHeight="1">
      <c r="A463" s="1"/>
      <c r="F463" s="8"/>
      <c r="G463" s="8"/>
      <c r="J463" s="1"/>
      <c r="N463" s="1"/>
      <c r="O463" s="1"/>
      <c r="Q463" s="1"/>
      <c r="R463" s="1"/>
      <c r="S463" s="1"/>
      <c r="T463" s="1"/>
      <c r="U463" s="1"/>
      <c r="V463" s="1"/>
      <c r="W463" s="1"/>
      <c r="X463" s="1"/>
    </row>
    <row r="464" ht="12.75" customHeight="1">
      <c r="A464" s="1"/>
      <c r="F464" s="8"/>
      <c r="G464" s="8"/>
      <c r="J464" s="1"/>
      <c r="N464" s="1"/>
      <c r="O464" s="1"/>
      <c r="Q464" s="1"/>
      <c r="R464" s="1"/>
      <c r="S464" s="1"/>
      <c r="T464" s="1"/>
      <c r="U464" s="1"/>
      <c r="V464" s="1"/>
      <c r="W464" s="1"/>
      <c r="X464" s="1"/>
    </row>
    <row r="465" ht="12.75" customHeight="1">
      <c r="A465" s="1"/>
      <c r="F465" s="8"/>
      <c r="G465" s="8"/>
      <c r="J465" s="1"/>
      <c r="N465" s="1"/>
      <c r="O465" s="1"/>
      <c r="Q465" s="1"/>
      <c r="R465" s="1"/>
      <c r="S465" s="1"/>
      <c r="T465" s="1"/>
      <c r="U465" s="1"/>
      <c r="V465" s="1"/>
      <c r="W465" s="1"/>
      <c r="X465" s="1"/>
    </row>
    <row r="466" ht="12.75" customHeight="1">
      <c r="A466" s="1"/>
      <c r="F466" s="8"/>
      <c r="G466" s="8"/>
      <c r="J466" s="1"/>
      <c r="N466" s="1"/>
      <c r="O466" s="1"/>
      <c r="Q466" s="1"/>
      <c r="R466" s="1"/>
      <c r="S466" s="1"/>
      <c r="T466" s="1"/>
      <c r="U466" s="1"/>
      <c r="V466" s="1"/>
      <c r="W466" s="1"/>
      <c r="X466" s="1"/>
    </row>
    <row r="467" ht="12.75" customHeight="1">
      <c r="A467" s="1"/>
      <c r="F467" s="8"/>
      <c r="G467" s="8"/>
      <c r="J467" s="1"/>
      <c r="N467" s="1"/>
      <c r="O467" s="1"/>
      <c r="Q467" s="1"/>
      <c r="R467" s="1"/>
      <c r="S467" s="1"/>
      <c r="T467" s="1"/>
      <c r="U467" s="1"/>
      <c r="V467" s="1"/>
      <c r="W467" s="1"/>
      <c r="X467" s="1"/>
    </row>
    <row r="468" ht="12.75" customHeight="1">
      <c r="A468" s="1"/>
      <c r="F468" s="8"/>
      <c r="G468" s="8"/>
      <c r="J468" s="1"/>
      <c r="N468" s="1"/>
      <c r="O468" s="1"/>
      <c r="Q468" s="1"/>
      <c r="R468" s="1"/>
      <c r="S468" s="1"/>
      <c r="T468" s="1"/>
      <c r="U468" s="1"/>
      <c r="V468" s="1"/>
      <c r="W468" s="1"/>
      <c r="X468" s="1"/>
    </row>
    <row r="469" ht="12.75" customHeight="1">
      <c r="A469" s="1"/>
      <c r="F469" s="8"/>
      <c r="G469" s="8"/>
      <c r="J469" s="1"/>
      <c r="N469" s="1"/>
      <c r="O469" s="1"/>
      <c r="Q469" s="1"/>
      <c r="R469" s="1"/>
      <c r="S469" s="1"/>
      <c r="T469" s="1"/>
      <c r="U469" s="1"/>
      <c r="V469" s="1"/>
      <c r="W469" s="1"/>
      <c r="X469" s="1"/>
    </row>
    <row r="470" ht="12.75" customHeight="1">
      <c r="A470" s="1"/>
      <c r="F470" s="8"/>
      <c r="G470" s="8"/>
      <c r="J470" s="1"/>
      <c r="N470" s="1"/>
      <c r="O470" s="1"/>
      <c r="Q470" s="1"/>
      <c r="R470" s="1"/>
      <c r="S470" s="1"/>
      <c r="T470" s="1"/>
      <c r="U470" s="1"/>
      <c r="V470" s="1"/>
      <c r="W470" s="1"/>
      <c r="X470" s="1"/>
    </row>
    <row r="471" ht="12.75" customHeight="1">
      <c r="A471" s="1"/>
      <c r="F471" s="8"/>
      <c r="G471" s="8"/>
      <c r="J471" s="1"/>
      <c r="N471" s="1"/>
      <c r="O471" s="1"/>
      <c r="Q471" s="1"/>
      <c r="R471" s="1"/>
      <c r="S471" s="1"/>
      <c r="T471" s="1"/>
      <c r="U471" s="1"/>
      <c r="V471" s="1"/>
      <c r="W471" s="1"/>
      <c r="X471" s="1"/>
    </row>
    <row r="472" ht="12.75" customHeight="1">
      <c r="A472" s="1"/>
      <c r="F472" s="8"/>
      <c r="G472" s="8"/>
      <c r="J472" s="1"/>
      <c r="N472" s="1"/>
      <c r="O472" s="1"/>
      <c r="Q472" s="1"/>
      <c r="R472" s="1"/>
      <c r="S472" s="1"/>
      <c r="T472" s="1"/>
      <c r="U472" s="1"/>
      <c r="V472" s="1"/>
      <c r="W472" s="1"/>
      <c r="X472" s="1"/>
    </row>
    <row r="473" ht="12.75" customHeight="1">
      <c r="A473" s="1"/>
      <c r="F473" s="8"/>
      <c r="G473" s="8"/>
      <c r="J473" s="1"/>
      <c r="N473" s="1"/>
      <c r="O473" s="1"/>
      <c r="Q473" s="1"/>
      <c r="R473" s="1"/>
      <c r="S473" s="1"/>
      <c r="T473" s="1"/>
      <c r="U473" s="1"/>
      <c r="V473" s="1"/>
      <c r="W473" s="1"/>
      <c r="X473" s="1"/>
    </row>
    <row r="474" ht="12.75" customHeight="1">
      <c r="A474" s="1"/>
      <c r="F474" s="8"/>
      <c r="G474" s="8"/>
      <c r="J474" s="1"/>
      <c r="N474" s="1"/>
      <c r="O474" s="1"/>
      <c r="Q474" s="1"/>
      <c r="R474" s="1"/>
      <c r="S474" s="1"/>
      <c r="T474" s="1"/>
      <c r="U474" s="1"/>
      <c r="V474" s="1"/>
      <c r="W474" s="1"/>
      <c r="X474" s="1"/>
    </row>
    <row r="475" ht="12.75" customHeight="1">
      <c r="A475" s="1"/>
      <c r="F475" s="8"/>
      <c r="G475" s="8"/>
      <c r="J475" s="1"/>
      <c r="N475" s="1"/>
      <c r="O475" s="1"/>
      <c r="Q475" s="1"/>
      <c r="R475" s="1"/>
      <c r="S475" s="1"/>
      <c r="T475" s="1"/>
      <c r="U475" s="1"/>
      <c r="V475" s="1"/>
      <c r="W475" s="1"/>
      <c r="X475" s="1"/>
    </row>
    <row r="476" ht="12.75" customHeight="1">
      <c r="A476" s="1"/>
      <c r="F476" s="8"/>
      <c r="G476" s="8"/>
      <c r="J476" s="1"/>
      <c r="N476" s="1"/>
      <c r="O476" s="1"/>
      <c r="Q476" s="1"/>
      <c r="R476" s="1"/>
      <c r="S476" s="1"/>
      <c r="T476" s="1"/>
      <c r="U476" s="1"/>
      <c r="V476" s="1"/>
      <c r="W476" s="1"/>
      <c r="X476" s="1"/>
    </row>
    <row r="477" ht="12.75" customHeight="1">
      <c r="A477" s="1"/>
      <c r="F477" s="8"/>
      <c r="G477" s="8"/>
      <c r="J477" s="1"/>
      <c r="N477" s="1"/>
      <c r="O477" s="1"/>
      <c r="Q477" s="1"/>
      <c r="R477" s="1"/>
      <c r="S477" s="1"/>
      <c r="T477" s="1"/>
      <c r="U477" s="1"/>
      <c r="V477" s="1"/>
      <c r="W477" s="1"/>
      <c r="X477" s="1"/>
    </row>
    <row r="478" ht="12.75" customHeight="1">
      <c r="A478" s="1"/>
      <c r="F478" s="8"/>
      <c r="G478" s="8"/>
      <c r="J478" s="1"/>
      <c r="N478" s="1"/>
      <c r="O478" s="1"/>
      <c r="Q478" s="1"/>
      <c r="R478" s="1"/>
      <c r="S478" s="1"/>
      <c r="T478" s="1"/>
      <c r="U478" s="1"/>
      <c r="V478" s="1"/>
      <c r="W478" s="1"/>
      <c r="X478" s="1"/>
    </row>
    <row r="479" ht="12.75" customHeight="1">
      <c r="A479" s="1"/>
      <c r="F479" s="8"/>
      <c r="G479" s="8"/>
      <c r="J479" s="1"/>
      <c r="N479" s="1"/>
      <c r="O479" s="1"/>
      <c r="Q479" s="1"/>
      <c r="R479" s="1"/>
      <c r="S479" s="1"/>
      <c r="T479" s="1"/>
      <c r="U479" s="1"/>
      <c r="V479" s="1"/>
      <c r="W479" s="1"/>
      <c r="X479" s="1"/>
    </row>
    <row r="480" ht="12.75" customHeight="1">
      <c r="A480" s="1"/>
      <c r="F480" s="8"/>
      <c r="G480" s="8"/>
      <c r="J480" s="1"/>
      <c r="N480" s="1"/>
      <c r="O480" s="1"/>
      <c r="Q480" s="1"/>
      <c r="R480" s="1"/>
      <c r="S480" s="1"/>
      <c r="T480" s="1"/>
      <c r="U480" s="1"/>
      <c r="V480" s="1"/>
      <c r="W480" s="1"/>
      <c r="X480" s="1"/>
    </row>
    <row r="481" ht="12.75" customHeight="1">
      <c r="A481" s="1"/>
      <c r="F481" s="8"/>
      <c r="G481" s="8"/>
      <c r="J481" s="1"/>
      <c r="N481" s="1"/>
      <c r="O481" s="1"/>
      <c r="Q481" s="1"/>
      <c r="R481" s="1"/>
      <c r="S481" s="1"/>
      <c r="T481" s="1"/>
      <c r="U481" s="1"/>
      <c r="V481" s="1"/>
      <c r="W481" s="1"/>
      <c r="X481" s="1"/>
    </row>
    <row r="482" ht="12.75" customHeight="1">
      <c r="A482" s="1"/>
      <c r="F482" s="8"/>
      <c r="G482" s="8"/>
      <c r="J482" s="1"/>
      <c r="N482" s="1"/>
      <c r="O482" s="1"/>
      <c r="Q482" s="1"/>
      <c r="R482" s="1"/>
      <c r="S482" s="1"/>
      <c r="T482" s="1"/>
      <c r="U482" s="1"/>
      <c r="V482" s="1"/>
      <c r="W482" s="1"/>
      <c r="X482" s="1"/>
    </row>
    <row r="483" ht="12.75" customHeight="1">
      <c r="A483" s="1"/>
      <c r="F483" s="8"/>
      <c r="G483" s="8"/>
      <c r="J483" s="1"/>
      <c r="N483" s="1"/>
      <c r="O483" s="1"/>
      <c r="Q483" s="1"/>
      <c r="R483" s="1"/>
      <c r="S483" s="1"/>
      <c r="T483" s="1"/>
      <c r="U483" s="1"/>
      <c r="V483" s="1"/>
      <c r="W483" s="1"/>
      <c r="X483" s="1"/>
    </row>
    <row r="484" ht="12.75" customHeight="1">
      <c r="A484" s="1"/>
      <c r="F484" s="8"/>
      <c r="G484" s="8"/>
      <c r="J484" s="1"/>
      <c r="N484" s="1"/>
      <c r="O484" s="1"/>
      <c r="Q484" s="1"/>
      <c r="R484" s="1"/>
      <c r="S484" s="1"/>
      <c r="T484" s="1"/>
      <c r="U484" s="1"/>
      <c r="V484" s="1"/>
      <c r="W484" s="1"/>
      <c r="X484" s="1"/>
    </row>
    <row r="485" ht="12.75" customHeight="1">
      <c r="A485" s="1"/>
      <c r="F485" s="8"/>
      <c r="G485" s="8"/>
      <c r="J485" s="1"/>
      <c r="N485" s="1"/>
      <c r="O485" s="1"/>
      <c r="Q485" s="1"/>
      <c r="R485" s="1"/>
      <c r="S485" s="1"/>
      <c r="T485" s="1"/>
      <c r="U485" s="1"/>
      <c r="V485" s="1"/>
      <c r="W485" s="1"/>
      <c r="X485" s="1"/>
    </row>
    <row r="486" ht="12.75" customHeight="1">
      <c r="A486" s="1"/>
      <c r="F486" s="8"/>
      <c r="G486" s="8"/>
      <c r="J486" s="1"/>
      <c r="N486" s="1"/>
      <c r="O486" s="1"/>
      <c r="Q486" s="1"/>
      <c r="R486" s="1"/>
      <c r="S486" s="1"/>
      <c r="T486" s="1"/>
      <c r="U486" s="1"/>
      <c r="V486" s="1"/>
      <c r="W486" s="1"/>
      <c r="X486" s="1"/>
    </row>
    <row r="487" ht="12.75" customHeight="1">
      <c r="A487" s="1"/>
      <c r="F487" s="8"/>
      <c r="G487" s="8"/>
      <c r="J487" s="1"/>
      <c r="N487" s="1"/>
      <c r="O487" s="1"/>
      <c r="Q487" s="1"/>
      <c r="R487" s="1"/>
      <c r="S487" s="1"/>
      <c r="T487" s="1"/>
      <c r="U487" s="1"/>
      <c r="V487" s="1"/>
      <c r="W487" s="1"/>
      <c r="X487" s="1"/>
    </row>
    <row r="488" ht="12.75" customHeight="1">
      <c r="A488" s="1"/>
      <c r="F488" s="8"/>
      <c r="G488" s="8"/>
      <c r="J488" s="1"/>
      <c r="N488" s="1"/>
      <c r="O488" s="1"/>
      <c r="Q488" s="1"/>
      <c r="R488" s="1"/>
      <c r="S488" s="1"/>
      <c r="T488" s="1"/>
      <c r="U488" s="1"/>
      <c r="V488" s="1"/>
      <c r="W488" s="1"/>
      <c r="X488" s="1"/>
    </row>
    <row r="489" ht="12.75" customHeight="1">
      <c r="A489" s="1"/>
      <c r="F489" s="8"/>
      <c r="G489" s="8"/>
      <c r="J489" s="1"/>
      <c r="N489" s="1"/>
      <c r="O489" s="1"/>
      <c r="Q489" s="1"/>
      <c r="R489" s="1"/>
      <c r="S489" s="1"/>
      <c r="T489" s="1"/>
      <c r="U489" s="1"/>
      <c r="V489" s="1"/>
      <c r="W489" s="1"/>
      <c r="X489" s="1"/>
    </row>
    <row r="490" ht="12.75" customHeight="1">
      <c r="A490" s="1"/>
      <c r="F490" s="8"/>
      <c r="G490" s="8"/>
      <c r="J490" s="1"/>
      <c r="N490" s="1"/>
      <c r="O490" s="1"/>
      <c r="Q490" s="1"/>
      <c r="R490" s="1"/>
      <c r="S490" s="1"/>
      <c r="T490" s="1"/>
      <c r="U490" s="1"/>
      <c r="V490" s="1"/>
      <c r="W490" s="1"/>
      <c r="X490" s="1"/>
    </row>
    <row r="491" ht="12.75" customHeight="1">
      <c r="A491" s="1"/>
      <c r="F491" s="8"/>
      <c r="G491" s="8"/>
      <c r="J491" s="1"/>
      <c r="N491" s="1"/>
      <c r="O491" s="1"/>
      <c r="Q491" s="1"/>
      <c r="R491" s="1"/>
      <c r="S491" s="1"/>
      <c r="T491" s="1"/>
      <c r="U491" s="1"/>
      <c r="V491" s="1"/>
      <c r="W491" s="1"/>
      <c r="X491" s="1"/>
    </row>
    <row r="492" ht="12.75" customHeight="1">
      <c r="A492" s="1"/>
      <c r="F492" s="8"/>
      <c r="G492" s="8"/>
      <c r="J492" s="1"/>
      <c r="N492" s="1"/>
      <c r="O492" s="1"/>
      <c r="Q492" s="1"/>
      <c r="R492" s="1"/>
      <c r="S492" s="1"/>
      <c r="T492" s="1"/>
      <c r="U492" s="1"/>
      <c r="V492" s="1"/>
      <c r="W492" s="1"/>
      <c r="X492" s="1"/>
    </row>
    <row r="493" ht="12.75" customHeight="1">
      <c r="A493" s="1"/>
      <c r="F493" s="8"/>
      <c r="G493" s="8"/>
      <c r="J493" s="1"/>
      <c r="N493" s="1"/>
      <c r="O493" s="1"/>
      <c r="Q493" s="1"/>
      <c r="R493" s="1"/>
      <c r="S493" s="1"/>
      <c r="T493" s="1"/>
      <c r="U493" s="1"/>
      <c r="V493" s="1"/>
      <c r="W493" s="1"/>
      <c r="X493" s="1"/>
    </row>
    <row r="494" ht="12.75" customHeight="1">
      <c r="A494" s="1"/>
      <c r="F494" s="8"/>
      <c r="G494" s="8"/>
      <c r="J494" s="1"/>
      <c r="N494" s="1"/>
      <c r="O494" s="1"/>
      <c r="Q494" s="1"/>
      <c r="R494" s="1"/>
      <c r="S494" s="1"/>
      <c r="T494" s="1"/>
      <c r="U494" s="1"/>
      <c r="V494" s="1"/>
      <c r="W494" s="1"/>
      <c r="X494" s="1"/>
    </row>
    <row r="495" ht="12.75" customHeight="1">
      <c r="A495" s="1"/>
      <c r="F495" s="8"/>
      <c r="G495" s="8"/>
      <c r="J495" s="1"/>
      <c r="N495" s="1"/>
      <c r="O495" s="1"/>
      <c r="Q495" s="1"/>
      <c r="R495" s="1"/>
      <c r="S495" s="1"/>
      <c r="T495" s="1"/>
      <c r="U495" s="1"/>
      <c r="V495" s="1"/>
      <c r="W495" s="1"/>
      <c r="X495" s="1"/>
    </row>
    <row r="496" ht="12.75" customHeight="1">
      <c r="A496" s="1"/>
      <c r="F496" s="8"/>
      <c r="G496" s="8"/>
      <c r="J496" s="1"/>
      <c r="N496" s="1"/>
      <c r="O496" s="1"/>
      <c r="Q496" s="1"/>
      <c r="R496" s="1"/>
      <c r="S496" s="1"/>
      <c r="T496" s="1"/>
      <c r="U496" s="1"/>
      <c r="V496" s="1"/>
      <c r="W496" s="1"/>
      <c r="X496" s="1"/>
    </row>
    <row r="497" ht="12.75" customHeight="1">
      <c r="A497" s="1"/>
      <c r="F497" s="8"/>
      <c r="G497" s="8"/>
      <c r="J497" s="1"/>
      <c r="N497" s="1"/>
      <c r="O497" s="1"/>
      <c r="Q497" s="1"/>
      <c r="R497" s="1"/>
      <c r="S497" s="1"/>
      <c r="T497" s="1"/>
      <c r="U497" s="1"/>
      <c r="V497" s="1"/>
      <c r="W497" s="1"/>
      <c r="X497" s="1"/>
    </row>
    <row r="498" ht="12.75" customHeight="1">
      <c r="A498" s="1"/>
      <c r="F498" s="8"/>
      <c r="G498" s="8"/>
      <c r="J498" s="1"/>
      <c r="N498" s="1"/>
      <c r="O498" s="1"/>
      <c r="Q498" s="1"/>
      <c r="R498" s="1"/>
      <c r="S498" s="1"/>
      <c r="T498" s="1"/>
      <c r="U498" s="1"/>
      <c r="V498" s="1"/>
      <c r="W498" s="1"/>
      <c r="X498" s="1"/>
    </row>
    <row r="499" ht="12.75" customHeight="1">
      <c r="A499" s="1"/>
      <c r="F499" s="8"/>
      <c r="G499" s="8"/>
      <c r="J499" s="1"/>
      <c r="N499" s="1"/>
      <c r="O499" s="1"/>
      <c r="Q499" s="1"/>
      <c r="R499" s="1"/>
      <c r="S499" s="1"/>
      <c r="T499" s="1"/>
      <c r="U499" s="1"/>
      <c r="V499" s="1"/>
      <c r="W499" s="1"/>
      <c r="X499" s="1"/>
    </row>
    <row r="500" ht="12.75" customHeight="1">
      <c r="A500" s="1"/>
      <c r="F500" s="8"/>
      <c r="G500" s="8"/>
      <c r="J500" s="1"/>
      <c r="N500" s="1"/>
      <c r="O500" s="1"/>
      <c r="Q500" s="1"/>
      <c r="R500" s="1"/>
      <c r="S500" s="1"/>
      <c r="T500" s="1"/>
      <c r="U500" s="1"/>
      <c r="V500" s="1"/>
      <c r="W500" s="1"/>
      <c r="X500" s="1"/>
    </row>
    <row r="501" ht="12.75" customHeight="1">
      <c r="A501" s="1"/>
      <c r="F501" s="8"/>
      <c r="G501" s="8"/>
      <c r="J501" s="1"/>
      <c r="N501" s="1"/>
      <c r="O501" s="1"/>
      <c r="Q501" s="1"/>
      <c r="R501" s="1"/>
      <c r="S501" s="1"/>
      <c r="T501" s="1"/>
      <c r="U501" s="1"/>
      <c r="V501" s="1"/>
      <c r="W501" s="1"/>
      <c r="X501" s="1"/>
    </row>
    <row r="502" ht="12.75" customHeight="1">
      <c r="A502" s="1"/>
      <c r="F502" s="8"/>
      <c r="G502" s="8"/>
      <c r="J502" s="1"/>
      <c r="N502" s="1"/>
      <c r="O502" s="1"/>
      <c r="Q502" s="1"/>
      <c r="R502" s="1"/>
      <c r="S502" s="1"/>
      <c r="T502" s="1"/>
      <c r="U502" s="1"/>
      <c r="V502" s="1"/>
      <c r="W502" s="1"/>
      <c r="X502" s="1"/>
    </row>
    <row r="503" ht="12.75" customHeight="1">
      <c r="A503" s="1"/>
      <c r="F503" s="8"/>
      <c r="G503" s="8"/>
      <c r="J503" s="1"/>
      <c r="N503" s="1"/>
      <c r="O503" s="1"/>
      <c r="Q503" s="1"/>
      <c r="R503" s="1"/>
      <c r="S503" s="1"/>
      <c r="T503" s="1"/>
      <c r="U503" s="1"/>
      <c r="V503" s="1"/>
      <c r="W503" s="1"/>
      <c r="X503" s="1"/>
    </row>
    <row r="504" ht="12.75" customHeight="1">
      <c r="A504" s="1"/>
      <c r="F504" s="8"/>
      <c r="G504" s="8"/>
      <c r="J504" s="1"/>
      <c r="N504" s="1"/>
      <c r="O504" s="1"/>
      <c r="Q504" s="1"/>
      <c r="R504" s="1"/>
      <c r="S504" s="1"/>
      <c r="T504" s="1"/>
      <c r="U504" s="1"/>
      <c r="V504" s="1"/>
      <c r="W504" s="1"/>
      <c r="X504" s="1"/>
    </row>
    <row r="505" ht="12.75" customHeight="1">
      <c r="A505" s="1"/>
      <c r="F505" s="8"/>
      <c r="G505" s="8"/>
      <c r="J505" s="1"/>
      <c r="N505" s="1"/>
      <c r="O505" s="1"/>
      <c r="Q505" s="1"/>
      <c r="R505" s="1"/>
      <c r="S505" s="1"/>
      <c r="T505" s="1"/>
      <c r="U505" s="1"/>
      <c r="V505" s="1"/>
      <c r="W505" s="1"/>
      <c r="X505" s="1"/>
    </row>
    <row r="506" ht="12.75" customHeight="1">
      <c r="A506" s="1"/>
      <c r="F506" s="8"/>
      <c r="G506" s="8"/>
      <c r="J506" s="1"/>
      <c r="N506" s="1"/>
      <c r="O506" s="1"/>
      <c r="Q506" s="1"/>
      <c r="R506" s="1"/>
      <c r="S506" s="1"/>
      <c r="T506" s="1"/>
      <c r="U506" s="1"/>
      <c r="V506" s="1"/>
      <c r="W506" s="1"/>
      <c r="X506" s="1"/>
    </row>
    <row r="507" ht="12.75" customHeight="1">
      <c r="A507" s="1"/>
      <c r="F507" s="8"/>
      <c r="G507" s="8"/>
      <c r="J507" s="1"/>
      <c r="N507" s="1"/>
      <c r="O507" s="1"/>
      <c r="Q507" s="1"/>
      <c r="R507" s="1"/>
      <c r="S507" s="1"/>
      <c r="T507" s="1"/>
      <c r="U507" s="1"/>
      <c r="V507" s="1"/>
      <c r="W507" s="1"/>
      <c r="X507" s="1"/>
    </row>
    <row r="508" ht="12.75" customHeight="1">
      <c r="A508" s="1"/>
      <c r="F508" s="8"/>
      <c r="G508" s="8"/>
      <c r="J508" s="1"/>
      <c r="N508" s="1"/>
      <c r="O508" s="1"/>
      <c r="Q508" s="1"/>
      <c r="R508" s="1"/>
      <c r="S508" s="1"/>
      <c r="T508" s="1"/>
      <c r="U508" s="1"/>
      <c r="V508" s="1"/>
      <c r="W508" s="1"/>
      <c r="X508" s="1"/>
    </row>
    <row r="509" ht="12.75" customHeight="1">
      <c r="A509" s="1"/>
      <c r="F509" s="8"/>
      <c r="G509" s="8"/>
      <c r="J509" s="1"/>
      <c r="N509" s="1"/>
      <c r="O509" s="1"/>
      <c r="Q509" s="1"/>
      <c r="R509" s="1"/>
      <c r="S509" s="1"/>
      <c r="T509" s="1"/>
      <c r="U509" s="1"/>
      <c r="V509" s="1"/>
      <c r="W509" s="1"/>
      <c r="X509" s="1"/>
    </row>
    <row r="510" ht="12.75" customHeight="1">
      <c r="A510" s="1"/>
      <c r="F510" s="8"/>
      <c r="G510" s="8"/>
      <c r="J510" s="1"/>
      <c r="N510" s="1"/>
      <c r="O510" s="1"/>
      <c r="Q510" s="1"/>
      <c r="R510" s="1"/>
      <c r="S510" s="1"/>
      <c r="T510" s="1"/>
      <c r="U510" s="1"/>
      <c r="V510" s="1"/>
      <c r="W510" s="1"/>
      <c r="X510" s="1"/>
    </row>
    <row r="511" ht="12.75" customHeight="1">
      <c r="A511" s="1"/>
      <c r="F511" s="8"/>
      <c r="G511" s="8"/>
      <c r="J511" s="1"/>
      <c r="N511" s="1"/>
      <c r="O511" s="1"/>
      <c r="Q511" s="1"/>
      <c r="R511" s="1"/>
      <c r="S511" s="1"/>
      <c r="T511" s="1"/>
      <c r="U511" s="1"/>
      <c r="V511" s="1"/>
      <c r="W511" s="1"/>
      <c r="X511" s="1"/>
    </row>
    <row r="512" ht="12.75" customHeight="1">
      <c r="A512" s="1"/>
      <c r="F512" s="8"/>
      <c r="G512" s="8"/>
      <c r="J512" s="1"/>
      <c r="N512" s="1"/>
      <c r="O512" s="1"/>
      <c r="Q512" s="1"/>
      <c r="R512" s="1"/>
      <c r="S512" s="1"/>
      <c r="T512" s="1"/>
      <c r="U512" s="1"/>
      <c r="V512" s="1"/>
      <c r="W512" s="1"/>
      <c r="X512" s="1"/>
    </row>
    <row r="513" ht="12.75" customHeight="1">
      <c r="A513" s="1"/>
      <c r="F513" s="8"/>
      <c r="G513" s="8"/>
      <c r="J513" s="1"/>
      <c r="N513" s="1"/>
      <c r="O513" s="1"/>
      <c r="Q513" s="1"/>
      <c r="R513" s="1"/>
      <c r="S513" s="1"/>
      <c r="T513" s="1"/>
      <c r="U513" s="1"/>
      <c r="V513" s="1"/>
      <c r="W513" s="1"/>
      <c r="X513" s="1"/>
    </row>
    <row r="514" ht="12.75" customHeight="1">
      <c r="A514" s="1"/>
      <c r="F514" s="8"/>
      <c r="G514" s="8"/>
      <c r="J514" s="1"/>
      <c r="N514" s="1"/>
      <c r="O514" s="1"/>
      <c r="Q514" s="1"/>
      <c r="R514" s="1"/>
      <c r="S514" s="1"/>
      <c r="T514" s="1"/>
      <c r="U514" s="1"/>
      <c r="V514" s="1"/>
      <c r="W514" s="1"/>
      <c r="X514" s="1"/>
    </row>
    <row r="515" ht="12.75" customHeight="1">
      <c r="A515" s="1"/>
      <c r="F515" s="8"/>
      <c r="G515" s="8"/>
      <c r="J515" s="1"/>
      <c r="N515" s="1"/>
      <c r="O515" s="1"/>
      <c r="Q515" s="1"/>
      <c r="R515" s="1"/>
      <c r="S515" s="1"/>
      <c r="T515" s="1"/>
      <c r="U515" s="1"/>
      <c r="V515" s="1"/>
      <c r="W515" s="1"/>
      <c r="X515" s="1"/>
    </row>
    <row r="516" ht="12.75" customHeight="1">
      <c r="A516" s="1"/>
      <c r="F516" s="8"/>
      <c r="G516" s="8"/>
      <c r="J516" s="1"/>
      <c r="N516" s="1"/>
      <c r="O516" s="1"/>
      <c r="Q516" s="1"/>
      <c r="R516" s="1"/>
      <c r="S516" s="1"/>
      <c r="T516" s="1"/>
      <c r="U516" s="1"/>
      <c r="V516" s="1"/>
      <c r="W516" s="1"/>
      <c r="X516" s="1"/>
    </row>
    <row r="517" ht="12.75" customHeight="1">
      <c r="A517" s="1"/>
      <c r="F517" s="8"/>
      <c r="G517" s="8"/>
      <c r="J517" s="1"/>
      <c r="N517" s="1"/>
      <c r="O517" s="1"/>
      <c r="Q517" s="1"/>
      <c r="R517" s="1"/>
      <c r="S517" s="1"/>
      <c r="T517" s="1"/>
      <c r="U517" s="1"/>
      <c r="V517" s="1"/>
      <c r="W517" s="1"/>
      <c r="X517" s="1"/>
    </row>
    <row r="518" ht="12.75" customHeight="1">
      <c r="A518" s="1"/>
      <c r="F518" s="8"/>
      <c r="G518" s="8"/>
      <c r="J518" s="1"/>
      <c r="N518" s="1"/>
      <c r="O518" s="1"/>
      <c r="Q518" s="1"/>
      <c r="R518" s="1"/>
      <c r="S518" s="1"/>
      <c r="T518" s="1"/>
      <c r="U518" s="1"/>
      <c r="V518" s="1"/>
      <c r="W518" s="1"/>
      <c r="X518" s="1"/>
    </row>
    <row r="519" ht="12.75" customHeight="1">
      <c r="A519" s="1"/>
      <c r="F519" s="8"/>
      <c r="G519" s="8"/>
      <c r="J519" s="1"/>
      <c r="N519" s="1"/>
      <c r="O519" s="1"/>
      <c r="Q519" s="1"/>
      <c r="R519" s="1"/>
      <c r="S519" s="1"/>
      <c r="T519" s="1"/>
      <c r="U519" s="1"/>
      <c r="V519" s="1"/>
      <c r="W519" s="1"/>
      <c r="X519" s="1"/>
    </row>
    <row r="520" ht="12.75" customHeight="1">
      <c r="A520" s="1"/>
      <c r="F520" s="8"/>
      <c r="G520" s="8"/>
      <c r="J520" s="1"/>
      <c r="N520" s="1"/>
      <c r="O520" s="1"/>
      <c r="Q520" s="1"/>
      <c r="R520" s="1"/>
      <c r="S520" s="1"/>
      <c r="T520" s="1"/>
      <c r="U520" s="1"/>
      <c r="V520" s="1"/>
      <c r="W520" s="1"/>
      <c r="X520" s="1"/>
    </row>
    <row r="521" ht="12.75" customHeight="1">
      <c r="A521" s="1"/>
      <c r="F521" s="8"/>
      <c r="G521" s="8"/>
      <c r="J521" s="1"/>
      <c r="N521" s="1"/>
      <c r="O521" s="1"/>
      <c r="Q521" s="1"/>
      <c r="R521" s="1"/>
      <c r="S521" s="1"/>
      <c r="T521" s="1"/>
      <c r="U521" s="1"/>
      <c r="V521" s="1"/>
      <c r="W521" s="1"/>
      <c r="X521" s="1"/>
    </row>
    <row r="522" ht="12.75" customHeight="1">
      <c r="A522" s="1"/>
      <c r="F522" s="8"/>
      <c r="G522" s="8"/>
      <c r="J522" s="1"/>
      <c r="N522" s="1"/>
      <c r="O522" s="1"/>
      <c r="Q522" s="1"/>
      <c r="R522" s="1"/>
      <c r="S522" s="1"/>
      <c r="T522" s="1"/>
      <c r="U522" s="1"/>
      <c r="V522" s="1"/>
      <c r="W522" s="1"/>
      <c r="X522" s="1"/>
    </row>
    <row r="523" ht="12.75" customHeight="1">
      <c r="A523" s="1"/>
      <c r="F523" s="8"/>
      <c r="G523" s="8"/>
      <c r="J523" s="1"/>
      <c r="N523" s="1"/>
      <c r="O523" s="1"/>
      <c r="Q523" s="1"/>
      <c r="R523" s="1"/>
      <c r="S523" s="1"/>
      <c r="T523" s="1"/>
      <c r="U523" s="1"/>
      <c r="V523" s="1"/>
      <c r="W523" s="1"/>
      <c r="X523" s="1"/>
    </row>
    <row r="524" ht="12.75" customHeight="1">
      <c r="A524" s="1"/>
      <c r="F524" s="8"/>
      <c r="G524" s="8"/>
      <c r="J524" s="1"/>
      <c r="N524" s="1"/>
      <c r="O524" s="1"/>
      <c r="Q524" s="1"/>
      <c r="R524" s="1"/>
      <c r="S524" s="1"/>
      <c r="T524" s="1"/>
      <c r="U524" s="1"/>
      <c r="V524" s="1"/>
      <c r="W524" s="1"/>
      <c r="X524" s="1"/>
    </row>
    <row r="525" ht="12.75" customHeight="1">
      <c r="A525" s="1"/>
      <c r="F525" s="8"/>
      <c r="G525" s="8"/>
      <c r="J525" s="1"/>
      <c r="N525" s="1"/>
      <c r="O525" s="1"/>
      <c r="Q525" s="1"/>
      <c r="R525" s="1"/>
      <c r="S525" s="1"/>
      <c r="T525" s="1"/>
      <c r="U525" s="1"/>
      <c r="V525" s="1"/>
      <c r="W525" s="1"/>
      <c r="X525" s="1"/>
    </row>
    <row r="526" ht="12.75" customHeight="1">
      <c r="A526" s="1"/>
      <c r="F526" s="8"/>
      <c r="G526" s="8"/>
      <c r="J526" s="1"/>
      <c r="N526" s="1"/>
      <c r="O526" s="1"/>
      <c r="Q526" s="1"/>
      <c r="R526" s="1"/>
      <c r="S526" s="1"/>
      <c r="T526" s="1"/>
      <c r="U526" s="1"/>
      <c r="V526" s="1"/>
      <c r="W526" s="1"/>
      <c r="X526" s="1"/>
    </row>
    <row r="527" ht="12.75" customHeight="1">
      <c r="A527" s="1"/>
      <c r="F527" s="8"/>
      <c r="G527" s="8"/>
      <c r="J527" s="1"/>
      <c r="N527" s="1"/>
      <c r="O527" s="1"/>
      <c r="Q527" s="1"/>
      <c r="R527" s="1"/>
      <c r="S527" s="1"/>
      <c r="T527" s="1"/>
      <c r="U527" s="1"/>
      <c r="V527" s="1"/>
      <c r="W527" s="1"/>
      <c r="X527" s="1"/>
    </row>
    <row r="528" ht="12.75" customHeight="1">
      <c r="A528" s="1"/>
      <c r="F528" s="8"/>
      <c r="G528" s="8"/>
      <c r="J528" s="1"/>
      <c r="N528" s="1"/>
      <c r="O528" s="1"/>
      <c r="Q528" s="1"/>
      <c r="R528" s="1"/>
      <c r="S528" s="1"/>
      <c r="T528" s="1"/>
      <c r="U528" s="1"/>
      <c r="V528" s="1"/>
      <c r="W528" s="1"/>
      <c r="X528" s="1"/>
    </row>
    <row r="529" ht="12.75" customHeight="1">
      <c r="A529" s="1"/>
      <c r="F529" s="8"/>
      <c r="G529" s="8"/>
      <c r="J529" s="1"/>
      <c r="N529" s="1"/>
      <c r="O529" s="1"/>
      <c r="Q529" s="1"/>
      <c r="R529" s="1"/>
      <c r="S529" s="1"/>
      <c r="T529" s="1"/>
      <c r="U529" s="1"/>
      <c r="V529" s="1"/>
      <c r="W529" s="1"/>
      <c r="X529" s="1"/>
    </row>
    <row r="530" ht="12.75" customHeight="1">
      <c r="A530" s="1"/>
      <c r="F530" s="8"/>
      <c r="G530" s="8"/>
      <c r="J530" s="1"/>
      <c r="N530" s="1"/>
      <c r="O530" s="1"/>
      <c r="Q530" s="1"/>
      <c r="R530" s="1"/>
      <c r="S530" s="1"/>
      <c r="T530" s="1"/>
      <c r="U530" s="1"/>
      <c r="V530" s="1"/>
      <c r="W530" s="1"/>
      <c r="X530" s="1"/>
    </row>
    <row r="531" ht="12.75" customHeight="1">
      <c r="A531" s="1"/>
      <c r="F531" s="8"/>
      <c r="G531" s="8"/>
      <c r="J531" s="1"/>
      <c r="N531" s="1"/>
      <c r="O531" s="1"/>
      <c r="Q531" s="1"/>
      <c r="R531" s="1"/>
      <c r="S531" s="1"/>
      <c r="T531" s="1"/>
      <c r="U531" s="1"/>
      <c r="V531" s="1"/>
      <c r="W531" s="1"/>
      <c r="X531" s="1"/>
    </row>
    <row r="532" ht="12.75" customHeight="1">
      <c r="A532" s="1"/>
      <c r="F532" s="8"/>
      <c r="G532" s="8"/>
      <c r="J532" s="1"/>
      <c r="N532" s="1"/>
      <c r="O532" s="1"/>
      <c r="Q532" s="1"/>
      <c r="R532" s="1"/>
      <c r="S532" s="1"/>
      <c r="T532" s="1"/>
      <c r="U532" s="1"/>
      <c r="V532" s="1"/>
      <c r="W532" s="1"/>
      <c r="X532" s="1"/>
    </row>
    <row r="533" ht="12.75" customHeight="1">
      <c r="A533" s="1"/>
      <c r="F533" s="8"/>
      <c r="G533" s="8"/>
      <c r="J533" s="1"/>
      <c r="N533" s="1"/>
      <c r="O533" s="1"/>
      <c r="Q533" s="1"/>
      <c r="R533" s="1"/>
      <c r="S533" s="1"/>
      <c r="T533" s="1"/>
      <c r="U533" s="1"/>
      <c r="V533" s="1"/>
      <c r="W533" s="1"/>
      <c r="X533" s="1"/>
    </row>
    <row r="534" ht="12.75" customHeight="1">
      <c r="A534" s="1"/>
      <c r="F534" s="8"/>
      <c r="G534" s="8"/>
      <c r="J534" s="1"/>
      <c r="N534" s="1"/>
      <c r="O534" s="1"/>
      <c r="Q534" s="1"/>
      <c r="R534" s="1"/>
      <c r="S534" s="1"/>
      <c r="T534" s="1"/>
      <c r="U534" s="1"/>
      <c r="V534" s="1"/>
      <c r="W534" s="1"/>
      <c r="X534" s="1"/>
    </row>
    <row r="535" ht="12.75" customHeight="1">
      <c r="A535" s="1"/>
      <c r="F535" s="8"/>
      <c r="G535" s="8"/>
      <c r="J535" s="1"/>
      <c r="N535" s="1"/>
      <c r="O535" s="1"/>
      <c r="Q535" s="1"/>
      <c r="R535" s="1"/>
      <c r="S535" s="1"/>
      <c r="T535" s="1"/>
      <c r="U535" s="1"/>
      <c r="V535" s="1"/>
      <c r="W535" s="1"/>
      <c r="X535" s="1"/>
    </row>
    <row r="536" ht="12.75" customHeight="1">
      <c r="A536" s="1"/>
      <c r="F536" s="8"/>
      <c r="G536" s="8"/>
      <c r="J536" s="1"/>
      <c r="N536" s="1"/>
      <c r="O536" s="1"/>
      <c r="Q536" s="1"/>
      <c r="R536" s="1"/>
      <c r="S536" s="1"/>
      <c r="T536" s="1"/>
      <c r="U536" s="1"/>
      <c r="V536" s="1"/>
      <c r="W536" s="1"/>
      <c r="X536" s="1"/>
    </row>
    <row r="537" ht="12.75" customHeight="1">
      <c r="A537" s="1"/>
      <c r="F537" s="8"/>
      <c r="G537" s="8"/>
      <c r="J537" s="1"/>
      <c r="N537" s="1"/>
      <c r="O537" s="1"/>
      <c r="Q537" s="1"/>
      <c r="R537" s="1"/>
      <c r="S537" s="1"/>
      <c r="T537" s="1"/>
      <c r="U537" s="1"/>
      <c r="V537" s="1"/>
      <c r="W537" s="1"/>
      <c r="X537" s="1"/>
    </row>
    <row r="538" ht="12.75" customHeight="1">
      <c r="A538" s="1"/>
      <c r="F538" s="8"/>
      <c r="G538" s="8"/>
      <c r="J538" s="1"/>
      <c r="N538" s="1"/>
      <c r="O538" s="1"/>
      <c r="Q538" s="1"/>
      <c r="R538" s="1"/>
      <c r="S538" s="1"/>
      <c r="T538" s="1"/>
      <c r="U538" s="1"/>
      <c r="V538" s="1"/>
      <c r="W538" s="1"/>
      <c r="X538" s="1"/>
    </row>
    <row r="539" ht="12.75" customHeight="1">
      <c r="A539" s="1"/>
      <c r="F539" s="8"/>
      <c r="G539" s="8"/>
      <c r="J539" s="1"/>
      <c r="N539" s="1"/>
      <c r="O539" s="1"/>
      <c r="Q539" s="1"/>
      <c r="R539" s="1"/>
      <c r="S539" s="1"/>
      <c r="T539" s="1"/>
      <c r="U539" s="1"/>
      <c r="V539" s="1"/>
      <c r="W539" s="1"/>
      <c r="X539" s="1"/>
    </row>
    <row r="540" ht="12.75" customHeight="1">
      <c r="A540" s="1"/>
      <c r="F540" s="8"/>
      <c r="G540" s="8"/>
      <c r="J540" s="1"/>
      <c r="N540" s="1"/>
      <c r="O540" s="1"/>
      <c r="Q540" s="1"/>
      <c r="R540" s="1"/>
      <c r="S540" s="1"/>
      <c r="T540" s="1"/>
      <c r="U540" s="1"/>
      <c r="V540" s="1"/>
      <c r="W540" s="1"/>
      <c r="X540" s="1"/>
    </row>
    <row r="541" ht="12.75" customHeight="1">
      <c r="A541" s="1"/>
      <c r="F541" s="8"/>
      <c r="G541" s="8"/>
      <c r="J541" s="1"/>
      <c r="N541" s="1"/>
      <c r="O541" s="1"/>
      <c r="Q541" s="1"/>
      <c r="R541" s="1"/>
      <c r="S541" s="1"/>
      <c r="T541" s="1"/>
      <c r="U541" s="1"/>
      <c r="V541" s="1"/>
      <c r="W541" s="1"/>
      <c r="X541" s="1"/>
    </row>
    <row r="542" ht="12.75" customHeight="1">
      <c r="A542" s="1"/>
      <c r="F542" s="8"/>
      <c r="G542" s="8"/>
      <c r="J542" s="1"/>
      <c r="N542" s="1"/>
      <c r="O542" s="1"/>
      <c r="Q542" s="1"/>
      <c r="R542" s="1"/>
      <c r="S542" s="1"/>
      <c r="T542" s="1"/>
      <c r="U542" s="1"/>
      <c r="V542" s="1"/>
      <c r="W542" s="1"/>
      <c r="X542" s="1"/>
    </row>
    <row r="543" ht="12.75" customHeight="1">
      <c r="A543" s="1"/>
      <c r="F543" s="8"/>
      <c r="G543" s="8"/>
      <c r="J543" s="1"/>
      <c r="N543" s="1"/>
      <c r="O543" s="1"/>
      <c r="Q543" s="1"/>
      <c r="R543" s="1"/>
      <c r="S543" s="1"/>
      <c r="T543" s="1"/>
      <c r="U543" s="1"/>
      <c r="V543" s="1"/>
      <c r="W543" s="1"/>
      <c r="X543" s="1"/>
    </row>
    <row r="544" ht="12.75" customHeight="1">
      <c r="A544" s="1"/>
      <c r="F544" s="8"/>
      <c r="G544" s="8"/>
      <c r="J544" s="1"/>
      <c r="N544" s="1"/>
      <c r="O544" s="1"/>
      <c r="Q544" s="1"/>
      <c r="R544" s="1"/>
      <c r="S544" s="1"/>
      <c r="T544" s="1"/>
      <c r="U544" s="1"/>
      <c r="V544" s="1"/>
      <c r="W544" s="1"/>
      <c r="X544" s="1"/>
    </row>
    <row r="545" ht="12.75" customHeight="1">
      <c r="A545" s="1"/>
      <c r="F545" s="8"/>
      <c r="G545" s="8"/>
      <c r="J545" s="1"/>
      <c r="N545" s="1"/>
      <c r="O545" s="1"/>
      <c r="Q545" s="1"/>
      <c r="R545" s="1"/>
      <c r="S545" s="1"/>
      <c r="T545" s="1"/>
      <c r="U545" s="1"/>
      <c r="V545" s="1"/>
      <c r="W545" s="1"/>
      <c r="X545" s="1"/>
    </row>
    <row r="546" ht="12.75" customHeight="1">
      <c r="A546" s="1"/>
      <c r="F546" s="8"/>
      <c r="G546" s="8"/>
      <c r="J546" s="1"/>
      <c r="N546" s="1"/>
      <c r="O546" s="1"/>
      <c r="Q546" s="1"/>
      <c r="R546" s="1"/>
      <c r="S546" s="1"/>
      <c r="T546" s="1"/>
      <c r="U546" s="1"/>
      <c r="V546" s="1"/>
      <c r="W546" s="1"/>
      <c r="X546" s="1"/>
    </row>
    <row r="547" ht="12.75" customHeight="1">
      <c r="A547" s="1"/>
      <c r="F547" s="8"/>
      <c r="G547" s="8"/>
      <c r="J547" s="1"/>
      <c r="N547" s="1"/>
      <c r="O547" s="1"/>
      <c r="Q547" s="1"/>
      <c r="R547" s="1"/>
      <c r="S547" s="1"/>
      <c r="T547" s="1"/>
      <c r="U547" s="1"/>
      <c r="V547" s="1"/>
      <c r="W547" s="1"/>
      <c r="X547" s="1"/>
    </row>
    <row r="548" ht="12.75" customHeight="1">
      <c r="A548" s="1"/>
      <c r="F548" s="8"/>
      <c r="G548" s="8"/>
      <c r="J548" s="1"/>
      <c r="N548" s="1"/>
      <c r="O548" s="1"/>
      <c r="Q548" s="1"/>
      <c r="R548" s="1"/>
      <c r="S548" s="1"/>
      <c r="T548" s="1"/>
      <c r="U548" s="1"/>
      <c r="V548" s="1"/>
      <c r="W548" s="1"/>
      <c r="X548" s="1"/>
    </row>
    <row r="549" ht="12.75" customHeight="1">
      <c r="A549" s="1"/>
      <c r="F549" s="8"/>
      <c r="G549" s="8"/>
      <c r="J549" s="1"/>
      <c r="N549" s="1"/>
      <c r="O549" s="1"/>
      <c r="Q549" s="1"/>
      <c r="R549" s="1"/>
      <c r="S549" s="1"/>
      <c r="T549" s="1"/>
      <c r="U549" s="1"/>
      <c r="V549" s="1"/>
      <c r="W549" s="1"/>
      <c r="X549" s="1"/>
    </row>
    <row r="550" ht="12.75" customHeight="1">
      <c r="A550" s="1"/>
      <c r="F550" s="8"/>
      <c r="G550" s="8"/>
      <c r="J550" s="1"/>
      <c r="N550" s="1"/>
      <c r="O550" s="1"/>
      <c r="Q550" s="1"/>
      <c r="R550" s="1"/>
      <c r="S550" s="1"/>
      <c r="T550" s="1"/>
      <c r="U550" s="1"/>
      <c r="V550" s="1"/>
      <c r="W550" s="1"/>
      <c r="X550" s="1"/>
    </row>
    <row r="551" ht="12.75" customHeight="1">
      <c r="A551" s="1"/>
      <c r="F551" s="8"/>
      <c r="G551" s="8"/>
      <c r="J551" s="1"/>
      <c r="N551" s="1"/>
      <c r="O551" s="1"/>
      <c r="Q551" s="1"/>
      <c r="R551" s="1"/>
      <c r="S551" s="1"/>
      <c r="T551" s="1"/>
      <c r="U551" s="1"/>
      <c r="V551" s="1"/>
      <c r="W551" s="1"/>
      <c r="X551" s="1"/>
    </row>
    <row r="552" ht="12.75" customHeight="1">
      <c r="A552" s="1"/>
      <c r="F552" s="8"/>
      <c r="G552" s="8"/>
      <c r="J552" s="1"/>
      <c r="N552" s="1"/>
      <c r="O552" s="1"/>
      <c r="Q552" s="1"/>
      <c r="R552" s="1"/>
      <c r="S552" s="1"/>
      <c r="T552" s="1"/>
      <c r="U552" s="1"/>
      <c r="V552" s="1"/>
      <c r="W552" s="1"/>
      <c r="X552" s="1"/>
    </row>
    <row r="553" ht="12.75" customHeight="1">
      <c r="A553" s="1"/>
      <c r="F553" s="8"/>
      <c r="G553" s="8"/>
      <c r="J553" s="1"/>
      <c r="N553" s="1"/>
      <c r="O553" s="1"/>
      <c r="Q553" s="1"/>
      <c r="R553" s="1"/>
      <c r="S553" s="1"/>
      <c r="T553" s="1"/>
      <c r="U553" s="1"/>
      <c r="V553" s="1"/>
      <c r="W553" s="1"/>
      <c r="X553" s="1"/>
    </row>
    <row r="554" ht="12.75" customHeight="1">
      <c r="A554" s="1"/>
      <c r="F554" s="8"/>
      <c r="G554" s="8"/>
      <c r="J554" s="1"/>
      <c r="N554" s="1"/>
      <c r="O554" s="1"/>
      <c r="Q554" s="1"/>
      <c r="R554" s="1"/>
      <c r="S554" s="1"/>
      <c r="T554" s="1"/>
      <c r="U554" s="1"/>
      <c r="V554" s="1"/>
      <c r="W554" s="1"/>
      <c r="X554" s="1"/>
    </row>
    <row r="555" ht="12.75" customHeight="1">
      <c r="A555" s="1"/>
      <c r="F555" s="8"/>
      <c r="G555" s="8"/>
      <c r="J555" s="1"/>
      <c r="N555" s="1"/>
      <c r="O555" s="1"/>
      <c r="Q555" s="1"/>
      <c r="R555" s="1"/>
      <c r="S555" s="1"/>
      <c r="T555" s="1"/>
      <c r="U555" s="1"/>
      <c r="V555" s="1"/>
      <c r="W555" s="1"/>
      <c r="X555" s="1"/>
    </row>
    <row r="556" ht="12.75" customHeight="1">
      <c r="A556" s="1"/>
      <c r="F556" s="8"/>
      <c r="G556" s="8"/>
      <c r="J556" s="1"/>
      <c r="N556" s="1"/>
      <c r="O556" s="1"/>
      <c r="Q556" s="1"/>
      <c r="R556" s="1"/>
      <c r="S556" s="1"/>
      <c r="T556" s="1"/>
      <c r="U556" s="1"/>
      <c r="V556" s="1"/>
      <c r="W556" s="1"/>
      <c r="X556" s="1"/>
    </row>
    <row r="557" ht="12.75" customHeight="1">
      <c r="A557" s="1"/>
      <c r="F557" s="8"/>
      <c r="G557" s="8"/>
      <c r="J557" s="1"/>
      <c r="N557" s="1"/>
      <c r="O557" s="1"/>
      <c r="Q557" s="1"/>
      <c r="R557" s="1"/>
      <c r="S557" s="1"/>
      <c r="T557" s="1"/>
      <c r="U557" s="1"/>
      <c r="V557" s="1"/>
      <c r="W557" s="1"/>
      <c r="X557" s="1"/>
    </row>
    <row r="558" ht="12.75" customHeight="1">
      <c r="A558" s="1"/>
      <c r="F558" s="8"/>
      <c r="G558" s="8"/>
      <c r="J558" s="1"/>
      <c r="N558" s="1"/>
      <c r="O558" s="1"/>
      <c r="Q558" s="1"/>
      <c r="R558" s="1"/>
      <c r="S558" s="1"/>
      <c r="T558" s="1"/>
      <c r="U558" s="1"/>
      <c r="V558" s="1"/>
      <c r="W558" s="1"/>
      <c r="X558" s="1"/>
    </row>
    <row r="559" ht="12.75" customHeight="1">
      <c r="A559" s="1"/>
      <c r="F559" s="8"/>
      <c r="G559" s="8"/>
      <c r="J559" s="1"/>
      <c r="N559" s="1"/>
      <c r="O559" s="1"/>
      <c r="Q559" s="1"/>
      <c r="R559" s="1"/>
      <c r="S559" s="1"/>
      <c r="T559" s="1"/>
      <c r="U559" s="1"/>
      <c r="V559" s="1"/>
      <c r="W559" s="1"/>
      <c r="X559" s="1"/>
    </row>
    <row r="560" ht="12.75" customHeight="1">
      <c r="A560" s="1"/>
      <c r="F560" s="8"/>
      <c r="G560" s="8"/>
      <c r="J560" s="1"/>
      <c r="N560" s="1"/>
      <c r="O560" s="1"/>
      <c r="Q560" s="1"/>
      <c r="R560" s="1"/>
      <c r="S560" s="1"/>
      <c r="T560" s="1"/>
      <c r="U560" s="1"/>
      <c r="V560" s="1"/>
      <c r="W560" s="1"/>
      <c r="X560" s="1"/>
    </row>
    <row r="561" ht="12.75" customHeight="1">
      <c r="A561" s="1"/>
      <c r="F561" s="8"/>
      <c r="G561" s="8"/>
      <c r="J561" s="1"/>
      <c r="N561" s="1"/>
      <c r="O561" s="1"/>
      <c r="Q561" s="1"/>
      <c r="R561" s="1"/>
      <c r="S561" s="1"/>
      <c r="T561" s="1"/>
      <c r="U561" s="1"/>
      <c r="V561" s="1"/>
      <c r="W561" s="1"/>
      <c r="X561" s="1"/>
    </row>
    <row r="562" ht="12.75" customHeight="1">
      <c r="A562" s="1"/>
      <c r="F562" s="8"/>
      <c r="G562" s="8"/>
      <c r="J562" s="1"/>
      <c r="N562" s="1"/>
      <c r="O562" s="1"/>
      <c r="Q562" s="1"/>
      <c r="R562" s="1"/>
      <c r="S562" s="1"/>
      <c r="T562" s="1"/>
      <c r="U562" s="1"/>
      <c r="V562" s="1"/>
      <c r="W562" s="1"/>
      <c r="X562" s="1"/>
    </row>
    <row r="563" ht="12.75" customHeight="1">
      <c r="A563" s="1"/>
      <c r="F563" s="8"/>
      <c r="G563" s="8"/>
      <c r="J563" s="1"/>
      <c r="N563" s="1"/>
      <c r="O563" s="1"/>
      <c r="Q563" s="1"/>
      <c r="R563" s="1"/>
      <c r="S563" s="1"/>
      <c r="T563" s="1"/>
      <c r="U563" s="1"/>
      <c r="V563" s="1"/>
      <c r="W563" s="1"/>
      <c r="X563" s="1"/>
    </row>
    <row r="564" ht="12.75" customHeight="1">
      <c r="A564" s="1"/>
      <c r="F564" s="8"/>
      <c r="G564" s="8"/>
      <c r="J564" s="1"/>
      <c r="N564" s="1"/>
      <c r="O564" s="1"/>
      <c r="Q564" s="1"/>
      <c r="R564" s="1"/>
      <c r="S564" s="1"/>
      <c r="T564" s="1"/>
      <c r="U564" s="1"/>
      <c r="V564" s="1"/>
      <c r="W564" s="1"/>
      <c r="X564" s="1"/>
    </row>
    <row r="565" ht="12.75" customHeight="1">
      <c r="A565" s="1"/>
      <c r="F565" s="8"/>
      <c r="G565" s="8"/>
      <c r="J565" s="1"/>
      <c r="N565" s="1"/>
      <c r="O565" s="1"/>
      <c r="Q565" s="1"/>
      <c r="R565" s="1"/>
      <c r="S565" s="1"/>
      <c r="T565" s="1"/>
      <c r="U565" s="1"/>
      <c r="V565" s="1"/>
      <c r="W565" s="1"/>
      <c r="X565" s="1"/>
    </row>
    <row r="566" ht="12.75" customHeight="1">
      <c r="A566" s="1"/>
      <c r="F566" s="8"/>
      <c r="G566" s="8"/>
      <c r="J566" s="1"/>
      <c r="N566" s="1"/>
      <c r="O566" s="1"/>
      <c r="Q566" s="1"/>
      <c r="R566" s="1"/>
      <c r="S566" s="1"/>
      <c r="T566" s="1"/>
      <c r="U566" s="1"/>
      <c r="V566" s="1"/>
      <c r="W566" s="1"/>
      <c r="X566" s="1"/>
    </row>
    <row r="567" ht="12.75" customHeight="1">
      <c r="A567" s="1"/>
      <c r="F567" s="8"/>
      <c r="G567" s="8"/>
      <c r="J567" s="1"/>
      <c r="N567" s="1"/>
      <c r="O567" s="1"/>
      <c r="Q567" s="1"/>
      <c r="R567" s="1"/>
      <c r="S567" s="1"/>
      <c r="T567" s="1"/>
      <c r="U567" s="1"/>
      <c r="V567" s="1"/>
      <c r="W567" s="1"/>
      <c r="X567" s="1"/>
    </row>
    <row r="568" ht="12.75" customHeight="1">
      <c r="A568" s="1"/>
      <c r="F568" s="8"/>
      <c r="G568" s="8"/>
      <c r="J568" s="1"/>
      <c r="N568" s="1"/>
      <c r="O568" s="1"/>
      <c r="Q568" s="1"/>
      <c r="R568" s="1"/>
      <c r="S568" s="1"/>
      <c r="T568" s="1"/>
      <c r="U568" s="1"/>
      <c r="V568" s="1"/>
      <c r="W568" s="1"/>
      <c r="X568" s="1"/>
    </row>
    <row r="569" ht="12.75" customHeight="1">
      <c r="A569" s="1"/>
      <c r="F569" s="8"/>
      <c r="G569" s="8"/>
      <c r="J569" s="1"/>
      <c r="N569" s="1"/>
      <c r="O569" s="1"/>
      <c r="Q569" s="1"/>
      <c r="R569" s="1"/>
      <c r="S569" s="1"/>
      <c r="T569" s="1"/>
      <c r="U569" s="1"/>
      <c r="V569" s="1"/>
      <c r="W569" s="1"/>
      <c r="X569" s="1"/>
    </row>
    <row r="570" ht="12.75" customHeight="1">
      <c r="A570" s="1"/>
      <c r="F570" s="8"/>
      <c r="G570" s="8"/>
      <c r="J570" s="1"/>
      <c r="N570" s="1"/>
      <c r="O570" s="1"/>
      <c r="Q570" s="1"/>
      <c r="R570" s="1"/>
      <c r="S570" s="1"/>
      <c r="T570" s="1"/>
      <c r="U570" s="1"/>
      <c r="V570" s="1"/>
      <c r="W570" s="1"/>
      <c r="X570" s="1"/>
    </row>
    <row r="571" ht="12.75" customHeight="1">
      <c r="A571" s="1"/>
      <c r="F571" s="8"/>
      <c r="G571" s="8"/>
      <c r="J571" s="1"/>
      <c r="N571" s="1"/>
      <c r="O571" s="1"/>
      <c r="Q571" s="1"/>
      <c r="R571" s="1"/>
      <c r="S571" s="1"/>
      <c r="T571" s="1"/>
      <c r="U571" s="1"/>
      <c r="V571" s="1"/>
      <c r="W571" s="1"/>
      <c r="X571" s="1"/>
    </row>
    <row r="572" ht="12.75" customHeight="1">
      <c r="A572" s="1"/>
      <c r="F572" s="8"/>
      <c r="G572" s="8"/>
      <c r="J572" s="1"/>
      <c r="N572" s="1"/>
      <c r="O572" s="1"/>
      <c r="Q572" s="1"/>
      <c r="R572" s="1"/>
      <c r="S572" s="1"/>
      <c r="T572" s="1"/>
      <c r="U572" s="1"/>
      <c r="V572" s="1"/>
      <c r="W572" s="1"/>
      <c r="X572" s="1"/>
    </row>
    <row r="573" ht="12.75" customHeight="1">
      <c r="A573" s="1"/>
      <c r="F573" s="8"/>
      <c r="G573" s="8"/>
      <c r="J573" s="1"/>
      <c r="N573" s="1"/>
      <c r="O573" s="1"/>
      <c r="Q573" s="1"/>
      <c r="R573" s="1"/>
      <c r="S573" s="1"/>
      <c r="T573" s="1"/>
      <c r="U573" s="1"/>
      <c r="V573" s="1"/>
      <c r="W573" s="1"/>
      <c r="X573" s="1"/>
    </row>
    <row r="574" ht="12.75" customHeight="1">
      <c r="A574" s="1"/>
      <c r="F574" s="8"/>
      <c r="G574" s="8"/>
      <c r="J574" s="1"/>
      <c r="N574" s="1"/>
      <c r="O574" s="1"/>
      <c r="Q574" s="1"/>
      <c r="R574" s="1"/>
      <c r="S574" s="1"/>
      <c r="T574" s="1"/>
      <c r="U574" s="1"/>
      <c r="V574" s="1"/>
      <c r="W574" s="1"/>
      <c r="X574" s="1"/>
    </row>
    <row r="575" ht="12.75" customHeight="1">
      <c r="A575" s="1"/>
      <c r="F575" s="8"/>
      <c r="G575" s="8"/>
      <c r="J575" s="1"/>
      <c r="N575" s="1"/>
      <c r="O575" s="1"/>
      <c r="Q575" s="1"/>
      <c r="R575" s="1"/>
      <c r="S575" s="1"/>
      <c r="T575" s="1"/>
      <c r="U575" s="1"/>
      <c r="V575" s="1"/>
      <c r="W575" s="1"/>
      <c r="X575" s="1"/>
    </row>
    <row r="576" ht="12.75" customHeight="1">
      <c r="A576" s="1"/>
      <c r="F576" s="8"/>
      <c r="G576" s="8"/>
      <c r="J576" s="1"/>
      <c r="N576" s="1"/>
      <c r="O576" s="1"/>
      <c r="Q576" s="1"/>
      <c r="R576" s="1"/>
      <c r="S576" s="1"/>
      <c r="T576" s="1"/>
      <c r="U576" s="1"/>
      <c r="V576" s="1"/>
      <c r="W576" s="1"/>
      <c r="X576" s="1"/>
    </row>
    <row r="577" ht="12.75" customHeight="1">
      <c r="A577" s="1"/>
      <c r="F577" s="8"/>
      <c r="G577" s="8"/>
      <c r="J577" s="1"/>
      <c r="N577" s="1"/>
      <c r="O577" s="1"/>
      <c r="Q577" s="1"/>
      <c r="R577" s="1"/>
      <c r="S577" s="1"/>
      <c r="T577" s="1"/>
      <c r="U577" s="1"/>
      <c r="V577" s="1"/>
      <c r="W577" s="1"/>
      <c r="X577" s="1"/>
    </row>
    <row r="578" ht="12.75" customHeight="1">
      <c r="A578" s="1"/>
      <c r="F578" s="8"/>
      <c r="G578" s="8"/>
      <c r="J578" s="1"/>
      <c r="N578" s="1"/>
      <c r="O578" s="1"/>
      <c r="Q578" s="1"/>
      <c r="R578" s="1"/>
      <c r="S578" s="1"/>
      <c r="T578" s="1"/>
      <c r="U578" s="1"/>
      <c r="V578" s="1"/>
      <c r="W578" s="1"/>
      <c r="X578" s="1"/>
    </row>
    <row r="579" ht="12.75" customHeight="1">
      <c r="A579" s="1"/>
      <c r="F579" s="8"/>
      <c r="G579" s="8"/>
      <c r="J579" s="1"/>
      <c r="N579" s="1"/>
      <c r="O579" s="1"/>
      <c r="Q579" s="1"/>
      <c r="R579" s="1"/>
      <c r="S579" s="1"/>
      <c r="T579" s="1"/>
      <c r="U579" s="1"/>
      <c r="V579" s="1"/>
      <c r="W579" s="1"/>
      <c r="X579" s="1"/>
    </row>
    <row r="580" ht="12.75" customHeight="1">
      <c r="A580" s="1"/>
      <c r="F580" s="8"/>
      <c r="G580" s="8"/>
      <c r="J580" s="1"/>
      <c r="N580" s="1"/>
      <c r="O580" s="1"/>
      <c r="Q580" s="1"/>
      <c r="R580" s="1"/>
      <c r="S580" s="1"/>
      <c r="T580" s="1"/>
      <c r="U580" s="1"/>
      <c r="V580" s="1"/>
      <c r="W580" s="1"/>
      <c r="X580" s="1"/>
    </row>
    <row r="581" ht="12.75" customHeight="1">
      <c r="A581" s="1"/>
      <c r="F581" s="8"/>
      <c r="G581" s="8"/>
      <c r="J581" s="1"/>
      <c r="N581" s="1"/>
      <c r="O581" s="1"/>
      <c r="Q581" s="1"/>
      <c r="R581" s="1"/>
      <c r="S581" s="1"/>
      <c r="T581" s="1"/>
      <c r="U581" s="1"/>
      <c r="V581" s="1"/>
      <c r="W581" s="1"/>
      <c r="X581" s="1"/>
    </row>
    <row r="582" ht="12.75" customHeight="1">
      <c r="A582" s="1"/>
      <c r="F582" s="8"/>
      <c r="G582" s="8"/>
      <c r="J582" s="1"/>
      <c r="N582" s="1"/>
      <c r="O582" s="1"/>
      <c r="Q582" s="1"/>
      <c r="R582" s="1"/>
      <c r="S582" s="1"/>
      <c r="T582" s="1"/>
      <c r="U582" s="1"/>
      <c r="V582" s="1"/>
      <c r="W582" s="1"/>
      <c r="X582" s="1"/>
    </row>
    <row r="583" ht="12.75" customHeight="1">
      <c r="A583" s="1"/>
      <c r="F583" s="8"/>
      <c r="G583" s="8"/>
      <c r="J583" s="1"/>
      <c r="N583" s="1"/>
      <c r="O583" s="1"/>
      <c r="Q583" s="1"/>
      <c r="R583" s="1"/>
      <c r="S583" s="1"/>
      <c r="T583" s="1"/>
      <c r="U583" s="1"/>
      <c r="V583" s="1"/>
      <c r="W583" s="1"/>
      <c r="X583" s="1"/>
    </row>
    <row r="584" ht="12.75" customHeight="1">
      <c r="A584" s="1"/>
      <c r="F584" s="8"/>
      <c r="G584" s="8"/>
      <c r="J584" s="1"/>
      <c r="N584" s="1"/>
      <c r="O584" s="1"/>
      <c r="Q584" s="1"/>
      <c r="R584" s="1"/>
      <c r="S584" s="1"/>
      <c r="T584" s="1"/>
      <c r="U584" s="1"/>
      <c r="V584" s="1"/>
      <c r="W584" s="1"/>
      <c r="X584" s="1"/>
    </row>
    <row r="585" ht="12.75" customHeight="1">
      <c r="A585" s="1"/>
      <c r="F585" s="8"/>
      <c r="G585" s="8"/>
      <c r="J585" s="1"/>
      <c r="N585" s="1"/>
      <c r="O585" s="1"/>
      <c r="Q585" s="1"/>
      <c r="R585" s="1"/>
      <c r="S585" s="1"/>
      <c r="T585" s="1"/>
      <c r="U585" s="1"/>
      <c r="V585" s="1"/>
      <c r="W585" s="1"/>
      <c r="X585" s="1"/>
    </row>
    <row r="586" ht="12.75" customHeight="1">
      <c r="A586" s="1"/>
      <c r="F586" s="8"/>
      <c r="G586" s="8"/>
      <c r="J586" s="1"/>
      <c r="N586" s="1"/>
      <c r="O586" s="1"/>
      <c r="Q586" s="1"/>
      <c r="R586" s="1"/>
      <c r="S586" s="1"/>
      <c r="T586" s="1"/>
      <c r="U586" s="1"/>
      <c r="V586" s="1"/>
      <c r="W586" s="1"/>
      <c r="X586" s="1"/>
    </row>
    <row r="587" ht="12.75" customHeight="1">
      <c r="A587" s="1"/>
      <c r="F587" s="8"/>
      <c r="G587" s="8"/>
      <c r="J587" s="1"/>
      <c r="N587" s="1"/>
      <c r="O587" s="1"/>
      <c r="Q587" s="1"/>
      <c r="R587" s="1"/>
      <c r="S587" s="1"/>
      <c r="T587" s="1"/>
      <c r="U587" s="1"/>
      <c r="V587" s="1"/>
      <c r="W587" s="1"/>
      <c r="X587" s="1"/>
    </row>
    <row r="588" ht="12.75" customHeight="1">
      <c r="A588" s="1"/>
      <c r="F588" s="8"/>
      <c r="G588" s="8"/>
      <c r="J588" s="1"/>
      <c r="N588" s="1"/>
      <c r="O588" s="1"/>
      <c r="Q588" s="1"/>
      <c r="R588" s="1"/>
      <c r="S588" s="1"/>
      <c r="T588" s="1"/>
      <c r="U588" s="1"/>
      <c r="V588" s="1"/>
      <c r="W588" s="1"/>
      <c r="X588" s="1"/>
    </row>
    <row r="589" ht="12.75" customHeight="1">
      <c r="A589" s="1"/>
      <c r="F589" s="8"/>
      <c r="G589" s="8"/>
      <c r="J589" s="1"/>
      <c r="N589" s="1"/>
      <c r="O589" s="1"/>
      <c r="Q589" s="1"/>
      <c r="R589" s="1"/>
      <c r="S589" s="1"/>
      <c r="T589" s="1"/>
      <c r="U589" s="1"/>
      <c r="V589" s="1"/>
      <c r="W589" s="1"/>
      <c r="X589" s="1"/>
    </row>
    <row r="590" ht="12.75" customHeight="1">
      <c r="A590" s="1"/>
      <c r="F590" s="8"/>
      <c r="G590" s="8"/>
      <c r="J590" s="1"/>
      <c r="N590" s="1"/>
      <c r="O590" s="1"/>
      <c r="Q590" s="1"/>
      <c r="R590" s="1"/>
      <c r="S590" s="1"/>
      <c r="T590" s="1"/>
      <c r="U590" s="1"/>
      <c r="V590" s="1"/>
      <c r="W590" s="1"/>
      <c r="X590" s="1"/>
    </row>
    <row r="591" ht="12.75" customHeight="1">
      <c r="A591" s="1"/>
      <c r="F591" s="8"/>
      <c r="G591" s="8"/>
      <c r="J591" s="1"/>
      <c r="N591" s="1"/>
      <c r="O591" s="1"/>
      <c r="Q591" s="1"/>
      <c r="R591" s="1"/>
      <c r="S591" s="1"/>
      <c r="T591" s="1"/>
      <c r="U591" s="1"/>
      <c r="V591" s="1"/>
      <c r="W591" s="1"/>
      <c r="X591" s="1"/>
    </row>
    <row r="592" ht="12.75" customHeight="1">
      <c r="A592" s="1"/>
      <c r="F592" s="8"/>
      <c r="G592" s="8"/>
      <c r="J592" s="1"/>
      <c r="N592" s="1"/>
      <c r="O592" s="1"/>
      <c r="Q592" s="1"/>
      <c r="R592" s="1"/>
      <c r="S592" s="1"/>
      <c r="T592" s="1"/>
      <c r="U592" s="1"/>
      <c r="V592" s="1"/>
      <c r="W592" s="1"/>
      <c r="X592" s="1"/>
    </row>
    <row r="593" ht="12.75" customHeight="1">
      <c r="A593" s="1"/>
      <c r="F593" s="8"/>
      <c r="G593" s="8"/>
      <c r="J593" s="1"/>
      <c r="N593" s="1"/>
      <c r="O593" s="1"/>
      <c r="Q593" s="1"/>
      <c r="R593" s="1"/>
      <c r="S593" s="1"/>
      <c r="T593" s="1"/>
      <c r="U593" s="1"/>
      <c r="V593" s="1"/>
      <c r="W593" s="1"/>
      <c r="X593" s="1"/>
    </row>
    <row r="594" ht="12.75" customHeight="1">
      <c r="A594" s="1"/>
      <c r="F594" s="8"/>
      <c r="G594" s="8"/>
      <c r="J594" s="1"/>
      <c r="N594" s="1"/>
      <c r="O594" s="1"/>
      <c r="Q594" s="1"/>
      <c r="R594" s="1"/>
      <c r="S594" s="1"/>
      <c r="T594" s="1"/>
      <c r="U594" s="1"/>
      <c r="V594" s="1"/>
      <c r="W594" s="1"/>
      <c r="X594" s="1"/>
    </row>
    <row r="595" ht="12.75" customHeight="1">
      <c r="A595" s="1"/>
      <c r="F595" s="8"/>
      <c r="G595" s="8"/>
      <c r="J595" s="1"/>
      <c r="N595" s="1"/>
      <c r="O595" s="1"/>
      <c r="Q595" s="1"/>
      <c r="R595" s="1"/>
      <c r="S595" s="1"/>
      <c r="T595" s="1"/>
      <c r="U595" s="1"/>
      <c r="V595" s="1"/>
      <c r="W595" s="1"/>
      <c r="X595" s="1"/>
    </row>
    <row r="596" ht="12.75" customHeight="1">
      <c r="A596" s="1"/>
      <c r="F596" s="8"/>
      <c r="G596" s="8"/>
      <c r="J596" s="1"/>
      <c r="N596" s="1"/>
      <c r="O596" s="1"/>
      <c r="Q596" s="1"/>
      <c r="R596" s="1"/>
      <c r="S596" s="1"/>
      <c r="T596" s="1"/>
      <c r="U596" s="1"/>
      <c r="V596" s="1"/>
      <c r="W596" s="1"/>
      <c r="X596" s="1"/>
    </row>
    <row r="597" ht="12.75" customHeight="1">
      <c r="A597" s="1"/>
      <c r="F597" s="8"/>
      <c r="G597" s="8"/>
      <c r="J597" s="1"/>
      <c r="N597" s="1"/>
      <c r="O597" s="1"/>
      <c r="Q597" s="1"/>
      <c r="R597" s="1"/>
      <c r="S597" s="1"/>
      <c r="T597" s="1"/>
      <c r="U597" s="1"/>
      <c r="V597" s="1"/>
      <c r="W597" s="1"/>
      <c r="X597" s="1"/>
    </row>
    <row r="598" ht="12.75" customHeight="1">
      <c r="A598" s="1"/>
      <c r="F598" s="8"/>
      <c r="G598" s="8"/>
      <c r="J598" s="1"/>
      <c r="N598" s="1"/>
      <c r="O598" s="1"/>
      <c r="Q598" s="1"/>
      <c r="R598" s="1"/>
      <c r="S598" s="1"/>
      <c r="T598" s="1"/>
      <c r="U598" s="1"/>
      <c r="V598" s="1"/>
      <c r="W598" s="1"/>
      <c r="X598" s="1"/>
    </row>
    <row r="599" ht="12.75" customHeight="1">
      <c r="A599" s="1"/>
      <c r="F599" s="8"/>
      <c r="G599" s="8"/>
      <c r="J599" s="1"/>
      <c r="N599" s="1"/>
      <c r="O599" s="1"/>
      <c r="Q599" s="1"/>
      <c r="R599" s="1"/>
      <c r="S599" s="1"/>
      <c r="T599" s="1"/>
      <c r="U599" s="1"/>
      <c r="V599" s="1"/>
      <c r="W599" s="1"/>
      <c r="X599" s="1"/>
    </row>
    <row r="600" ht="12.75" customHeight="1">
      <c r="A600" s="1"/>
      <c r="F600" s="8"/>
      <c r="G600" s="8"/>
      <c r="J600" s="1"/>
      <c r="N600" s="1"/>
      <c r="O600" s="1"/>
      <c r="Q600" s="1"/>
      <c r="R600" s="1"/>
      <c r="S600" s="1"/>
      <c r="T600" s="1"/>
      <c r="U600" s="1"/>
      <c r="V600" s="1"/>
      <c r="W600" s="1"/>
      <c r="X600" s="1"/>
    </row>
    <row r="601" ht="12.75" customHeight="1">
      <c r="A601" s="1"/>
      <c r="F601" s="8"/>
      <c r="G601" s="8"/>
      <c r="J601" s="1"/>
      <c r="N601" s="1"/>
      <c r="O601" s="1"/>
      <c r="Q601" s="1"/>
      <c r="R601" s="1"/>
      <c r="S601" s="1"/>
      <c r="T601" s="1"/>
      <c r="U601" s="1"/>
      <c r="V601" s="1"/>
      <c r="W601" s="1"/>
      <c r="X601" s="1"/>
    </row>
    <row r="602" ht="12.75" customHeight="1">
      <c r="A602" s="1"/>
      <c r="F602" s="8"/>
      <c r="G602" s="8"/>
      <c r="J602" s="1"/>
      <c r="N602" s="1"/>
      <c r="O602" s="1"/>
      <c r="Q602" s="1"/>
      <c r="R602" s="1"/>
      <c r="S602" s="1"/>
      <c r="T602" s="1"/>
      <c r="U602" s="1"/>
      <c r="V602" s="1"/>
      <c r="W602" s="1"/>
      <c r="X602" s="1"/>
    </row>
    <row r="603" ht="12.75" customHeight="1">
      <c r="A603" s="1"/>
      <c r="F603" s="8"/>
      <c r="G603" s="8"/>
      <c r="J603" s="1"/>
      <c r="N603" s="1"/>
      <c r="O603" s="1"/>
      <c r="Q603" s="1"/>
      <c r="R603" s="1"/>
      <c r="S603" s="1"/>
      <c r="T603" s="1"/>
      <c r="U603" s="1"/>
      <c r="V603" s="1"/>
      <c r="W603" s="1"/>
      <c r="X603" s="1"/>
    </row>
    <row r="604" ht="12.75" customHeight="1">
      <c r="A604" s="1"/>
      <c r="F604" s="8"/>
      <c r="G604" s="8"/>
      <c r="J604" s="1"/>
      <c r="N604" s="1"/>
      <c r="O604" s="1"/>
      <c r="Q604" s="1"/>
      <c r="R604" s="1"/>
      <c r="S604" s="1"/>
      <c r="T604" s="1"/>
      <c r="U604" s="1"/>
      <c r="V604" s="1"/>
      <c r="W604" s="1"/>
      <c r="X604" s="1"/>
    </row>
    <row r="605" ht="12.75" customHeight="1">
      <c r="A605" s="1"/>
      <c r="F605" s="8"/>
      <c r="G605" s="8"/>
      <c r="J605" s="1"/>
      <c r="N605" s="1"/>
      <c r="O605" s="1"/>
      <c r="Q605" s="1"/>
      <c r="R605" s="1"/>
      <c r="S605" s="1"/>
      <c r="T605" s="1"/>
      <c r="U605" s="1"/>
      <c r="V605" s="1"/>
      <c r="W605" s="1"/>
      <c r="X605" s="1"/>
    </row>
    <row r="606" ht="12.75" customHeight="1">
      <c r="A606" s="1"/>
      <c r="F606" s="8"/>
      <c r="G606" s="8"/>
      <c r="J606" s="1"/>
      <c r="N606" s="1"/>
      <c r="O606" s="1"/>
      <c r="Q606" s="1"/>
      <c r="R606" s="1"/>
      <c r="S606" s="1"/>
      <c r="T606" s="1"/>
      <c r="U606" s="1"/>
      <c r="V606" s="1"/>
      <c r="W606" s="1"/>
      <c r="X606" s="1"/>
    </row>
    <row r="607" ht="12.75" customHeight="1">
      <c r="A607" s="1"/>
      <c r="F607" s="8"/>
      <c r="G607" s="8"/>
      <c r="J607" s="1"/>
      <c r="N607" s="1"/>
      <c r="O607" s="1"/>
      <c r="Q607" s="1"/>
      <c r="R607" s="1"/>
      <c r="S607" s="1"/>
      <c r="T607" s="1"/>
      <c r="U607" s="1"/>
      <c r="V607" s="1"/>
      <c r="W607" s="1"/>
      <c r="X607" s="1"/>
    </row>
    <row r="608" ht="12.75" customHeight="1">
      <c r="A608" s="1"/>
      <c r="F608" s="8"/>
      <c r="G608" s="8"/>
      <c r="J608" s="1"/>
      <c r="N608" s="1"/>
      <c r="O608" s="1"/>
      <c r="Q608" s="1"/>
      <c r="R608" s="1"/>
      <c r="S608" s="1"/>
      <c r="T608" s="1"/>
      <c r="U608" s="1"/>
      <c r="V608" s="1"/>
      <c r="W608" s="1"/>
      <c r="X608" s="1"/>
    </row>
    <row r="609" ht="12.75" customHeight="1">
      <c r="A609" s="1"/>
      <c r="F609" s="8"/>
      <c r="G609" s="8"/>
      <c r="J609" s="1"/>
      <c r="N609" s="1"/>
      <c r="O609" s="1"/>
      <c r="Q609" s="1"/>
      <c r="R609" s="1"/>
      <c r="S609" s="1"/>
      <c r="T609" s="1"/>
      <c r="U609" s="1"/>
      <c r="V609" s="1"/>
      <c r="W609" s="1"/>
      <c r="X609" s="1"/>
    </row>
    <row r="610" ht="12.75" customHeight="1">
      <c r="A610" s="1"/>
      <c r="F610" s="8"/>
      <c r="G610" s="8"/>
      <c r="J610" s="1"/>
      <c r="N610" s="1"/>
      <c r="O610" s="1"/>
      <c r="Q610" s="1"/>
      <c r="R610" s="1"/>
      <c r="S610" s="1"/>
      <c r="T610" s="1"/>
      <c r="U610" s="1"/>
      <c r="V610" s="1"/>
      <c r="W610" s="1"/>
      <c r="X610" s="1"/>
    </row>
    <row r="611" ht="12.75" customHeight="1">
      <c r="A611" s="1"/>
      <c r="F611" s="8"/>
      <c r="G611" s="8"/>
      <c r="J611" s="1"/>
      <c r="N611" s="1"/>
      <c r="O611" s="1"/>
      <c r="Q611" s="1"/>
      <c r="R611" s="1"/>
      <c r="S611" s="1"/>
      <c r="T611" s="1"/>
      <c r="U611" s="1"/>
      <c r="V611" s="1"/>
      <c r="W611" s="1"/>
      <c r="X611" s="1"/>
    </row>
    <row r="612" ht="12.75" customHeight="1">
      <c r="A612" s="1"/>
      <c r="F612" s="8"/>
      <c r="G612" s="8"/>
      <c r="J612" s="1"/>
      <c r="N612" s="1"/>
      <c r="O612" s="1"/>
      <c r="Q612" s="1"/>
      <c r="R612" s="1"/>
      <c r="S612" s="1"/>
      <c r="T612" s="1"/>
      <c r="U612" s="1"/>
      <c r="V612" s="1"/>
      <c r="W612" s="1"/>
      <c r="X612" s="1"/>
    </row>
    <row r="613" ht="12.75" customHeight="1">
      <c r="A613" s="1"/>
      <c r="F613" s="8"/>
      <c r="G613" s="8"/>
      <c r="J613" s="1"/>
      <c r="N613" s="1"/>
      <c r="O613" s="1"/>
      <c r="Q613" s="1"/>
      <c r="R613" s="1"/>
      <c r="S613" s="1"/>
      <c r="T613" s="1"/>
      <c r="U613" s="1"/>
      <c r="V613" s="1"/>
      <c r="W613" s="1"/>
      <c r="X613" s="1"/>
    </row>
    <row r="614" ht="12.75" customHeight="1">
      <c r="A614" s="1"/>
      <c r="F614" s="8"/>
      <c r="G614" s="8"/>
      <c r="J614" s="1"/>
      <c r="N614" s="1"/>
      <c r="O614" s="1"/>
      <c r="Q614" s="1"/>
      <c r="R614" s="1"/>
      <c r="S614" s="1"/>
      <c r="T614" s="1"/>
      <c r="U614" s="1"/>
      <c r="V614" s="1"/>
      <c r="W614" s="1"/>
      <c r="X614" s="1"/>
    </row>
    <row r="615" ht="12.75" customHeight="1">
      <c r="A615" s="1"/>
      <c r="F615" s="8"/>
      <c r="G615" s="8"/>
      <c r="J615" s="1"/>
      <c r="N615" s="1"/>
      <c r="O615" s="1"/>
      <c r="Q615" s="1"/>
      <c r="R615" s="1"/>
      <c r="S615" s="1"/>
      <c r="T615" s="1"/>
      <c r="U615" s="1"/>
      <c r="V615" s="1"/>
      <c r="W615" s="1"/>
      <c r="X615" s="1"/>
    </row>
    <row r="616" ht="12.75" customHeight="1">
      <c r="A616" s="1"/>
      <c r="F616" s="8"/>
      <c r="G616" s="8"/>
      <c r="J616" s="1"/>
      <c r="N616" s="1"/>
      <c r="O616" s="1"/>
      <c r="Q616" s="1"/>
      <c r="R616" s="1"/>
      <c r="S616" s="1"/>
      <c r="T616" s="1"/>
      <c r="U616" s="1"/>
      <c r="V616" s="1"/>
      <c r="W616" s="1"/>
      <c r="X616" s="1"/>
    </row>
    <row r="617" ht="12.75" customHeight="1">
      <c r="A617" s="1"/>
      <c r="F617" s="8"/>
      <c r="G617" s="8"/>
      <c r="J617" s="1"/>
      <c r="N617" s="1"/>
      <c r="O617" s="1"/>
      <c r="Q617" s="1"/>
      <c r="R617" s="1"/>
      <c r="S617" s="1"/>
      <c r="T617" s="1"/>
      <c r="U617" s="1"/>
      <c r="V617" s="1"/>
      <c r="W617" s="1"/>
      <c r="X617" s="1"/>
    </row>
    <row r="618" ht="12.75" customHeight="1">
      <c r="A618" s="1"/>
      <c r="F618" s="8"/>
      <c r="G618" s="8"/>
      <c r="J618" s="1"/>
      <c r="N618" s="1"/>
      <c r="O618" s="1"/>
      <c r="Q618" s="1"/>
      <c r="R618" s="1"/>
      <c r="S618" s="1"/>
      <c r="T618" s="1"/>
      <c r="U618" s="1"/>
      <c r="V618" s="1"/>
      <c r="W618" s="1"/>
      <c r="X618" s="1"/>
    </row>
    <row r="619" ht="12.75" customHeight="1">
      <c r="A619" s="1"/>
      <c r="F619" s="8"/>
      <c r="G619" s="8"/>
      <c r="J619" s="1"/>
      <c r="N619" s="1"/>
      <c r="O619" s="1"/>
      <c r="Q619" s="1"/>
      <c r="R619" s="1"/>
      <c r="S619" s="1"/>
      <c r="T619" s="1"/>
      <c r="U619" s="1"/>
      <c r="V619" s="1"/>
      <c r="W619" s="1"/>
      <c r="X619" s="1"/>
    </row>
    <row r="620" ht="12.75" customHeight="1">
      <c r="A620" s="1"/>
      <c r="F620" s="8"/>
      <c r="G620" s="8"/>
      <c r="J620" s="1"/>
      <c r="N620" s="1"/>
      <c r="O620" s="1"/>
      <c r="Q620" s="1"/>
      <c r="R620" s="1"/>
      <c r="S620" s="1"/>
      <c r="T620" s="1"/>
      <c r="U620" s="1"/>
      <c r="V620" s="1"/>
      <c r="W620" s="1"/>
      <c r="X620" s="1"/>
    </row>
    <row r="621" ht="12.75" customHeight="1">
      <c r="A621" s="1"/>
      <c r="F621" s="8"/>
      <c r="G621" s="8"/>
      <c r="J621" s="1"/>
      <c r="N621" s="1"/>
      <c r="O621" s="1"/>
      <c r="Q621" s="1"/>
      <c r="R621" s="1"/>
      <c r="S621" s="1"/>
      <c r="T621" s="1"/>
      <c r="U621" s="1"/>
      <c r="V621" s="1"/>
      <c r="W621" s="1"/>
      <c r="X621" s="1"/>
    </row>
    <row r="622" ht="12.75" customHeight="1">
      <c r="A622" s="1"/>
      <c r="F622" s="8"/>
      <c r="G622" s="8"/>
      <c r="J622" s="1"/>
      <c r="N622" s="1"/>
      <c r="O622" s="1"/>
      <c r="Q622" s="1"/>
      <c r="R622" s="1"/>
      <c r="S622" s="1"/>
      <c r="T622" s="1"/>
      <c r="U622" s="1"/>
      <c r="V622" s="1"/>
      <c r="W622" s="1"/>
      <c r="X622" s="1"/>
    </row>
    <row r="623" ht="12.75" customHeight="1">
      <c r="A623" s="1"/>
      <c r="F623" s="8"/>
      <c r="G623" s="8"/>
      <c r="J623" s="1"/>
      <c r="N623" s="1"/>
      <c r="O623" s="1"/>
      <c r="Q623" s="1"/>
      <c r="R623" s="1"/>
      <c r="S623" s="1"/>
      <c r="T623" s="1"/>
      <c r="U623" s="1"/>
      <c r="V623" s="1"/>
      <c r="W623" s="1"/>
      <c r="X623" s="1"/>
    </row>
    <row r="624" ht="12.75" customHeight="1">
      <c r="A624" s="1"/>
      <c r="F624" s="8"/>
      <c r="G624" s="8"/>
      <c r="J624" s="1"/>
      <c r="N624" s="1"/>
      <c r="O624" s="1"/>
      <c r="Q624" s="1"/>
      <c r="R624" s="1"/>
      <c r="S624" s="1"/>
      <c r="T624" s="1"/>
      <c r="U624" s="1"/>
      <c r="V624" s="1"/>
      <c r="W624" s="1"/>
      <c r="X624" s="1"/>
    </row>
    <row r="625" ht="12.75" customHeight="1">
      <c r="A625" s="1"/>
      <c r="F625" s="8"/>
      <c r="G625" s="8"/>
      <c r="J625" s="1"/>
      <c r="N625" s="1"/>
      <c r="O625" s="1"/>
      <c r="Q625" s="1"/>
      <c r="R625" s="1"/>
      <c r="S625" s="1"/>
      <c r="T625" s="1"/>
      <c r="U625" s="1"/>
      <c r="V625" s="1"/>
      <c r="W625" s="1"/>
      <c r="X625" s="1"/>
    </row>
    <row r="626" ht="12.75" customHeight="1">
      <c r="A626" s="1"/>
      <c r="F626" s="8"/>
      <c r="G626" s="8"/>
      <c r="J626" s="1"/>
      <c r="N626" s="1"/>
      <c r="O626" s="1"/>
      <c r="Q626" s="1"/>
      <c r="R626" s="1"/>
      <c r="S626" s="1"/>
      <c r="T626" s="1"/>
      <c r="U626" s="1"/>
      <c r="V626" s="1"/>
      <c r="W626" s="1"/>
      <c r="X626" s="1"/>
    </row>
    <row r="627" ht="12.75" customHeight="1">
      <c r="A627" s="1"/>
      <c r="F627" s="8"/>
      <c r="G627" s="8"/>
      <c r="J627" s="1"/>
      <c r="N627" s="1"/>
      <c r="O627" s="1"/>
      <c r="Q627" s="1"/>
      <c r="R627" s="1"/>
      <c r="S627" s="1"/>
      <c r="T627" s="1"/>
      <c r="U627" s="1"/>
      <c r="V627" s="1"/>
      <c r="W627" s="1"/>
      <c r="X627" s="1"/>
    </row>
    <row r="628" ht="12.75" customHeight="1">
      <c r="A628" s="1"/>
      <c r="F628" s="8"/>
      <c r="G628" s="8"/>
      <c r="J628" s="1"/>
      <c r="N628" s="1"/>
      <c r="O628" s="1"/>
      <c r="Q628" s="1"/>
      <c r="R628" s="1"/>
      <c r="S628" s="1"/>
      <c r="T628" s="1"/>
      <c r="U628" s="1"/>
      <c r="V628" s="1"/>
      <c r="W628" s="1"/>
      <c r="X628" s="1"/>
    </row>
    <row r="629" ht="12.75" customHeight="1">
      <c r="A629" s="1"/>
      <c r="F629" s="8"/>
      <c r="G629" s="8"/>
      <c r="J629" s="1"/>
      <c r="N629" s="1"/>
      <c r="O629" s="1"/>
      <c r="Q629" s="1"/>
      <c r="R629" s="1"/>
      <c r="S629" s="1"/>
      <c r="T629" s="1"/>
      <c r="U629" s="1"/>
      <c r="V629" s="1"/>
      <c r="W629" s="1"/>
      <c r="X629" s="1"/>
    </row>
    <row r="630" ht="12.75" customHeight="1">
      <c r="A630" s="1"/>
      <c r="F630" s="8"/>
      <c r="G630" s="8"/>
      <c r="J630" s="1"/>
      <c r="N630" s="1"/>
      <c r="O630" s="1"/>
      <c r="Q630" s="1"/>
      <c r="R630" s="1"/>
      <c r="S630" s="1"/>
      <c r="T630" s="1"/>
      <c r="U630" s="1"/>
      <c r="V630" s="1"/>
      <c r="W630" s="1"/>
      <c r="X630" s="1"/>
    </row>
    <row r="631" ht="12.75" customHeight="1">
      <c r="A631" s="1"/>
      <c r="F631" s="8"/>
      <c r="G631" s="8"/>
      <c r="J631" s="1"/>
      <c r="N631" s="1"/>
      <c r="O631" s="1"/>
      <c r="Q631" s="1"/>
      <c r="R631" s="1"/>
      <c r="S631" s="1"/>
      <c r="T631" s="1"/>
      <c r="U631" s="1"/>
      <c r="V631" s="1"/>
      <c r="W631" s="1"/>
      <c r="X631" s="1"/>
    </row>
    <row r="632" ht="12.75" customHeight="1">
      <c r="A632" s="1"/>
      <c r="F632" s="8"/>
      <c r="G632" s="8"/>
      <c r="J632" s="1"/>
      <c r="N632" s="1"/>
      <c r="O632" s="1"/>
      <c r="Q632" s="1"/>
      <c r="R632" s="1"/>
      <c r="S632" s="1"/>
      <c r="T632" s="1"/>
      <c r="U632" s="1"/>
      <c r="V632" s="1"/>
      <c r="W632" s="1"/>
      <c r="X632" s="1"/>
    </row>
    <row r="633" ht="12.75" customHeight="1">
      <c r="A633" s="1"/>
      <c r="F633" s="8"/>
      <c r="G633" s="8"/>
      <c r="J633" s="1"/>
      <c r="N633" s="1"/>
      <c r="O633" s="1"/>
      <c r="Q633" s="1"/>
      <c r="R633" s="1"/>
      <c r="S633" s="1"/>
      <c r="T633" s="1"/>
      <c r="U633" s="1"/>
      <c r="V633" s="1"/>
      <c r="W633" s="1"/>
      <c r="X633" s="1"/>
    </row>
    <row r="634" ht="12.75" customHeight="1">
      <c r="A634" s="1"/>
      <c r="F634" s="8"/>
      <c r="G634" s="8"/>
      <c r="J634" s="1"/>
      <c r="N634" s="1"/>
      <c r="O634" s="1"/>
      <c r="Q634" s="1"/>
      <c r="R634" s="1"/>
      <c r="S634" s="1"/>
      <c r="T634" s="1"/>
      <c r="U634" s="1"/>
      <c r="V634" s="1"/>
      <c r="W634" s="1"/>
      <c r="X634" s="1"/>
    </row>
    <row r="635" ht="12.75" customHeight="1">
      <c r="A635" s="1"/>
      <c r="F635" s="8"/>
      <c r="G635" s="8"/>
      <c r="J635" s="1"/>
      <c r="N635" s="1"/>
      <c r="O635" s="1"/>
      <c r="Q635" s="1"/>
      <c r="R635" s="1"/>
      <c r="S635" s="1"/>
      <c r="T635" s="1"/>
      <c r="U635" s="1"/>
      <c r="V635" s="1"/>
      <c r="W635" s="1"/>
      <c r="X635" s="1"/>
    </row>
    <row r="636" ht="12.75" customHeight="1">
      <c r="A636" s="1"/>
      <c r="F636" s="8"/>
      <c r="G636" s="8"/>
      <c r="J636" s="1"/>
      <c r="N636" s="1"/>
      <c r="O636" s="1"/>
      <c r="Q636" s="1"/>
      <c r="R636" s="1"/>
      <c r="S636" s="1"/>
      <c r="T636" s="1"/>
      <c r="U636" s="1"/>
      <c r="V636" s="1"/>
      <c r="W636" s="1"/>
      <c r="X636" s="1"/>
    </row>
    <row r="637" ht="12.75" customHeight="1">
      <c r="A637" s="1"/>
      <c r="F637" s="8"/>
      <c r="G637" s="8"/>
      <c r="J637" s="1"/>
      <c r="N637" s="1"/>
      <c r="O637" s="1"/>
      <c r="Q637" s="1"/>
      <c r="R637" s="1"/>
      <c r="S637" s="1"/>
      <c r="T637" s="1"/>
      <c r="U637" s="1"/>
      <c r="V637" s="1"/>
      <c r="W637" s="1"/>
      <c r="X637" s="1"/>
    </row>
    <row r="638" ht="12.75" customHeight="1">
      <c r="A638" s="1"/>
      <c r="F638" s="8"/>
      <c r="G638" s="8"/>
      <c r="J638" s="1"/>
      <c r="N638" s="1"/>
      <c r="O638" s="1"/>
      <c r="Q638" s="1"/>
      <c r="R638" s="1"/>
      <c r="S638" s="1"/>
      <c r="T638" s="1"/>
      <c r="U638" s="1"/>
      <c r="V638" s="1"/>
      <c r="W638" s="1"/>
      <c r="X638" s="1"/>
    </row>
    <row r="639" ht="12.75" customHeight="1">
      <c r="A639" s="1"/>
      <c r="F639" s="8"/>
      <c r="G639" s="8"/>
      <c r="J639" s="1"/>
      <c r="N639" s="1"/>
      <c r="O639" s="1"/>
      <c r="Q639" s="1"/>
      <c r="R639" s="1"/>
      <c r="S639" s="1"/>
      <c r="T639" s="1"/>
      <c r="U639" s="1"/>
      <c r="V639" s="1"/>
      <c r="W639" s="1"/>
      <c r="X639" s="1"/>
    </row>
    <row r="640" ht="12.75" customHeight="1">
      <c r="A640" s="1"/>
      <c r="F640" s="8"/>
      <c r="G640" s="8"/>
      <c r="J640" s="1"/>
      <c r="N640" s="1"/>
      <c r="O640" s="1"/>
      <c r="Q640" s="1"/>
      <c r="R640" s="1"/>
      <c r="S640" s="1"/>
      <c r="T640" s="1"/>
      <c r="U640" s="1"/>
      <c r="V640" s="1"/>
      <c r="W640" s="1"/>
      <c r="X640" s="1"/>
    </row>
    <row r="641" ht="12.75" customHeight="1">
      <c r="A641" s="1"/>
      <c r="F641" s="8"/>
      <c r="G641" s="8"/>
      <c r="J641" s="1"/>
      <c r="N641" s="1"/>
      <c r="O641" s="1"/>
      <c r="Q641" s="1"/>
      <c r="R641" s="1"/>
      <c r="S641" s="1"/>
      <c r="T641" s="1"/>
      <c r="U641" s="1"/>
      <c r="V641" s="1"/>
      <c r="W641" s="1"/>
      <c r="X641" s="1"/>
    </row>
    <row r="642" ht="12.75" customHeight="1">
      <c r="A642" s="1"/>
      <c r="F642" s="8"/>
      <c r="G642" s="8"/>
      <c r="J642" s="1"/>
      <c r="N642" s="1"/>
      <c r="O642" s="1"/>
      <c r="Q642" s="1"/>
      <c r="R642" s="1"/>
      <c r="S642" s="1"/>
      <c r="T642" s="1"/>
      <c r="U642" s="1"/>
      <c r="V642" s="1"/>
      <c r="W642" s="1"/>
      <c r="X642" s="1"/>
    </row>
    <row r="643" ht="12.75" customHeight="1">
      <c r="A643" s="1"/>
      <c r="F643" s="8"/>
      <c r="G643" s="8"/>
      <c r="J643" s="1"/>
      <c r="N643" s="1"/>
      <c r="O643" s="1"/>
      <c r="Q643" s="1"/>
      <c r="R643" s="1"/>
      <c r="S643" s="1"/>
      <c r="T643" s="1"/>
      <c r="U643" s="1"/>
      <c r="V643" s="1"/>
      <c r="W643" s="1"/>
      <c r="X643" s="1"/>
    </row>
    <row r="644" ht="12.75" customHeight="1">
      <c r="A644" s="1"/>
      <c r="F644" s="8"/>
      <c r="G644" s="8"/>
      <c r="J644" s="1"/>
      <c r="N644" s="1"/>
      <c r="O644" s="1"/>
      <c r="Q644" s="1"/>
      <c r="R644" s="1"/>
      <c r="S644" s="1"/>
      <c r="T644" s="1"/>
      <c r="U644" s="1"/>
      <c r="V644" s="1"/>
      <c r="W644" s="1"/>
      <c r="X644" s="1"/>
    </row>
    <row r="645" ht="12.75" customHeight="1">
      <c r="A645" s="1"/>
      <c r="F645" s="8"/>
      <c r="G645" s="8"/>
      <c r="J645" s="1"/>
      <c r="N645" s="1"/>
      <c r="O645" s="1"/>
      <c r="Q645" s="1"/>
      <c r="R645" s="1"/>
      <c r="S645" s="1"/>
      <c r="T645" s="1"/>
      <c r="U645" s="1"/>
      <c r="V645" s="1"/>
      <c r="W645" s="1"/>
      <c r="X645" s="1"/>
    </row>
    <row r="646" ht="12.75" customHeight="1">
      <c r="A646" s="1"/>
      <c r="F646" s="8"/>
      <c r="G646" s="8"/>
      <c r="J646" s="1"/>
      <c r="N646" s="1"/>
      <c r="O646" s="1"/>
      <c r="Q646" s="1"/>
      <c r="R646" s="1"/>
      <c r="S646" s="1"/>
      <c r="T646" s="1"/>
      <c r="U646" s="1"/>
      <c r="V646" s="1"/>
      <c r="W646" s="1"/>
      <c r="X646" s="1"/>
    </row>
    <row r="647" ht="12.75" customHeight="1">
      <c r="A647" s="1"/>
      <c r="F647" s="8"/>
      <c r="G647" s="8"/>
      <c r="J647" s="1"/>
      <c r="N647" s="1"/>
      <c r="O647" s="1"/>
      <c r="Q647" s="1"/>
      <c r="R647" s="1"/>
      <c r="S647" s="1"/>
      <c r="T647" s="1"/>
      <c r="U647" s="1"/>
      <c r="V647" s="1"/>
      <c r="W647" s="1"/>
      <c r="X647" s="1"/>
    </row>
    <row r="648" ht="12.75" customHeight="1">
      <c r="A648" s="1"/>
      <c r="F648" s="8"/>
      <c r="G648" s="8"/>
      <c r="J648" s="1"/>
      <c r="N648" s="1"/>
      <c r="O648" s="1"/>
      <c r="Q648" s="1"/>
      <c r="R648" s="1"/>
      <c r="S648" s="1"/>
      <c r="T648" s="1"/>
      <c r="U648" s="1"/>
      <c r="V648" s="1"/>
      <c r="W648" s="1"/>
      <c r="X648" s="1"/>
    </row>
    <row r="649" ht="12.75" customHeight="1">
      <c r="A649" s="1"/>
      <c r="F649" s="8"/>
      <c r="G649" s="8"/>
      <c r="J649" s="1"/>
      <c r="N649" s="1"/>
      <c r="O649" s="1"/>
      <c r="Q649" s="1"/>
      <c r="R649" s="1"/>
      <c r="S649" s="1"/>
      <c r="T649" s="1"/>
      <c r="U649" s="1"/>
      <c r="V649" s="1"/>
      <c r="W649" s="1"/>
      <c r="X649" s="1"/>
    </row>
    <row r="650" ht="12.75" customHeight="1">
      <c r="A650" s="1"/>
      <c r="F650" s="8"/>
      <c r="G650" s="8"/>
      <c r="J650" s="1"/>
      <c r="N650" s="1"/>
      <c r="O650" s="1"/>
      <c r="Q650" s="1"/>
      <c r="R650" s="1"/>
      <c r="S650" s="1"/>
      <c r="T650" s="1"/>
      <c r="U650" s="1"/>
      <c r="V650" s="1"/>
      <c r="W650" s="1"/>
      <c r="X650" s="1"/>
    </row>
    <row r="651" ht="12.75" customHeight="1">
      <c r="A651" s="1"/>
      <c r="F651" s="8"/>
      <c r="G651" s="8"/>
      <c r="J651" s="1"/>
      <c r="N651" s="1"/>
      <c r="O651" s="1"/>
      <c r="Q651" s="1"/>
      <c r="R651" s="1"/>
      <c r="S651" s="1"/>
      <c r="T651" s="1"/>
      <c r="U651" s="1"/>
      <c r="V651" s="1"/>
      <c r="W651" s="1"/>
      <c r="X651" s="1"/>
    </row>
    <row r="652" ht="12.75" customHeight="1">
      <c r="A652" s="1"/>
      <c r="F652" s="8"/>
      <c r="G652" s="8"/>
      <c r="J652" s="1"/>
      <c r="N652" s="1"/>
      <c r="O652" s="1"/>
      <c r="Q652" s="1"/>
      <c r="R652" s="1"/>
      <c r="S652" s="1"/>
      <c r="T652" s="1"/>
      <c r="U652" s="1"/>
      <c r="V652" s="1"/>
      <c r="W652" s="1"/>
      <c r="X652" s="1"/>
    </row>
    <row r="653" ht="12.75" customHeight="1">
      <c r="A653" s="1"/>
      <c r="F653" s="8"/>
      <c r="G653" s="8"/>
      <c r="J653" s="1"/>
      <c r="N653" s="1"/>
      <c r="O653" s="1"/>
      <c r="Q653" s="1"/>
      <c r="R653" s="1"/>
      <c r="S653" s="1"/>
      <c r="T653" s="1"/>
      <c r="U653" s="1"/>
      <c r="V653" s="1"/>
      <c r="W653" s="1"/>
      <c r="X653" s="1"/>
    </row>
    <row r="654" ht="12.75" customHeight="1">
      <c r="A654" s="1"/>
      <c r="F654" s="8"/>
      <c r="G654" s="8"/>
      <c r="J654" s="1"/>
      <c r="N654" s="1"/>
      <c r="O654" s="1"/>
      <c r="Q654" s="1"/>
      <c r="R654" s="1"/>
      <c r="S654" s="1"/>
      <c r="T654" s="1"/>
      <c r="U654" s="1"/>
      <c r="V654" s="1"/>
      <c r="W654" s="1"/>
      <c r="X654" s="1"/>
    </row>
    <row r="655" ht="12.75" customHeight="1">
      <c r="A655" s="1"/>
      <c r="F655" s="8"/>
      <c r="G655" s="8"/>
      <c r="J655" s="1"/>
      <c r="N655" s="1"/>
      <c r="O655" s="1"/>
      <c r="Q655" s="1"/>
      <c r="R655" s="1"/>
      <c r="S655" s="1"/>
      <c r="T655" s="1"/>
      <c r="U655" s="1"/>
      <c r="V655" s="1"/>
      <c r="W655" s="1"/>
      <c r="X655" s="1"/>
    </row>
    <row r="656" ht="12.75" customHeight="1">
      <c r="A656" s="1"/>
      <c r="F656" s="8"/>
      <c r="G656" s="8"/>
      <c r="J656" s="1"/>
      <c r="N656" s="1"/>
      <c r="O656" s="1"/>
      <c r="Q656" s="1"/>
      <c r="R656" s="1"/>
      <c r="S656" s="1"/>
      <c r="T656" s="1"/>
      <c r="U656" s="1"/>
      <c r="V656" s="1"/>
      <c r="W656" s="1"/>
      <c r="X656" s="1"/>
    </row>
    <row r="657" ht="12.75" customHeight="1">
      <c r="A657" s="1"/>
      <c r="F657" s="8"/>
      <c r="G657" s="8"/>
      <c r="J657" s="1"/>
      <c r="N657" s="1"/>
      <c r="O657" s="1"/>
      <c r="Q657" s="1"/>
      <c r="R657" s="1"/>
      <c r="S657" s="1"/>
      <c r="T657" s="1"/>
      <c r="U657" s="1"/>
      <c r="V657" s="1"/>
      <c r="W657" s="1"/>
      <c r="X657" s="1"/>
    </row>
    <row r="658" ht="12.75" customHeight="1">
      <c r="A658" s="1"/>
      <c r="F658" s="8"/>
      <c r="G658" s="8"/>
      <c r="J658" s="1"/>
      <c r="N658" s="1"/>
      <c r="O658" s="1"/>
      <c r="Q658" s="1"/>
      <c r="R658" s="1"/>
      <c r="S658" s="1"/>
      <c r="T658" s="1"/>
      <c r="U658" s="1"/>
      <c r="V658" s="1"/>
      <c r="W658" s="1"/>
      <c r="X658" s="1"/>
    </row>
    <row r="659" ht="12.75" customHeight="1">
      <c r="A659" s="1"/>
      <c r="F659" s="8"/>
      <c r="G659" s="8"/>
      <c r="J659" s="1"/>
      <c r="N659" s="1"/>
      <c r="O659" s="1"/>
      <c r="Q659" s="1"/>
      <c r="R659" s="1"/>
      <c r="S659" s="1"/>
      <c r="T659" s="1"/>
      <c r="U659" s="1"/>
      <c r="V659" s="1"/>
      <c r="W659" s="1"/>
      <c r="X659" s="1"/>
    </row>
    <row r="660" ht="12.75" customHeight="1">
      <c r="A660" s="1"/>
      <c r="F660" s="8"/>
      <c r="G660" s="8"/>
      <c r="J660" s="1"/>
      <c r="N660" s="1"/>
      <c r="O660" s="1"/>
      <c r="Q660" s="1"/>
      <c r="R660" s="1"/>
      <c r="S660" s="1"/>
      <c r="T660" s="1"/>
      <c r="U660" s="1"/>
      <c r="V660" s="1"/>
      <c r="W660" s="1"/>
      <c r="X660" s="1"/>
    </row>
    <row r="661" ht="12.75" customHeight="1">
      <c r="A661" s="1"/>
      <c r="F661" s="8"/>
      <c r="G661" s="8"/>
      <c r="J661" s="1"/>
      <c r="N661" s="1"/>
      <c r="O661" s="1"/>
      <c r="Q661" s="1"/>
      <c r="R661" s="1"/>
      <c r="S661" s="1"/>
      <c r="T661" s="1"/>
      <c r="U661" s="1"/>
      <c r="V661" s="1"/>
      <c r="W661" s="1"/>
      <c r="X661" s="1"/>
    </row>
    <row r="662" ht="12.75" customHeight="1">
      <c r="A662" s="1"/>
      <c r="F662" s="8"/>
      <c r="G662" s="8"/>
      <c r="J662" s="1"/>
      <c r="N662" s="1"/>
      <c r="O662" s="1"/>
      <c r="Q662" s="1"/>
      <c r="R662" s="1"/>
      <c r="S662" s="1"/>
      <c r="T662" s="1"/>
      <c r="U662" s="1"/>
      <c r="V662" s="1"/>
      <c r="W662" s="1"/>
      <c r="X662" s="1"/>
    </row>
    <row r="663" ht="12.75" customHeight="1">
      <c r="A663" s="1"/>
      <c r="F663" s="8"/>
      <c r="G663" s="8"/>
      <c r="J663" s="1"/>
      <c r="N663" s="1"/>
      <c r="O663" s="1"/>
      <c r="Q663" s="1"/>
      <c r="R663" s="1"/>
      <c r="S663" s="1"/>
      <c r="T663" s="1"/>
      <c r="U663" s="1"/>
      <c r="V663" s="1"/>
      <c r="W663" s="1"/>
      <c r="X663" s="1"/>
    </row>
    <row r="664" ht="12.75" customHeight="1">
      <c r="A664" s="1"/>
      <c r="F664" s="8"/>
      <c r="G664" s="8"/>
      <c r="J664" s="1"/>
      <c r="N664" s="1"/>
      <c r="O664" s="1"/>
      <c r="Q664" s="1"/>
      <c r="R664" s="1"/>
      <c r="S664" s="1"/>
      <c r="T664" s="1"/>
      <c r="U664" s="1"/>
      <c r="V664" s="1"/>
      <c r="W664" s="1"/>
      <c r="X664" s="1"/>
    </row>
    <row r="665" ht="12.75" customHeight="1">
      <c r="A665" s="1"/>
      <c r="F665" s="8"/>
      <c r="G665" s="8"/>
      <c r="J665" s="1"/>
      <c r="N665" s="1"/>
      <c r="O665" s="1"/>
      <c r="Q665" s="1"/>
      <c r="R665" s="1"/>
      <c r="S665" s="1"/>
      <c r="T665" s="1"/>
      <c r="U665" s="1"/>
      <c r="V665" s="1"/>
      <c r="W665" s="1"/>
      <c r="X665" s="1"/>
    </row>
    <row r="666" ht="12.75" customHeight="1">
      <c r="A666" s="1"/>
      <c r="F666" s="8"/>
      <c r="G666" s="8"/>
      <c r="J666" s="1"/>
      <c r="N666" s="1"/>
      <c r="O666" s="1"/>
      <c r="Q666" s="1"/>
      <c r="R666" s="1"/>
      <c r="S666" s="1"/>
      <c r="T666" s="1"/>
      <c r="U666" s="1"/>
      <c r="V666" s="1"/>
      <c r="W666" s="1"/>
      <c r="X666" s="1"/>
    </row>
    <row r="667" ht="12.75" customHeight="1">
      <c r="A667" s="1"/>
      <c r="F667" s="8"/>
      <c r="G667" s="8"/>
      <c r="J667" s="1"/>
      <c r="N667" s="1"/>
      <c r="O667" s="1"/>
      <c r="Q667" s="1"/>
      <c r="R667" s="1"/>
      <c r="S667" s="1"/>
      <c r="T667" s="1"/>
      <c r="U667" s="1"/>
      <c r="V667" s="1"/>
      <c r="W667" s="1"/>
      <c r="X667" s="1"/>
    </row>
    <row r="668" ht="12.75" customHeight="1">
      <c r="A668" s="1"/>
      <c r="F668" s="8"/>
      <c r="G668" s="8"/>
      <c r="J668" s="1"/>
      <c r="N668" s="1"/>
      <c r="O668" s="1"/>
      <c r="Q668" s="1"/>
      <c r="R668" s="1"/>
      <c r="S668" s="1"/>
      <c r="T668" s="1"/>
      <c r="U668" s="1"/>
      <c r="V668" s="1"/>
      <c r="W668" s="1"/>
      <c r="X668" s="1"/>
    </row>
    <row r="669" ht="12.75" customHeight="1">
      <c r="A669" s="1"/>
      <c r="F669" s="8"/>
      <c r="G669" s="8"/>
      <c r="J669" s="1"/>
      <c r="N669" s="1"/>
      <c r="O669" s="1"/>
      <c r="Q669" s="1"/>
      <c r="R669" s="1"/>
      <c r="S669" s="1"/>
      <c r="T669" s="1"/>
      <c r="U669" s="1"/>
      <c r="V669" s="1"/>
      <c r="W669" s="1"/>
      <c r="X669" s="1"/>
    </row>
    <row r="670" ht="12.75" customHeight="1">
      <c r="A670" s="1"/>
      <c r="F670" s="8"/>
      <c r="G670" s="8"/>
      <c r="J670" s="1"/>
      <c r="N670" s="1"/>
      <c r="O670" s="1"/>
      <c r="Q670" s="1"/>
      <c r="R670" s="1"/>
      <c r="S670" s="1"/>
      <c r="T670" s="1"/>
      <c r="U670" s="1"/>
      <c r="V670" s="1"/>
      <c r="W670" s="1"/>
      <c r="X670" s="1"/>
    </row>
    <row r="671" ht="12.75" customHeight="1">
      <c r="A671" s="1"/>
      <c r="F671" s="8"/>
      <c r="G671" s="8"/>
      <c r="J671" s="1"/>
      <c r="N671" s="1"/>
      <c r="O671" s="1"/>
      <c r="Q671" s="1"/>
      <c r="R671" s="1"/>
      <c r="S671" s="1"/>
      <c r="T671" s="1"/>
      <c r="U671" s="1"/>
      <c r="V671" s="1"/>
      <c r="W671" s="1"/>
      <c r="X671" s="1"/>
    </row>
    <row r="672" ht="12.75" customHeight="1">
      <c r="A672" s="1"/>
      <c r="F672" s="8"/>
      <c r="G672" s="8"/>
      <c r="J672" s="1"/>
      <c r="N672" s="1"/>
      <c r="O672" s="1"/>
      <c r="Q672" s="1"/>
      <c r="R672" s="1"/>
      <c r="S672" s="1"/>
      <c r="T672" s="1"/>
      <c r="U672" s="1"/>
      <c r="V672" s="1"/>
      <c r="W672" s="1"/>
      <c r="X672" s="1"/>
    </row>
    <row r="673" ht="12.75" customHeight="1">
      <c r="A673" s="1"/>
      <c r="F673" s="8"/>
      <c r="G673" s="8"/>
      <c r="J673" s="1"/>
      <c r="N673" s="1"/>
      <c r="O673" s="1"/>
      <c r="Q673" s="1"/>
      <c r="R673" s="1"/>
      <c r="S673" s="1"/>
      <c r="T673" s="1"/>
      <c r="U673" s="1"/>
      <c r="V673" s="1"/>
      <c r="W673" s="1"/>
      <c r="X673" s="1"/>
    </row>
    <row r="674" ht="12.75" customHeight="1">
      <c r="A674" s="1"/>
      <c r="F674" s="8"/>
      <c r="G674" s="8"/>
      <c r="J674" s="1"/>
      <c r="N674" s="1"/>
      <c r="O674" s="1"/>
      <c r="Q674" s="1"/>
      <c r="R674" s="1"/>
      <c r="S674" s="1"/>
      <c r="T674" s="1"/>
      <c r="U674" s="1"/>
      <c r="V674" s="1"/>
      <c r="W674" s="1"/>
      <c r="X674" s="1"/>
    </row>
    <row r="675" ht="12.75" customHeight="1">
      <c r="A675" s="1"/>
      <c r="F675" s="8"/>
      <c r="G675" s="8"/>
      <c r="J675" s="1"/>
      <c r="N675" s="1"/>
      <c r="O675" s="1"/>
      <c r="Q675" s="1"/>
      <c r="R675" s="1"/>
      <c r="S675" s="1"/>
      <c r="T675" s="1"/>
      <c r="U675" s="1"/>
      <c r="V675" s="1"/>
      <c r="W675" s="1"/>
      <c r="X675" s="1"/>
    </row>
    <row r="676" ht="12.75" customHeight="1">
      <c r="A676" s="1"/>
      <c r="F676" s="8"/>
      <c r="G676" s="8"/>
      <c r="J676" s="1"/>
      <c r="N676" s="1"/>
      <c r="O676" s="1"/>
      <c r="Q676" s="1"/>
      <c r="R676" s="1"/>
      <c r="S676" s="1"/>
      <c r="T676" s="1"/>
      <c r="U676" s="1"/>
      <c r="V676" s="1"/>
      <c r="W676" s="1"/>
      <c r="X676" s="1"/>
    </row>
    <row r="677" ht="12.75" customHeight="1">
      <c r="A677" s="1"/>
      <c r="F677" s="8"/>
      <c r="G677" s="8"/>
      <c r="J677" s="1"/>
      <c r="N677" s="1"/>
      <c r="O677" s="1"/>
      <c r="Q677" s="1"/>
      <c r="R677" s="1"/>
      <c r="S677" s="1"/>
      <c r="T677" s="1"/>
      <c r="U677" s="1"/>
      <c r="V677" s="1"/>
      <c r="W677" s="1"/>
      <c r="X677" s="1"/>
    </row>
    <row r="678" ht="12.75" customHeight="1">
      <c r="A678" s="1"/>
      <c r="F678" s="8"/>
      <c r="G678" s="8"/>
      <c r="J678" s="1"/>
      <c r="N678" s="1"/>
      <c r="O678" s="1"/>
      <c r="Q678" s="1"/>
      <c r="R678" s="1"/>
      <c r="S678" s="1"/>
      <c r="T678" s="1"/>
      <c r="U678" s="1"/>
      <c r="V678" s="1"/>
      <c r="W678" s="1"/>
      <c r="X678" s="1"/>
    </row>
    <row r="679" ht="12.75" customHeight="1">
      <c r="A679" s="1"/>
      <c r="F679" s="8"/>
      <c r="G679" s="8"/>
      <c r="J679" s="1"/>
      <c r="N679" s="1"/>
      <c r="O679" s="1"/>
      <c r="Q679" s="1"/>
      <c r="R679" s="1"/>
      <c r="S679" s="1"/>
      <c r="T679" s="1"/>
      <c r="U679" s="1"/>
      <c r="V679" s="1"/>
      <c r="W679" s="1"/>
      <c r="X679" s="1"/>
    </row>
    <row r="680" ht="12.75" customHeight="1">
      <c r="A680" s="1"/>
      <c r="F680" s="8"/>
      <c r="G680" s="8"/>
      <c r="J680" s="1"/>
      <c r="N680" s="1"/>
      <c r="O680" s="1"/>
      <c r="Q680" s="1"/>
      <c r="R680" s="1"/>
      <c r="S680" s="1"/>
      <c r="T680" s="1"/>
      <c r="U680" s="1"/>
      <c r="V680" s="1"/>
      <c r="W680" s="1"/>
      <c r="X680" s="1"/>
    </row>
    <row r="681" ht="12.75" customHeight="1">
      <c r="A681" s="1"/>
      <c r="F681" s="8"/>
      <c r="G681" s="8"/>
      <c r="J681" s="1"/>
      <c r="N681" s="1"/>
      <c r="O681" s="1"/>
      <c r="Q681" s="1"/>
      <c r="R681" s="1"/>
      <c r="S681" s="1"/>
      <c r="T681" s="1"/>
      <c r="U681" s="1"/>
      <c r="V681" s="1"/>
      <c r="W681" s="1"/>
      <c r="X681" s="1"/>
    </row>
    <row r="682" ht="12.75" customHeight="1">
      <c r="A682" s="1"/>
      <c r="F682" s="8"/>
      <c r="G682" s="8"/>
      <c r="J682" s="1"/>
      <c r="N682" s="1"/>
      <c r="O682" s="1"/>
      <c r="Q682" s="1"/>
      <c r="R682" s="1"/>
      <c r="S682" s="1"/>
      <c r="T682" s="1"/>
      <c r="U682" s="1"/>
      <c r="V682" s="1"/>
      <c r="W682" s="1"/>
      <c r="X682" s="1"/>
    </row>
    <row r="683" ht="12.75" customHeight="1">
      <c r="A683" s="1"/>
      <c r="F683" s="8"/>
      <c r="G683" s="8"/>
      <c r="J683" s="1"/>
      <c r="N683" s="1"/>
      <c r="O683" s="1"/>
      <c r="Q683" s="1"/>
      <c r="R683" s="1"/>
      <c r="S683" s="1"/>
      <c r="T683" s="1"/>
      <c r="U683" s="1"/>
      <c r="V683" s="1"/>
      <c r="W683" s="1"/>
      <c r="X683" s="1"/>
    </row>
    <row r="684" ht="12.75" customHeight="1">
      <c r="A684" s="1"/>
      <c r="F684" s="8"/>
      <c r="G684" s="8"/>
      <c r="J684" s="1"/>
      <c r="N684" s="1"/>
      <c r="O684" s="1"/>
      <c r="Q684" s="1"/>
      <c r="R684" s="1"/>
      <c r="S684" s="1"/>
      <c r="T684" s="1"/>
      <c r="U684" s="1"/>
      <c r="V684" s="1"/>
      <c r="W684" s="1"/>
      <c r="X684" s="1"/>
    </row>
    <row r="685" ht="12.75" customHeight="1">
      <c r="A685" s="1"/>
      <c r="F685" s="8"/>
      <c r="G685" s="8"/>
      <c r="J685" s="1"/>
      <c r="N685" s="1"/>
      <c r="O685" s="1"/>
      <c r="Q685" s="1"/>
      <c r="R685" s="1"/>
      <c r="S685" s="1"/>
      <c r="T685" s="1"/>
      <c r="U685" s="1"/>
      <c r="V685" s="1"/>
      <c r="W685" s="1"/>
      <c r="X685" s="1"/>
    </row>
    <row r="686" ht="12.75" customHeight="1">
      <c r="A686" s="1"/>
      <c r="F686" s="8"/>
      <c r="G686" s="8"/>
      <c r="J686" s="1"/>
      <c r="N686" s="1"/>
      <c r="O686" s="1"/>
      <c r="Q686" s="1"/>
      <c r="R686" s="1"/>
      <c r="S686" s="1"/>
      <c r="T686" s="1"/>
      <c r="U686" s="1"/>
      <c r="V686" s="1"/>
      <c r="W686" s="1"/>
      <c r="X686" s="1"/>
    </row>
    <row r="687" ht="12.75" customHeight="1">
      <c r="A687" s="1"/>
      <c r="F687" s="8"/>
      <c r="G687" s="8"/>
      <c r="J687" s="1"/>
      <c r="N687" s="1"/>
      <c r="O687" s="1"/>
      <c r="Q687" s="1"/>
      <c r="R687" s="1"/>
      <c r="S687" s="1"/>
      <c r="T687" s="1"/>
      <c r="U687" s="1"/>
      <c r="V687" s="1"/>
      <c r="W687" s="1"/>
      <c r="X687" s="1"/>
    </row>
    <row r="688" ht="12.75" customHeight="1">
      <c r="A688" s="1"/>
      <c r="F688" s="8"/>
      <c r="G688" s="8"/>
      <c r="J688" s="1"/>
      <c r="N688" s="1"/>
      <c r="O688" s="1"/>
      <c r="Q688" s="1"/>
      <c r="R688" s="1"/>
      <c r="S688" s="1"/>
      <c r="T688" s="1"/>
      <c r="U688" s="1"/>
      <c r="V688" s="1"/>
      <c r="W688" s="1"/>
      <c r="X688" s="1"/>
    </row>
    <row r="689" ht="12.75" customHeight="1">
      <c r="A689" s="1"/>
      <c r="F689" s="8"/>
      <c r="G689" s="8"/>
      <c r="J689" s="1"/>
      <c r="N689" s="1"/>
      <c r="O689" s="1"/>
      <c r="Q689" s="1"/>
      <c r="R689" s="1"/>
      <c r="S689" s="1"/>
      <c r="T689" s="1"/>
      <c r="U689" s="1"/>
      <c r="V689" s="1"/>
      <c r="W689" s="1"/>
      <c r="X689" s="1"/>
    </row>
    <row r="690" ht="12.75" customHeight="1">
      <c r="A690" s="1"/>
      <c r="F690" s="8"/>
      <c r="G690" s="8"/>
      <c r="J690" s="1"/>
      <c r="N690" s="1"/>
      <c r="O690" s="1"/>
      <c r="Q690" s="1"/>
      <c r="R690" s="1"/>
      <c r="S690" s="1"/>
      <c r="T690" s="1"/>
      <c r="U690" s="1"/>
      <c r="V690" s="1"/>
      <c r="W690" s="1"/>
      <c r="X690" s="1"/>
    </row>
    <row r="691" ht="12.75" customHeight="1">
      <c r="A691" s="1"/>
      <c r="F691" s="8"/>
      <c r="G691" s="8"/>
      <c r="J691" s="1"/>
      <c r="N691" s="1"/>
      <c r="O691" s="1"/>
      <c r="Q691" s="1"/>
      <c r="R691" s="1"/>
      <c r="S691" s="1"/>
      <c r="T691" s="1"/>
      <c r="U691" s="1"/>
      <c r="V691" s="1"/>
      <c r="W691" s="1"/>
      <c r="X691" s="1"/>
    </row>
    <row r="692" ht="12.75" customHeight="1">
      <c r="A692" s="1"/>
      <c r="F692" s="8"/>
      <c r="G692" s="8"/>
      <c r="J692" s="1"/>
      <c r="N692" s="1"/>
      <c r="O692" s="1"/>
      <c r="Q692" s="1"/>
      <c r="R692" s="1"/>
      <c r="S692" s="1"/>
      <c r="T692" s="1"/>
      <c r="U692" s="1"/>
      <c r="V692" s="1"/>
      <c r="W692" s="1"/>
      <c r="X692" s="1"/>
    </row>
    <row r="693" ht="12.75" customHeight="1">
      <c r="A693" s="1"/>
      <c r="F693" s="8"/>
      <c r="G693" s="8"/>
      <c r="J693" s="1"/>
      <c r="N693" s="1"/>
      <c r="O693" s="1"/>
      <c r="Q693" s="1"/>
      <c r="R693" s="1"/>
      <c r="S693" s="1"/>
      <c r="T693" s="1"/>
      <c r="U693" s="1"/>
      <c r="V693" s="1"/>
      <c r="W693" s="1"/>
      <c r="X693" s="1"/>
    </row>
    <row r="694" ht="12.75" customHeight="1">
      <c r="A694" s="1"/>
      <c r="F694" s="8"/>
      <c r="G694" s="8"/>
      <c r="J694" s="1"/>
      <c r="N694" s="1"/>
      <c r="O694" s="1"/>
      <c r="Q694" s="1"/>
      <c r="R694" s="1"/>
      <c r="S694" s="1"/>
      <c r="T694" s="1"/>
      <c r="U694" s="1"/>
      <c r="V694" s="1"/>
      <c r="W694" s="1"/>
      <c r="X694" s="1"/>
    </row>
    <row r="695" ht="12.75" customHeight="1">
      <c r="A695" s="1"/>
      <c r="F695" s="8"/>
      <c r="G695" s="8"/>
      <c r="J695" s="1"/>
      <c r="N695" s="1"/>
      <c r="O695" s="1"/>
      <c r="Q695" s="1"/>
      <c r="R695" s="1"/>
      <c r="S695" s="1"/>
      <c r="T695" s="1"/>
      <c r="U695" s="1"/>
      <c r="V695" s="1"/>
      <c r="W695" s="1"/>
      <c r="X695" s="1"/>
    </row>
    <row r="696" ht="12.75" customHeight="1">
      <c r="A696" s="1"/>
      <c r="F696" s="8"/>
      <c r="G696" s="8"/>
      <c r="J696" s="1"/>
      <c r="N696" s="1"/>
      <c r="O696" s="1"/>
      <c r="Q696" s="1"/>
      <c r="R696" s="1"/>
      <c r="S696" s="1"/>
      <c r="T696" s="1"/>
      <c r="U696" s="1"/>
      <c r="V696" s="1"/>
      <c r="W696" s="1"/>
      <c r="X696" s="1"/>
    </row>
    <row r="697" ht="12.75" customHeight="1">
      <c r="A697" s="1"/>
      <c r="F697" s="8"/>
      <c r="G697" s="8"/>
      <c r="J697" s="1"/>
      <c r="N697" s="1"/>
      <c r="O697" s="1"/>
      <c r="Q697" s="1"/>
      <c r="R697" s="1"/>
      <c r="S697" s="1"/>
      <c r="T697" s="1"/>
      <c r="U697" s="1"/>
      <c r="V697" s="1"/>
      <c r="W697" s="1"/>
      <c r="X697" s="1"/>
    </row>
    <row r="698" ht="12.75" customHeight="1">
      <c r="A698" s="1"/>
      <c r="F698" s="8"/>
      <c r="G698" s="8"/>
      <c r="J698" s="1"/>
      <c r="N698" s="1"/>
      <c r="O698" s="1"/>
      <c r="Q698" s="1"/>
      <c r="R698" s="1"/>
      <c r="S698" s="1"/>
      <c r="T698" s="1"/>
      <c r="U698" s="1"/>
      <c r="V698" s="1"/>
      <c r="W698" s="1"/>
      <c r="X698" s="1"/>
    </row>
    <row r="699" ht="12.75" customHeight="1">
      <c r="A699" s="1"/>
      <c r="F699" s="8"/>
      <c r="G699" s="8"/>
      <c r="J699" s="1"/>
      <c r="N699" s="1"/>
      <c r="O699" s="1"/>
      <c r="Q699" s="1"/>
      <c r="R699" s="1"/>
      <c r="S699" s="1"/>
      <c r="T699" s="1"/>
      <c r="U699" s="1"/>
      <c r="V699" s="1"/>
      <c r="W699" s="1"/>
      <c r="X699" s="1"/>
    </row>
    <row r="700" ht="12.75" customHeight="1">
      <c r="A700" s="1"/>
      <c r="F700" s="8"/>
      <c r="G700" s="8"/>
      <c r="J700" s="1"/>
      <c r="N700" s="1"/>
      <c r="O700" s="1"/>
      <c r="Q700" s="1"/>
      <c r="R700" s="1"/>
      <c r="S700" s="1"/>
      <c r="T700" s="1"/>
      <c r="U700" s="1"/>
      <c r="V700" s="1"/>
      <c r="W700" s="1"/>
      <c r="X700" s="1"/>
    </row>
    <row r="701" ht="12.75" customHeight="1">
      <c r="A701" s="1"/>
      <c r="F701" s="8"/>
      <c r="G701" s="8"/>
      <c r="J701" s="1"/>
      <c r="N701" s="1"/>
      <c r="O701" s="1"/>
      <c r="Q701" s="1"/>
      <c r="R701" s="1"/>
      <c r="S701" s="1"/>
      <c r="T701" s="1"/>
      <c r="U701" s="1"/>
      <c r="V701" s="1"/>
      <c r="W701" s="1"/>
      <c r="X701" s="1"/>
    </row>
    <row r="702" ht="12.75" customHeight="1">
      <c r="A702" s="1"/>
      <c r="F702" s="8"/>
      <c r="G702" s="8"/>
      <c r="J702" s="1"/>
      <c r="N702" s="1"/>
      <c r="O702" s="1"/>
      <c r="Q702" s="1"/>
      <c r="R702" s="1"/>
      <c r="S702" s="1"/>
      <c r="T702" s="1"/>
      <c r="U702" s="1"/>
      <c r="V702" s="1"/>
      <c r="W702" s="1"/>
      <c r="X702" s="1"/>
    </row>
    <row r="703" ht="12.75" customHeight="1">
      <c r="A703" s="1"/>
      <c r="F703" s="8"/>
      <c r="G703" s="8"/>
      <c r="J703" s="1"/>
      <c r="N703" s="1"/>
      <c r="O703" s="1"/>
      <c r="Q703" s="1"/>
      <c r="R703" s="1"/>
      <c r="S703" s="1"/>
      <c r="T703" s="1"/>
      <c r="U703" s="1"/>
      <c r="V703" s="1"/>
      <c r="W703" s="1"/>
      <c r="X703" s="1"/>
    </row>
    <row r="704" ht="12.75" customHeight="1">
      <c r="A704" s="1"/>
      <c r="F704" s="8"/>
      <c r="G704" s="8"/>
      <c r="J704" s="1"/>
      <c r="N704" s="1"/>
      <c r="O704" s="1"/>
      <c r="Q704" s="1"/>
      <c r="R704" s="1"/>
      <c r="S704" s="1"/>
      <c r="T704" s="1"/>
      <c r="U704" s="1"/>
      <c r="V704" s="1"/>
      <c r="W704" s="1"/>
      <c r="X704" s="1"/>
    </row>
    <row r="705" ht="12.75" customHeight="1">
      <c r="A705" s="1"/>
      <c r="F705" s="8"/>
      <c r="G705" s="8"/>
      <c r="J705" s="1"/>
      <c r="N705" s="1"/>
      <c r="O705" s="1"/>
      <c r="Q705" s="1"/>
      <c r="R705" s="1"/>
      <c r="S705" s="1"/>
      <c r="T705" s="1"/>
      <c r="U705" s="1"/>
      <c r="V705" s="1"/>
      <c r="W705" s="1"/>
      <c r="X705" s="1"/>
    </row>
    <row r="706" ht="12.75" customHeight="1">
      <c r="A706" s="1"/>
      <c r="F706" s="8"/>
      <c r="G706" s="8"/>
      <c r="J706" s="1"/>
      <c r="N706" s="1"/>
      <c r="O706" s="1"/>
      <c r="Q706" s="1"/>
      <c r="R706" s="1"/>
      <c r="S706" s="1"/>
      <c r="T706" s="1"/>
      <c r="U706" s="1"/>
      <c r="V706" s="1"/>
      <c r="W706" s="1"/>
      <c r="X706" s="1"/>
    </row>
    <row r="707" ht="12.75" customHeight="1">
      <c r="A707" s="1"/>
      <c r="F707" s="8"/>
      <c r="G707" s="8"/>
      <c r="J707" s="1"/>
      <c r="N707" s="1"/>
      <c r="O707" s="1"/>
      <c r="Q707" s="1"/>
      <c r="R707" s="1"/>
      <c r="S707" s="1"/>
      <c r="T707" s="1"/>
      <c r="U707" s="1"/>
      <c r="V707" s="1"/>
      <c r="W707" s="1"/>
      <c r="X707" s="1"/>
    </row>
    <row r="708" ht="12.75" customHeight="1">
      <c r="A708" s="1"/>
      <c r="F708" s="8"/>
      <c r="G708" s="8"/>
      <c r="J708" s="1"/>
      <c r="N708" s="1"/>
      <c r="O708" s="1"/>
      <c r="Q708" s="1"/>
      <c r="R708" s="1"/>
      <c r="S708" s="1"/>
      <c r="T708" s="1"/>
      <c r="U708" s="1"/>
      <c r="V708" s="1"/>
      <c r="W708" s="1"/>
      <c r="X708" s="1"/>
    </row>
    <row r="709" ht="12.75" customHeight="1">
      <c r="A709" s="1"/>
      <c r="F709" s="8"/>
      <c r="G709" s="8"/>
      <c r="J709" s="1"/>
      <c r="N709" s="1"/>
      <c r="O709" s="1"/>
      <c r="Q709" s="1"/>
      <c r="R709" s="1"/>
      <c r="S709" s="1"/>
      <c r="T709" s="1"/>
      <c r="U709" s="1"/>
      <c r="V709" s="1"/>
      <c r="W709" s="1"/>
      <c r="X709" s="1"/>
    </row>
    <row r="710" ht="12.75" customHeight="1">
      <c r="A710" s="1"/>
      <c r="F710" s="8"/>
      <c r="G710" s="8"/>
      <c r="J710" s="1"/>
      <c r="N710" s="1"/>
      <c r="O710" s="1"/>
      <c r="Q710" s="1"/>
      <c r="R710" s="1"/>
      <c r="S710" s="1"/>
      <c r="T710" s="1"/>
      <c r="U710" s="1"/>
      <c r="V710" s="1"/>
      <c r="W710" s="1"/>
      <c r="X710" s="1"/>
    </row>
    <row r="711" ht="12.75" customHeight="1">
      <c r="A711" s="1"/>
      <c r="F711" s="8"/>
      <c r="G711" s="8"/>
      <c r="J711" s="1"/>
      <c r="N711" s="1"/>
      <c r="O711" s="1"/>
      <c r="Q711" s="1"/>
      <c r="R711" s="1"/>
      <c r="S711" s="1"/>
      <c r="T711" s="1"/>
      <c r="U711" s="1"/>
      <c r="V711" s="1"/>
      <c r="W711" s="1"/>
      <c r="X711" s="1"/>
    </row>
    <row r="712" ht="12.75" customHeight="1">
      <c r="A712" s="1"/>
      <c r="F712" s="8"/>
      <c r="G712" s="8"/>
      <c r="J712" s="1"/>
      <c r="N712" s="1"/>
      <c r="O712" s="1"/>
      <c r="Q712" s="1"/>
      <c r="R712" s="1"/>
      <c r="S712" s="1"/>
      <c r="T712" s="1"/>
      <c r="U712" s="1"/>
      <c r="V712" s="1"/>
      <c r="W712" s="1"/>
      <c r="X712" s="1"/>
    </row>
    <row r="713" ht="12.75" customHeight="1">
      <c r="A713" s="1"/>
      <c r="F713" s="8"/>
      <c r="G713" s="8"/>
      <c r="J713" s="1"/>
      <c r="N713" s="1"/>
      <c r="O713" s="1"/>
      <c r="Q713" s="1"/>
      <c r="R713" s="1"/>
      <c r="S713" s="1"/>
      <c r="T713" s="1"/>
      <c r="U713" s="1"/>
      <c r="V713" s="1"/>
      <c r="W713" s="1"/>
      <c r="X713" s="1"/>
    </row>
    <row r="714" ht="12.75" customHeight="1">
      <c r="A714" s="1"/>
      <c r="F714" s="8"/>
      <c r="G714" s="8"/>
      <c r="J714" s="1"/>
      <c r="N714" s="1"/>
      <c r="O714" s="1"/>
      <c r="Q714" s="1"/>
      <c r="R714" s="1"/>
      <c r="S714" s="1"/>
      <c r="T714" s="1"/>
      <c r="U714" s="1"/>
      <c r="V714" s="1"/>
      <c r="W714" s="1"/>
      <c r="X714" s="1"/>
    </row>
    <row r="715" ht="12.75" customHeight="1">
      <c r="A715" s="1"/>
      <c r="F715" s="8"/>
      <c r="G715" s="8"/>
      <c r="J715" s="1"/>
      <c r="N715" s="1"/>
      <c r="O715" s="1"/>
      <c r="Q715" s="1"/>
      <c r="R715" s="1"/>
      <c r="S715" s="1"/>
      <c r="T715" s="1"/>
      <c r="U715" s="1"/>
      <c r="V715" s="1"/>
      <c r="W715" s="1"/>
      <c r="X715" s="1"/>
    </row>
    <row r="716" ht="12.75" customHeight="1">
      <c r="A716" s="1"/>
      <c r="F716" s="8"/>
      <c r="G716" s="8"/>
      <c r="J716" s="1"/>
      <c r="N716" s="1"/>
      <c r="O716" s="1"/>
      <c r="Q716" s="1"/>
      <c r="R716" s="1"/>
      <c r="S716" s="1"/>
      <c r="T716" s="1"/>
      <c r="U716" s="1"/>
      <c r="V716" s="1"/>
      <c r="W716" s="1"/>
      <c r="X716" s="1"/>
    </row>
    <row r="717" ht="12.75" customHeight="1">
      <c r="A717" s="1"/>
      <c r="F717" s="8"/>
      <c r="G717" s="8"/>
      <c r="J717" s="1"/>
      <c r="N717" s="1"/>
      <c r="O717" s="1"/>
      <c r="Q717" s="1"/>
      <c r="R717" s="1"/>
      <c r="S717" s="1"/>
      <c r="T717" s="1"/>
      <c r="U717" s="1"/>
      <c r="V717" s="1"/>
      <c r="W717" s="1"/>
      <c r="X717" s="1"/>
    </row>
    <row r="718" ht="12.75" customHeight="1">
      <c r="A718" s="1"/>
      <c r="F718" s="8"/>
      <c r="G718" s="8"/>
      <c r="J718" s="1"/>
      <c r="N718" s="1"/>
      <c r="O718" s="1"/>
      <c r="Q718" s="1"/>
      <c r="R718" s="1"/>
      <c r="S718" s="1"/>
      <c r="T718" s="1"/>
      <c r="U718" s="1"/>
      <c r="V718" s="1"/>
      <c r="W718" s="1"/>
      <c r="X718" s="1"/>
    </row>
    <row r="719" ht="12.75" customHeight="1">
      <c r="A719" s="1"/>
      <c r="F719" s="8"/>
      <c r="G719" s="8"/>
      <c r="J719" s="1"/>
      <c r="N719" s="1"/>
      <c r="O719" s="1"/>
      <c r="Q719" s="1"/>
      <c r="R719" s="1"/>
      <c r="S719" s="1"/>
      <c r="T719" s="1"/>
      <c r="U719" s="1"/>
      <c r="V719" s="1"/>
      <c r="W719" s="1"/>
      <c r="X719" s="1"/>
    </row>
    <row r="720" ht="12.75" customHeight="1">
      <c r="A720" s="1"/>
      <c r="F720" s="8"/>
      <c r="G720" s="8"/>
      <c r="J720" s="1"/>
      <c r="N720" s="1"/>
      <c r="O720" s="1"/>
      <c r="Q720" s="1"/>
      <c r="R720" s="1"/>
      <c r="S720" s="1"/>
      <c r="T720" s="1"/>
      <c r="U720" s="1"/>
      <c r="V720" s="1"/>
      <c r="W720" s="1"/>
      <c r="X720" s="1"/>
    </row>
    <row r="721" ht="12.75" customHeight="1">
      <c r="A721" s="1"/>
      <c r="F721" s="8"/>
      <c r="G721" s="8"/>
      <c r="J721" s="1"/>
      <c r="N721" s="1"/>
      <c r="O721" s="1"/>
      <c r="Q721" s="1"/>
      <c r="R721" s="1"/>
      <c r="S721" s="1"/>
      <c r="T721" s="1"/>
      <c r="U721" s="1"/>
      <c r="V721" s="1"/>
      <c r="W721" s="1"/>
      <c r="X721" s="1"/>
    </row>
    <row r="722" ht="12.75" customHeight="1">
      <c r="A722" s="1"/>
      <c r="F722" s="8"/>
      <c r="G722" s="8"/>
      <c r="J722" s="1"/>
      <c r="N722" s="1"/>
      <c r="O722" s="1"/>
      <c r="Q722" s="1"/>
      <c r="R722" s="1"/>
      <c r="S722" s="1"/>
      <c r="T722" s="1"/>
      <c r="U722" s="1"/>
      <c r="V722" s="1"/>
      <c r="W722" s="1"/>
      <c r="X722" s="1"/>
    </row>
    <row r="723" ht="12.75" customHeight="1">
      <c r="A723" s="1"/>
      <c r="F723" s="8"/>
      <c r="G723" s="8"/>
      <c r="J723" s="1"/>
      <c r="N723" s="1"/>
      <c r="O723" s="1"/>
      <c r="Q723" s="1"/>
      <c r="R723" s="1"/>
      <c r="S723" s="1"/>
      <c r="T723" s="1"/>
      <c r="U723" s="1"/>
      <c r="V723" s="1"/>
      <c r="W723" s="1"/>
      <c r="X723" s="1"/>
    </row>
    <row r="724" ht="12.75" customHeight="1">
      <c r="A724" s="1"/>
      <c r="F724" s="8"/>
      <c r="G724" s="8"/>
      <c r="J724" s="1"/>
      <c r="N724" s="1"/>
      <c r="O724" s="1"/>
      <c r="Q724" s="1"/>
      <c r="R724" s="1"/>
      <c r="S724" s="1"/>
      <c r="T724" s="1"/>
      <c r="U724" s="1"/>
      <c r="V724" s="1"/>
      <c r="W724" s="1"/>
      <c r="X724" s="1"/>
    </row>
    <row r="725" ht="12.75" customHeight="1">
      <c r="A725" s="1"/>
      <c r="F725" s="8"/>
      <c r="G725" s="8"/>
      <c r="J725" s="1"/>
      <c r="N725" s="1"/>
      <c r="O725" s="1"/>
      <c r="Q725" s="1"/>
      <c r="R725" s="1"/>
      <c r="S725" s="1"/>
      <c r="T725" s="1"/>
      <c r="U725" s="1"/>
      <c r="V725" s="1"/>
      <c r="W725" s="1"/>
      <c r="X725" s="1"/>
    </row>
    <row r="726" ht="12.75" customHeight="1">
      <c r="A726" s="1"/>
      <c r="F726" s="8"/>
      <c r="G726" s="8"/>
      <c r="J726" s="1"/>
      <c r="N726" s="1"/>
      <c r="O726" s="1"/>
      <c r="Q726" s="1"/>
      <c r="R726" s="1"/>
      <c r="S726" s="1"/>
      <c r="T726" s="1"/>
      <c r="U726" s="1"/>
      <c r="V726" s="1"/>
      <c r="W726" s="1"/>
      <c r="X726" s="1"/>
    </row>
    <row r="727" ht="12.75" customHeight="1">
      <c r="A727" s="1"/>
      <c r="F727" s="8"/>
      <c r="G727" s="8"/>
      <c r="J727" s="1"/>
      <c r="N727" s="1"/>
      <c r="O727" s="1"/>
      <c r="Q727" s="1"/>
      <c r="R727" s="1"/>
      <c r="S727" s="1"/>
      <c r="T727" s="1"/>
      <c r="U727" s="1"/>
      <c r="V727" s="1"/>
      <c r="W727" s="1"/>
      <c r="X727" s="1"/>
    </row>
    <row r="728" ht="12.75" customHeight="1">
      <c r="A728" s="1"/>
      <c r="F728" s="8"/>
      <c r="G728" s="8"/>
      <c r="J728" s="1"/>
      <c r="N728" s="1"/>
      <c r="O728" s="1"/>
      <c r="Q728" s="1"/>
      <c r="R728" s="1"/>
      <c r="S728" s="1"/>
      <c r="T728" s="1"/>
      <c r="U728" s="1"/>
      <c r="V728" s="1"/>
      <c r="W728" s="1"/>
      <c r="X728" s="1"/>
    </row>
    <row r="729" ht="12.75" customHeight="1">
      <c r="A729" s="1"/>
      <c r="F729" s="8"/>
      <c r="G729" s="8"/>
      <c r="J729" s="1"/>
      <c r="N729" s="1"/>
      <c r="O729" s="1"/>
      <c r="Q729" s="1"/>
      <c r="R729" s="1"/>
      <c r="S729" s="1"/>
      <c r="T729" s="1"/>
      <c r="U729" s="1"/>
      <c r="V729" s="1"/>
      <c r="W729" s="1"/>
      <c r="X729" s="1"/>
    </row>
    <row r="730" ht="12.75" customHeight="1">
      <c r="A730" s="1"/>
      <c r="F730" s="8"/>
      <c r="G730" s="8"/>
      <c r="J730" s="1"/>
      <c r="N730" s="1"/>
      <c r="O730" s="1"/>
      <c r="Q730" s="1"/>
      <c r="R730" s="1"/>
      <c r="S730" s="1"/>
      <c r="T730" s="1"/>
      <c r="U730" s="1"/>
      <c r="V730" s="1"/>
      <c r="W730" s="1"/>
      <c r="X730" s="1"/>
    </row>
    <row r="731" ht="12.75" customHeight="1">
      <c r="A731" s="1"/>
      <c r="F731" s="8"/>
      <c r="G731" s="8"/>
      <c r="J731" s="1"/>
      <c r="N731" s="1"/>
      <c r="O731" s="1"/>
      <c r="Q731" s="1"/>
      <c r="R731" s="1"/>
      <c r="S731" s="1"/>
      <c r="T731" s="1"/>
      <c r="U731" s="1"/>
      <c r="V731" s="1"/>
      <c r="W731" s="1"/>
      <c r="X731" s="1"/>
    </row>
    <row r="732" ht="12.75" customHeight="1">
      <c r="A732" s="1"/>
      <c r="F732" s="8"/>
      <c r="G732" s="8"/>
      <c r="J732" s="1"/>
      <c r="N732" s="1"/>
      <c r="O732" s="1"/>
      <c r="Q732" s="1"/>
      <c r="R732" s="1"/>
      <c r="S732" s="1"/>
      <c r="T732" s="1"/>
      <c r="U732" s="1"/>
      <c r="V732" s="1"/>
      <c r="W732" s="1"/>
      <c r="X732" s="1"/>
    </row>
    <row r="733" ht="12.75" customHeight="1">
      <c r="A733" s="1"/>
      <c r="F733" s="8"/>
      <c r="G733" s="8"/>
      <c r="J733" s="1"/>
      <c r="N733" s="1"/>
      <c r="O733" s="1"/>
      <c r="Q733" s="1"/>
      <c r="R733" s="1"/>
      <c r="S733" s="1"/>
      <c r="T733" s="1"/>
      <c r="U733" s="1"/>
      <c r="V733" s="1"/>
      <c r="W733" s="1"/>
      <c r="X733" s="1"/>
    </row>
    <row r="734" ht="12.75" customHeight="1">
      <c r="A734" s="1"/>
      <c r="F734" s="8"/>
      <c r="G734" s="8"/>
      <c r="J734" s="1"/>
      <c r="N734" s="1"/>
      <c r="O734" s="1"/>
      <c r="Q734" s="1"/>
      <c r="R734" s="1"/>
      <c r="S734" s="1"/>
      <c r="T734" s="1"/>
      <c r="U734" s="1"/>
      <c r="V734" s="1"/>
      <c r="W734" s="1"/>
      <c r="X734" s="1"/>
    </row>
    <row r="735" ht="12.75" customHeight="1">
      <c r="A735" s="1"/>
      <c r="F735" s="8"/>
      <c r="G735" s="8"/>
      <c r="J735" s="1"/>
      <c r="N735" s="1"/>
      <c r="O735" s="1"/>
      <c r="Q735" s="1"/>
      <c r="R735" s="1"/>
      <c r="S735" s="1"/>
      <c r="T735" s="1"/>
      <c r="U735" s="1"/>
      <c r="V735" s="1"/>
      <c r="W735" s="1"/>
      <c r="X735" s="1"/>
    </row>
    <row r="736" ht="12.75" customHeight="1">
      <c r="A736" s="1"/>
      <c r="F736" s="8"/>
      <c r="G736" s="8"/>
      <c r="J736" s="1"/>
      <c r="N736" s="1"/>
      <c r="O736" s="1"/>
      <c r="Q736" s="1"/>
      <c r="R736" s="1"/>
      <c r="S736" s="1"/>
      <c r="T736" s="1"/>
      <c r="U736" s="1"/>
      <c r="V736" s="1"/>
      <c r="W736" s="1"/>
      <c r="X736" s="1"/>
    </row>
    <row r="737" ht="12.75" customHeight="1">
      <c r="A737" s="1"/>
      <c r="F737" s="8"/>
      <c r="G737" s="8"/>
      <c r="J737" s="1"/>
      <c r="N737" s="1"/>
      <c r="O737" s="1"/>
      <c r="Q737" s="1"/>
      <c r="R737" s="1"/>
      <c r="S737" s="1"/>
      <c r="T737" s="1"/>
      <c r="U737" s="1"/>
      <c r="V737" s="1"/>
      <c r="W737" s="1"/>
      <c r="X737" s="1"/>
    </row>
    <row r="738" ht="12.75" customHeight="1">
      <c r="A738" s="1"/>
      <c r="F738" s="8"/>
      <c r="G738" s="8"/>
      <c r="J738" s="1"/>
      <c r="N738" s="1"/>
      <c r="O738" s="1"/>
      <c r="Q738" s="1"/>
      <c r="R738" s="1"/>
      <c r="S738" s="1"/>
      <c r="T738" s="1"/>
      <c r="U738" s="1"/>
      <c r="V738" s="1"/>
      <c r="W738" s="1"/>
      <c r="X738" s="1"/>
    </row>
    <row r="739" ht="12.75" customHeight="1">
      <c r="A739" s="1"/>
      <c r="F739" s="8"/>
      <c r="G739" s="8"/>
      <c r="J739" s="1"/>
      <c r="N739" s="1"/>
      <c r="O739" s="1"/>
      <c r="Q739" s="1"/>
      <c r="R739" s="1"/>
      <c r="S739" s="1"/>
      <c r="T739" s="1"/>
      <c r="U739" s="1"/>
      <c r="V739" s="1"/>
      <c r="W739" s="1"/>
      <c r="X739" s="1"/>
    </row>
    <row r="740" ht="12.75" customHeight="1">
      <c r="A740" s="1"/>
      <c r="F740" s="8"/>
      <c r="G740" s="8"/>
      <c r="J740" s="1"/>
      <c r="N740" s="1"/>
      <c r="O740" s="1"/>
      <c r="Q740" s="1"/>
      <c r="R740" s="1"/>
      <c r="S740" s="1"/>
      <c r="T740" s="1"/>
      <c r="U740" s="1"/>
      <c r="V740" s="1"/>
      <c r="W740" s="1"/>
      <c r="X740" s="1"/>
    </row>
    <row r="741" ht="12.75" customHeight="1">
      <c r="A741" s="1"/>
      <c r="F741" s="8"/>
      <c r="G741" s="8"/>
      <c r="J741" s="1"/>
      <c r="N741" s="1"/>
      <c r="O741" s="1"/>
      <c r="Q741" s="1"/>
      <c r="R741" s="1"/>
      <c r="S741" s="1"/>
      <c r="T741" s="1"/>
      <c r="U741" s="1"/>
      <c r="V741" s="1"/>
      <c r="W741" s="1"/>
      <c r="X741" s="1"/>
    </row>
    <row r="742" ht="12.75" customHeight="1">
      <c r="A742" s="1"/>
      <c r="F742" s="8"/>
      <c r="G742" s="8"/>
      <c r="J742" s="1"/>
      <c r="N742" s="1"/>
      <c r="O742" s="1"/>
      <c r="Q742" s="1"/>
      <c r="R742" s="1"/>
      <c r="S742" s="1"/>
      <c r="T742" s="1"/>
      <c r="U742" s="1"/>
      <c r="V742" s="1"/>
      <c r="W742" s="1"/>
      <c r="X742" s="1"/>
    </row>
    <row r="743" ht="12.75" customHeight="1">
      <c r="A743" s="1"/>
      <c r="F743" s="8"/>
      <c r="G743" s="8"/>
      <c r="J743" s="1"/>
      <c r="N743" s="1"/>
      <c r="O743" s="1"/>
      <c r="Q743" s="1"/>
      <c r="R743" s="1"/>
      <c r="S743" s="1"/>
      <c r="T743" s="1"/>
      <c r="U743" s="1"/>
      <c r="V743" s="1"/>
      <c r="W743" s="1"/>
      <c r="X743" s="1"/>
    </row>
    <row r="744" ht="12.75" customHeight="1">
      <c r="A744" s="1"/>
      <c r="F744" s="8"/>
      <c r="G744" s="8"/>
      <c r="J744" s="1"/>
      <c r="N744" s="1"/>
      <c r="O744" s="1"/>
      <c r="Q744" s="1"/>
      <c r="R744" s="1"/>
      <c r="S744" s="1"/>
      <c r="T744" s="1"/>
      <c r="U744" s="1"/>
      <c r="V744" s="1"/>
      <c r="W744" s="1"/>
      <c r="X744" s="1"/>
    </row>
    <row r="745" ht="12.75" customHeight="1">
      <c r="A745" s="1"/>
      <c r="F745" s="8"/>
      <c r="G745" s="8"/>
      <c r="J745" s="1"/>
      <c r="N745" s="1"/>
      <c r="O745" s="1"/>
      <c r="Q745" s="1"/>
      <c r="R745" s="1"/>
      <c r="S745" s="1"/>
      <c r="T745" s="1"/>
      <c r="U745" s="1"/>
      <c r="V745" s="1"/>
      <c r="W745" s="1"/>
      <c r="X745" s="1"/>
    </row>
    <row r="746" ht="12.75" customHeight="1">
      <c r="A746" s="1"/>
      <c r="F746" s="8"/>
      <c r="G746" s="8"/>
      <c r="J746" s="1"/>
      <c r="N746" s="1"/>
      <c r="O746" s="1"/>
      <c r="Q746" s="1"/>
      <c r="R746" s="1"/>
      <c r="S746" s="1"/>
      <c r="T746" s="1"/>
      <c r="U746" s="1"/>
      <c r="V746" s="1"/>
      <c r="W746" s="1"/>
      <c r="X746" s="1"/>
    </row>
    <row r="747" ht="12.75" customHeight="1">
      <c r="A747" s="1"/>
      <c r="F747" s="8"/>
      <c r="G747" s="8"/>
      <c r="J747" s="1"/>
      <c r="N747" s="1"/>
      <c r="O747" s="1"/>
      <c r="Q747" s="1"/>
      <c r="R747" s="1"/>
      <c r="S747" s="1"/>
      <c r="T747" s="1"/>
      <c r="U747" s="1"/>
      <c r="V747" s="1"/>
      <c r="W747" s="1"/>
      <c r="X747" s="1"/>
    </row>
    <row r="748" ht="12.75" customHeight="1">
      <c r="A748" s="1"/>
      <c r="F748" s="8"/>
      <c r="G748" s="8"/>
      <c r="J748" s="1"/>
      <c r="N748" s="1"/>
      <c r="O748" s="1"/>
      <c r="Q748" s="1"/>
      <c r="R748" s="1"/>
      <c r="S748" s="1"/>
      <c r="T748" s="1"/>
      <c r="U748" s="1"/>
      <c r="V748" s="1"/>
      <c r="W748" s="1"/>
      <c r="X748" s="1"/>
    </row>
    <row r="749" ht="12.75" customHeight="1">
      <c r="A749" s="1"/>
      <c r="F749" s="8"/>
      <c r="G749" s="8"/>
      <c r="J749" s="1"/>
      <c r="N749" s="1"/>
      <c r="O749" s="1"/>
      <c r="Q749" s="1"/>
      <c r="R749" s="1"/>
      <c r="S749" s="1"/>
      <c r="T749" s="1"/>
      <c r="U749" s="1"/>
      <c r="V749" s="1"/>
      <c r="W749" s="1"/>
      <c r="X749" s="1"/>
    </row>
    <row r="750" ht="12.75" customHeight="1">
      <c r="A750" s="1"/>
      <c r="F750" s="8"/>
      <c r="G750" s="8"/>
      <c r="J750" s="1"/>
      <c r="N750" s="1"/>
      <c r="O750" s="1"/>
      <c r="Q750" s="1"/>
      <c r="R750" s="1"/>
      <c r="S750" s="1"/>
      <c r="T750" s="1"/>
      <c r="U750" s="1"/>
      <c r="V750" s="1"/>
      <c r="W750" s="1"/>
      <c r="X750" s="1"/>
    </row>
    <row r="751" ht="12.75" customHeight="1">
      <c r="A751" s="1"/>
      <c r="F751" s="8"/>
      <c r="G751" s="8"/>
      <c r="J751" s="1"/>
      <c r="N751" s="1"/>
      <c r="O751" s="1"/>
      <c r="Q751" s="1"/>
      <c r="R751" s="1"/>
      <c r="S751" s="1"/>
      <c r="T751" s="1"/>
      <c r="U751" s="1"/>
      <c r="V751" s="1"/>
      <c r="W751" s="1"/>
      <c r="X751" s="1"/>
    </row>
    <row r="752" ht="12.75" customHeight="1">
      <c r="A752" s="1"/>
      <c r="F752" s="8"/>
      <c r="G752" s="8"/>
      <c r="J752" s="1"/>
      <c r="N752" s="1"/>
      <c r="O752" s="1"/>
      <c r="Q752" s="1"/>
      <c r="R752" s="1"/>
      <c r="S752" s="1"/>
      <c r="T752" s="1"/>
      <c r="U752" s="1"/>
      <c r="V752" s="1"/>
      <c r="W752" s="1"/>
      <c r="X752" s="1"/>
    </row>
    <row r="753" ht="12.75" customHeight="1">
      <c r="A753" s="1"/>
      <c r="F753" s="8"/>
      <c r="G753" s="8"/>
      <c r="J753" s="1"/>
      <c r="N753" s="1"/>
      <c r="O753" s="1"/>
      <c r="Q753" s="1"/>
      <c r="R753" s="1"/>
      <c r="S753" s="1"/>
      <c r="T753" s="1"/>
      <c r="U753" s="1"/>
      <c r="V753" s="1"/>
      <c r="W753" s="1"/>
      <c r="X753" s="1"/>
    </row>
    <row r="754" ht="12.75" customHeight="1">
      <c r="A754" s="1"/>
      <c r="F754" s="8"/>
      <c r="G754" s="8"/>
      <c r="J754" s="1"/>
      <c r="N754" s="1"/>
      <c r="O754" s="1"/>
      <c r="Q754" s="1"/>
      <c r="R754" s="1"/>
      <c r="S754" s="1"/>
      <c r="T754" s="1"/>
      <c r="U754" s="1"/>
      <c r="V754" s="1"/>
      <c r="W754" s="1"/>
      <c r="X754" s="1"/>
    </row>
    <row r="755" ht="12.75" customHeight="1">
      <c r="A755" s="1"/>
      <c r="F755" s="8"/>
      <c r="G755" s="8"/>
      <c r="J755" s="1"/>
      <c r="N755" s="1"/>
      <c r="O755" s="1"/>
      <c r="Q755" s="1"/>
      <c r="R755" s="1"/>
      <c r="S755" s="1"/>
      <c r="T755" s="1"/>
      <c r="U755" s="1"/>
      <c r="V755" s="1"/>
      <c r="W755" s="1"/>
      <c r="X755" s="1"/>
    </row>
    <row r="756" ht="12.75" customHeight="1">
      <c r="A756" s="1"/>
      <c r="F756" s="8"/>
      <c r="G756" s="8"/>
      <c r="J756" s="1"/>
      <c r="N756" s="1"/>
      <c r="O756" s="1"/>
      <c r="Q756" s="1"/>
      <c r="R756" s="1"/>
      <c r="S756" s="1"/>
      <c r="T756" s="1"/>
      <c r="U756" s="1"/>
      <c r="V756" s="1"/>
      <c r="W756" s="1"/>
      <c r="X756" s="1"/>
    </row>
    <row r="757" ht="12.75" customHeight="1">
      <c r="A757" s="1"/>
      <c r="F757" s="8"/>
      <c r="G757" s="8"/>
      <c r="J757" s="1"/>
      <c r="N757" s="1"/>
      <c r="O757" s="1"/>
      <c r="Q757" s="1"/>
      <c r="R757" s="1"/>
      <c r="S757" s="1"/>
      <c r="T757" s="1"/>
      <c r="U757" s="1"/>
      <c r="V757" s="1"/>
      <c r="W757" s="1"/>
      <c r="X757" s="1"/>
    </row>
    <row r="758" ht="12.75" customHeight="1">
      <c r="A758" s="1"/>
      <c r="F758" s="8"/>
      <c r="G758" s="8"/>
      <c r="J758" s="1"/>
      <c r="N758" s="1"/>
      <c r="O758" s="1"/>
      <c r="Q758" s="1"/>
      <c r="R758" s="1"/>
      <c r="S758" s="1"/>
      <c r="T758" s="1"/>
      <c r="U758" s="1"/>
      <c r="V758" s="1"/>
      <c r="W758" s="1"/>
      <c r="X758" s="1"/>
    </row>
    <row r="759" ht="12.75" customHeight="1">
      <c r="A759" s="1"/>
      <c r="F759" s="8"/>
      <c r="G759" s="8"/>
      <c r="J759" s="1"/>
      <c r="N759" s="1"/>
      <c r="O759" s="1"/>
      <c r="Q759" s="1"/>
      <c r="R759" s="1"/>
      <c r="S759" s="1"/>
      <c r="T759" s="1"/>
      <c r="U759" s="1"/>
      <c r="V759" s="1"/>
      <c r="W759" s="1"/>
      <c r="X759" s="1"/>
    </row>
    <row r="760" ht="12.75" customHeight="1">
      <c r="A760" s="1"/>
      <c r="F760" s="8"/>
      <c r="G760" s="8"/>
      <c r="J760" s="1"/>
      <c r="N760" s="1"/>
      <c r="O760" s="1"/>
      <c r="Q760" s="1"/>
      <c r="R760" s="1"/>
      <c r="S760" s="1"/>
      <c r="T760" s="1"/>
      <c r="U760" s="1"/>
      <c r="V760" s="1"/>
      <c r="W760" s="1"/>
      <c r="X760" s="1"/>
    </row>
    <row r="761" ht="12.75" customHeight="1">
      <c r="A761" s="1"/>
      <c r="F761" s="8"/>
      <c r="G761" s="8"/>
      <c r="J761" s="1"/>
      <c r="N761" s="1"/>
      <c r="O761" s="1"/>
      <c r="Q761" s="1"/>
      <c r="R761" s="1"/>
      <c r="S761" s="1"/>
      <c r="T761" s="1"/>
      <c r="U761" s="1"/>
      <c r="V761" s="1"/>
      <c r="W761" s="1"/>
      <c r="X761" s="1"/>
    </row>
    <row r="762" ht="12.75" customHeight="1">
      <c r="A762" s="1"/>
      <c r="F762" s="8"/>
      <c r="G762" s="8"/>
      <c r="J762" s="1"/>
      <c r="N762" s="1"/>
      <c r="O762" s="1"/>
      <c r="Q762" s="1"/>
      <c r="R762" s="1"/>
      <c r="S762" s="1"/>
      <c r="T762" s="1"/>
      <c r="U762" s="1"/>
      <c r="V762" s="1"/>
      <c r="W762" s="1"/>
      <c r="X762" s="1"/>
    </row>
    <row r="763" ht="12.75" customHeight="1">
      <c r="A763" s="1"/>
      <c r="F763" s="8"/>
      <c r="G763" s="8"/>
      <c r="J763" s="1"/>
      <c r="N763" s="1"/>
      <c r="O763" s="1"/>
      <c r="Q763" s="1"/>
      <c r="R763" s="1"/>
      <c r="S763" s="1"/>
      <c r="T763" s="1"/>
      <c r="U763" s="1"/>
      <c r="V763" s="1"/>
      <c r="W763" s="1"/>
      <c r="X763" s="1"/>
    </row>
    <row r="764" ht="12.75" customHeight="1">
      <c r="A764" s="1"/>
      <c r="F764" s="8"/>
      <c r="G764" s="8"/>
      <c r="J764" s="1"/>
      <c r="N764" s="1"/>
      <c r="O764" s="1"/>
      <c r="Q764" s="1"/>
      <c r="R764" s="1"/>
      <c r="S764" s="1"/>
      <c r="T764" s="1"/>
      <c r="U764" s="1"/>
      <c r="V764" s="1"/>
      <c r="W764" s="1"/>
      <c r="X764" s="1"/>
    </row>
    <row r="765" ht="12.75" customHeight="1">
      <c r="A765" s="1"/>
      <c r="F765" s="8"/>
      <c r="G765" s="8"/>
      <c r="J765" s="1"/>
      <c r="N765" s="1"/>
      <c r="O765" s="1"/>
      <c r="Q765" s="1"/>
      <c r="R765" s="1"/>
      <c r="S765" s="1"/>
      <c r="T765" s="1"/>
      <c r="U765" s="1"/>
      <c r="V765" s="1"/>
      <c r="W765" s="1"/>
      <c r="X765" s="1"/>
    </row>
    <row r="766" ht="12.75" customHeight="1">
      <c r="A766" s="1"/>
      <c r="F766" s="8"/>
      <c r="G766" s="8"/>
      <c r="J766" s="1"/>
      <c r="N766" s="1"/>
      <c r="O766" s="1"/>
      <c r="Q766" s="1"/>
      <c r="R766" s="1"/>
      <c r="S766" s="1"/>
      <c r="T766" s="1"/>
      <c r="U766" s="1"/>
      <c r="V766" s="1"/>
      <c r="W766" s="1"/>
      <c r="X766" s="1"/>
    </row>
    <row r="767" ht="12.75" customHeight="1">
      <c r="A767" s="1"/>
      <c r="F767" s="8"/>
      <c r="G767" s="8"/>
      <c r="J767" s="1"/>
      <c r="N767" s="1"/>
      <c r="O767" s="1"/>
      <c r="Q767" s="1"/>
      <c r="R767" s="1"/>
      <c r="S767" s="1"/>
      <c r="T767" s="1"/>
      <c r="U767" s="1"/>
      <c r="V767" s="1"/>
      <c r="W767" s="1"/>
      <c r="X767" s="1"/>
    </row>
    <row r="768" ht="12.75" customHeight="1">
      <c r="A768" s="1"/>
      <c r="F768" s="8"/>
      <c r="G768" s="8"/>
      <c r="J768" s="1"/>
      <c r="N768" s="1"/>
      <c r="O768" s="1"/>
      <c r="Q768" s="1"/>
      <c r="R768" s="1"/>
      <c r="S768" s="1"/>
      <c r="T768" s="1"/>
      <c r="U768" s="1"/>
      <c r="V768" s="1"/>
      <c r="W768" s="1"/>
      <c r="X768" s="1"/>
    </row>
    <row r="769" ht="12.75" customHeight="1">
      <c r="A769" s="1"/>
      <c r="F769" s="8"/>
      <c r="G769" s="8"/>
      <c r="J769" s="1"/>
      <c r="N769" s="1"/>
      <c r="O769" s="1"/>
      <c r="Q769" s="1"/>
      <c r="R769" s="1"/>
      <c r="S769" s="1"/>
      <c r="T769" s="1"/>
      <c r="U769" s="1"/>
      <c r="V769" s="1"/>
      <c r="W769" s="1"/>
      <c r="X769" s="1"/>
    </row>
    <row r="770" ht="12.75" customHeight="1">
      <c r="A770" s="1"/>
      <c r="F770" s="8"/>
      <c r="G770" s="8"/>
      <c r="J770" s="1"/>
      <c r="N770" s="1"/>
      <c r="O770" s="1"/>
      <c r="Q770" s="1"/>
      <c r="R770" s="1"/>
      <c r="S770" s="1"/>
      <c r="T770" s="1"/>
      <c r="U770" s="1"/>
      <c r="V770" s="1"/>
      <c r="W770" s="1"/>
      <c r="X770" s="1"/>
    </row>
    <row r="771" ht="12.75" customHeight="1">
      <c r="A771" s="1"/>
      <c r="F771" s="8"/>
      <c r="G771" s="8"/>
      <c r="J771" s="1"/>
      <c r="N771" s="1"/>
      <c r="O771" s="1"/>
      <c r="Q771" s="1"/>
      <c r="R771" s="1"/>
      <c r="S771" s="1"/>
      <c r="T771" s="1"/>
      <c r="U771" s="1"/>
      <c r="V771" s="1"/>
      <c r="W771" s="1"/>
      <c r="X771" s="1"/>
    </row>
    <row r="772" ht="12.75" customHeight="1">
      <c r="A772" s="1"/>
      <c r="F772" s="8"/>
      <c r="G772" s="8"/>
      <c r="J772" s="1"/>
      <c r="N772" s="1"/>
      <c r="O772" s="1"/>
      <c r="Q772" s="1"/>
      <c r="R772" s="1"/>
      <c r="S772" s="1"/>
      <c r="T772" s="1"/>
      <c r="U772" s="1"/>
      <c r="V772" s="1"/>
      <c r="W772" s="1"/>
      <c r="X772" s="1"/>
    </row>
    <row r="773" ht="12.75" customHeight="1">
      <c r="A773" s="1"/>
      <c r="F773" s="8"/>
      <c r="G773" s="8"/>
      <c r="J773" s="1"/>
      <c r="N773" s="1"/>
      <c r="O773" s="1"/>
      <c r="Q773" s="1"/>
      <c r="R773" s="1"/>
      <c r="S773" s="1"/>
      <c r="T773" s="1"/>
      <c r="U773" s="1"/>
      <c r="V773" s="1"/>
      <c r="W773" s="1"/>
      <c r="X773" s="1"/>
    </row>
    <row r="774" ht="12.75" customHeight="1">
      <c r="A774" s="1"/>
      <c r="F774" s="8"/>
      <c r="G774" s="8"/>
      <c r="J774" s="1"/>
      <c r="N774" s="1"/>
      <c r="O774" s="1"/>
      <c r="Q774" s="1"/>
      <c r="R774" s="1"/>
      <c r="S774" s="1"/>
      <c r="T774" s="1"/>
      <c r="U774" s="1"/>
      <c r="V774" s="1"/>
      <c r="W774" s="1"/>
      <c r="X774" s="1"/>
    </row>
    <row r="775" ht="12.75" customHeight="1">
      <c r="A775" s="1"/>
      <c r="F775" s="8"/>
      <c r="G775" s="8"/>
      <c r="J775" s="1"/>
      <c r="N775" s="1"/>
      <c r="O775" s="1"/>
      <c r="Q775" s="1"/>
      <c r="R775" s="1"/>
      <c r="S775" s="1"/>
      <c r="T775" s="1"/>
      <c r="U775" s="1"/>
      <c r="V775" s="1"/>
      <c r="W775" s="1"/>
      <c r="X775" s="1"/>
    </row>
    <row r="776" ht="12.75" customHeight="1">
      <c r="A776" s="1"/>
      <c r="F776" s="8"/>
      <c r="G776" s="8"/>
      <c r="J776" s="1"/>
      <c r="N776" s="1"/>
      <c r="O776" s="1"/>
      <c r="Q776" s="1"/>
      <c r="R776" s="1"/>
      <c r="S776" s="1"/>
      <c r="T776" s="1"/>
      <c r="U776" s="1"/>
      <c r="V776" s="1"/>
      <c r="W776" s="1"/>
      <c r="X776" s="1"/>
    </row>
    <row r="777" ht="12.75" customHeight="1">
      <c r="A777" s="1"/>
      <c r="F777" s="8"/>
      <c r="G777" s="8"/>
      <c r="J777" s="1"/>
      <c r="N777" s="1"/>
      <c r="O777" s="1"/>
      <c r="Q777" s="1"/>
      <c r="R777" s="1"/>
      <c r="S777" s="1"/>
      <c r="T777" s="1"/>
      <c r="U777" s="1"/>
      <c r="V777" s="1"/>
      <c r="W777" s="1"/>
      <c r="X777" s="1"/>
    </row>
    <row r="778" ht="12.75" customHeight="1">
      <c r="A778" s="1"/>
      <c r="F778" s="8"/>
      <c r="G778" s="8"/>
      <c r="J778" s="1"/>
      <c r="N778" s="1"/>
      <c r="O778" s="1"/>
      <c r="Q778" s="1"/>
      <c r="R778" s="1"/>
      <c r="S778" s="1"/>
      <c r="T778" s="1"/>
      <c r="U778" s="1"/>
      <c r="V778" s="1"/>
      <c r="W778" s="1"/>
      <c r="X778" s="1"/>
    </row>
    <row r="779" ht="12.75" customHeight="1">
      <c r="A779" s="1"/>
      <c r="F779" s="8"/>
      <c r="G779" s="8"/>
      <c r="J779" s="1"/>
      <c r="N779" s="1"/>
      <c r="O779" s="1"/>
      <c r="Q779" s="1"/>
      <c r="R779" s="1"/>
      <c r="S779" s="1"/>
      <c r="T779" s="1"/>
      <c r="U779" s="1"/>
      <c r="V779" s="1"/>
      <c r="W779" s="1"/>
      <c r="X779" s="1"/>
    </row>
    <row r="780" ht="12.75" customHeight="1">
      <c r="A780" s="1"/>
      <c r="F780" s="8"/>
      <c r="G780" s="8"/>
      <c r="J780" s="1"/>
      <c r="N780" s="1"/>
      <c r="O780" s="1"/>
      <c r="Q780" s="1"/>
      <c r="R780" s="1"/>
      <c r="S780" s="1"/>
      <c r="T780" s="1"/>
      <c r="U780" s="1"/>
      <c r="V780" s="1"/>
      <c r="W780" s="1"/>
      <c r="X780" s="1"/>
    </row>
    <row r="781" ht="12.75" customHeight="1">
      <c r="A781" s="1"/>
      <c r="F781" s="8"/>
      <c r="G781" s="8"/>
      <c r="J781" s="1"/>
      <c r="N781" s="1"/>
      <c r="O781" s="1"/>
      <c r="Q781" s="1"/>
      <c r="R781" s="1"/>
      <c r="S781" s="1"/>
      <c r="T781" s="1"/>
      <c r="U781" s="1"/>
      <c r="V781" s="1"/>
      <c r="W781" s="1"/>
      <c r="X781" s="1"/>
    </row>
    <row r="782" ht="12.75" customHeight="1">
      <c r="A782" s="1"/>
      <c r="F782" s="8"/>
      <c r="G782" s="8"/>
      <c r="J782" s="1"/>
      <c r="N782" s="1"/>
      <c r="O782" s="1"/>
      <c r="Q782" s="1"/>
      <c r="R782" s="1"/>
      <c r="S782" s="1"/>
      <c r="T782" s="1"/>
      <c r="U782" s="1"/>
      <c r="V782" s="1"/>
      <c r="W782" s="1"/>
      <c r="X782" s="1"/>
    </row>
    <row r="783" ht="12.75" customHeight="1">
      <c r="A783" s="1"/>
      <c r="F783" s="8"/>
      <c r="G783" s="8"/>
      <c r="J783" s="1"/>
      <c r="N783" s="1"/>
      <c r="O783" s="1"/>
      <c r="Q783" s="1"/>
      <c r="R783" s="1"/>
      <c r="S783" s="1"/>
      <c r="T783" s="1"/>
      <c r="U783" s="1"/>
      <c r="V783" s="1"/>
      <c r="W783" s="1"/>
      <c r="X783" s="1"/>
    </row>
    <row r="784" ht="12.75" customHeight="1">
      <c r="A784" s="1"/>
      <c r="F784" s="8"/>
      <c r="G784" s="8"/>
      <c r="J784" s="1"/>
      <c r="N784" s="1"/>
      <c r="O784" s="1"/>
      <c r="Q784" s="1"/>
      <c r="R784" s="1"/>
      <c r="S784" s="1"/>
      <c r="T784" s="1"/>
      <c r="U784" s="1"/>
      <c r="V784" s="1"/>
      <c r="W784" s="1"/>
      <c r="X784" s="1"/>
    </row>
    <row r="785" ht="12.75" customHeight="1">
      <c r="A785" s="1"/>
      <c r="F785" s="8"/>
      <c r="G785" s="8"/>
      <c r="J785" s="1"/>
      <c r="N785" s="1"/>
      <c r="O785" s="1"/>
      <c r="Q785" s="1"/>
      <c r="R785" s="1"/>
      <c r="S785" s="1"/>
      <c r="T785" s="1"/>
      <c r="U785" s="1"/>
      <c r="V785" s="1"/>
      <c r="W785" s="1"/>
      <c r="X785" s="1"/>
    </row>
    <row r="786" ht="12.75" customHeight="1">
      <c r="A786" s="1"/>
      <c r="F786" s="8"/>
      <c r="G786" s="8"/>
      <c r="J786" s="1"/>
      <c r="N786" s="1"/>
      <c r="O786" s="1"/>
      <c r="Q786" s="1"/>
      <c r="R786" s="1"/>
      <c r="S786" s="1"/>
      <c r="T786" s="1"/>
      <c r="U786" s="1"/>
      <c r="V786" s="1"/>
      <c r="W786" s="1"/>
      <c r="X786" s="1"/>
    </row>
    <row r="787" ht="12.75" customHeight="1">
      <c r="A787" s="1"/>
      <c r="F787" s="8"/>
      <c r="G787" s="8"/>
      <c r="J787" s="1"/>
      <c r="N787" s="1"/>
      <c r="O787" s="1"/>
      <c r="Q787" s="1"/>
      <c r="R787" s="1"/>
      <c r="S787" s="1"/>
      <c r="T787" s="1"/>
      <c r="U787" s="1"/>
      <c r="V787" s="1"/>
      <c r="W787" s="1"/>
      <c r="X787" s="1"/>
    </row>
    <row r="788" ht="12.75" customHeight="1">
      <c r="A788" s="1"/>
      <c r="F788" s="8"/>
      <c r="G788" s="8"/>
      <c r="J788" s="1"/>
      <c r="N788" s="1"/>
      <c r="O788" s="1"/>
      <c r="Q788" s="1"/>
      <c r="R788" s="1"/>
      <c r="S788" s="1"/>
      <c r="T788" s="1"/>
      <c r="U788" s="1"/>
      <c r="V788" s="1"/>
      <c r="W788" s="1"/>
      <c r="X788" s="1"/>
    </row>
    <row r="789" ht="12.75" customHeight="1">
      <c r="A789" s="1"/>
      <c r="F789" s="8"/>
      <c r="G789" s="8"/>
      <c r="J789" s="1"/>
      <c r="N789" s="1"/>
      <c r="O789" s="1"/>
      <c r="Q789" s="1"/>
      <c r="R789" s="1"/>
      <c r="S789" s="1"/>
      <c r="T789" s="1"/>
      <c r="U789" s="1"/>
      <c r="V789" s="1"/>
      <c r="W789" s="1"/>
      <c r="X789" s="1"/>
    </row>
    <row r="790" ht="12.75" customHeight="1">
      <c r="A790" s="1"/>
      <c r="F790" s="8"/>
      <c r="G790" s="8"/>
      <c r="J790" s="1"/>
      <c r="N790" s="1"/>
      <c r="O790" s="1"/>
      <c r="Q790" s="1"/>
      <c r="R790" s="1"/>
      <c r="S790" s="1"/>
      <c r="T790" s="1"/>
      <c r="U790" s="1"/>
      <c r="V790" s="1"/>
      <c r="W790" s="1"/>
      <c r="X790" s="1"/>
    </row>
    <row r="791" ht="12.75" customHeight="1">
      <c r="A791" s="1"/>
      <c r="F791" s="8"/>
      <c r="G791" s="8"/>
      <c r="J791" s="1"/>
      <c r="N791" s="1"/>
      <c r="O791" s="1"/>
      <c r="Q791" s="1"/>
      <c r="R791" s="1"/>
      <c r="S791" s="1"/>
      <c r="T791" s="1"/>
      <c r="U791" s="1"/>
      <c r="V791" s="1"/>
      <c r="W791" s="1"/>
      <c r="X791" s="1"/>
    </row>
    <row r="792" ht="12.75" customHeight="1">
      <c r="A792" s="1"/>
      <c r="F792" s="8"/>
      <c r="G792" s="8"/>
      <c r="J792" s="1"/>
      <c r="N792" s="1"/>
      <c r="O792" s="1"/>
      <c r="Q792" s="1"/>
      <c r="R792" s="1"/>
      <c r="S792" s="1"/>
      <c r="T792" s="1"/>
      <c r="U792" s="1"/>
      <c r="V792" s="1"/>
      <c r="W792" s="1"/>
      <c r="X792" s="1"/>
    </row>
    <row r="793" ht="12.75" customHeight="1">
      <c r="A793" s="1"/>
      <c r="F793" s="8"/>
      <c r="G793" s="8"/>
      <c r="J793" s="1"/>
      <c r="N793" s="1"/>
      <c r="O793" s="1"/>
      <c r="Q793" s="1"/>
      <c r="R793" s="1"/>
      <c r="S793" s="1"/>
      <c r="T793" s="1"/>
      <c r="U793" s="1"/>
      <c r="V793" s="1"/>
      <c r="W793" s="1"/>
      <c r="X793" s="1"/>
    </row>
    <row r="794" ht="12.75" customHeight="1">
      <c r="A794" s="1"/>
      <c r="F794" s="8"/>
      <c r="G794" s="8"/>
      <c r="J794" s="1"/>
      <c r="N794" s="1"/>
      <c r="O794" s="1"/>
      <c r="Q794" s="1"/>
      <c r="R794" s="1"/>
      <c r="S794" s="1"/>
      <c r="T794" s="1"/>
      <c r="U794" s="1"/>
      <c r="V794" s="1"/>
      <c r="W794" s="1"/>
      <c r="X794" s="1"/>
    </row>
    <row r="795" ht="12.75" customHeight="1">
      <c r="A795" s="1"/>
      <c r="F795" s="8"/>
      <c r="G795" s="8"/>
      <c r="J795" s="1"/>
      <c r="N795" s="1"/>
      <c r="O795" s="1"/>
      <c r="Q795" s="1"/>
      <c r="R795" s="1"/>
      <c r="S795" s="1"/>
      <c r="T795" s="1"/>
      <c r="U795" s="1"/>
      <c r="V795" s="1"/>
      <c r="W795" s="1"/>
      <c r="X795" s="1"/>
    </row>
    <row r="796" ht="12.75" customHeight="1">
      <c r="A796" s="1"/>
      <c r="F796" s="8"/>
      <c r="G796" s="8"/>
      <c r="J796" s="1"/>
      <c r="N796" s="1"/>
      <c r="O796" s="1"/>
      <c r="Q796" s="1"/>
      <c r="R796" s="1"/>
      <c r="S796" s="1"/>
      <c r="T796" s="1"/>
      <c r="U796" s="1"/>
      <c r="V796" s="1"/>
      <c r="W796" s="1"/>
      <c r="X796" s="1"/>
    </row>
    <row r="797" ht="12.75" customHeight="1">
      <c r="A797" s="1"/>
      <c r="F797" s="8"/>
      <c r="G797" s="8"/>
      <c r="J797" s="1"/>
      <c r="N797" s="1"/>
      <c r="O797" s="1"/>
      <c r="Q797" s="1"/>
      <c r="R797" s="1"/>
      <c r="S797" s="1"/>
      <c r="T797" s="1"/>
      <c r="U797" s="1"/>
      <c r="V797" s="1"/>
      <c r="W797" s="1"/>
      <c r="X797" s="1"/>
    </row>
    <row r="798" ht="12.75" customHeight="1">
      <c r="A798" s="1"/>
      <c r="F798" s="8"/>
      <c r="G798" s="8"/>
      <c r="J798" s="1"/>
      <c r="N798" s="1"/>
      <c r="O798" s="1"/>
      <c r="Q798" s="1"/>
      <c r="R798" s="1"/>
      <c r="S798" s="1"/>
      <c r="T798" s="1"/>
      <c r="U798" s="1"/>
      <c r="V798" s="1"/>
      <c r="W798" s="1"/>
      <c r="X798" s="1"/>
    </row>
    <row r="799" ht="12.75" customHeight="1">
      <c r="A799" s="1"/>
      <c r="F799" s="8"/>
      <c r="G799" s="8"/>
      <c r="J799" s="1"/>
      <c r="N799" s="1"/>
      <c r="O799" s="1"/>
      <c r="Q799" s="1"/>
      <c r="R799" s="1"/>
      <c r="S799" s="1"/>
      <c r="T799" s="1"/>
      <c r="U799" s="1"/>
      <c r="V799" s="1"/>
      <c r="W799" s="1"/>
      <c r="X799" s="1"/>
    </row>
    <row r="800" ht="12.75" customHeight="1">
      <c r="A800" s="1"/>
      <c r="F800" s="8"/>
      <c r="G800" s="8"/>
      <c r="J800" s="1"/>
      <c r="N800" s="1"/>
      <c r="O800" s="1"/>
      <c r="Q800" s="1"/>
      <c r="R800" s="1"/>
      <c r="S800" s="1"/>
      <c r="T800" s="1"/>
      <c r="U800" s="1"/>
      <c r="V800" s="1"/>
      <c r="W800" s="1"/>
      <c r="X800" s="1"/>
    </row>
    <row r="801" ht="12.75" customHeight="1">
      <c r="A801" s="1"/>
      <c r="F801" s="8"/>
      <c r="G801" s="8"/>
      <c r="J801" s="1"/>
      <c r="N801" s="1"/>
      <c r="O801" s="1"/>
      <c r="Q801" s="1"/>
      <c r="R801" s="1"/>
      <c r="S801" s="1"/>
      <c r="T801" s="1"/>
      <c r="U801" s="1"/>
      <c r="V801" s="1"/>
      <c r="W801" s="1"/>
      <c r="X801" s="1"/>
    </row>
    <row r="802" ht="12.75" customHeight="1">
      <c r="A802" s="1"/>
      <c r="F802" s="8"/>
      <c r="G802" s="8"/>
      <c r="J802" s="1"/>
      <c r="N802" s="1"/>
      <c r="O802" s="1"/>
      <c r="Q802" s="1"/>
      <c r="R802" s="1"/>
      <c r="S802" s="1"/>
      <c r="T802" s="1"/>
      <c r="U802" s="1"/>
      <c r="V802" s="1"/>
      <c r="W802" s="1"/>
      <c r="X802" s="1"/>
    </row>
    <row r="803" ht="12.75" customHeight="1">
      <c r="A803" s="1"/>
      <c r="F803" s="8"/>
      <c r="G803" s="8"/>
      <c r="J803" s="1"/>
      <c r="N803" s="1"/>
      <c r="O803" s="1"/>
      <c r="Q803" s="1"/>
      <c r="R803" s="1"/>
      <c r="S803" s="1"/>
      <c r="T803" s="1"/>
      <c r="U803" s="1"/>
      <c r="V803" s="1"/>
      <c r="W803" s="1"/>
      <c r="X803" s="1"/>
    </row>
    <row r="804" ht="12.75" customHeight="1">
      <c r="A804" s="1"/>
      <c r="F804" s="8"/>
      <c r="G804" s="8"/>
      <c r="J804" s="1"/>
      <c r="N804" s="1"/>
      <c r="O804" s="1"/>
      <c r="Q804" s="1"/>
      <c r="R804" s="1"/>
      <c r="S804" s="1"/>
      <c r="T804" s="1"/>
      <c r="U804" s="1"/>
      <c r="V804" s="1"/>
      <c r="W804" s="1"/>
      <c r="X804" s="1"/>
    </row>
    <row r="805" ht="12.75" customHeight="1">
      <c r="A805" s="1"/>
      <c r="F805" s="8"/>
      <c r="G805" s="8"/>
      <c r="J805" s="1"/>
      <c r="N805" s="1"/>
      <c r="O805" s="1"/>
      <c r="Q805" s="1"/>
      <c r="R805" s="1"/>
      <c r="S805" s="1"/>
      <c r="T805" s="1"/>
      <c r="U805" s="1"/>
      <c r="V805" s="1"/>
      <c r="W805" s="1"/>
      <c r="X805" s="1"/>
    </row>
    <row r="806" ht="12.75" customHeight="1">
      <c r="A806" s="1"/>
      <c r="F806" s="8"/>
      <c r="G806" s="8"/>
      <c r="J806" s="1"/>
      <c r="N806" s="1"/>
      <c r="O806" s="1"/>
      <c r="Q806" s="1"/>
      <c r="R806" s="1"/>
      <c r="S806" s="1"/>
      <c r="T806" s="1"/>
      <c r="U806" s="1"/>
      <c r="V806" s="1"/>
      <c r="W806" s="1"/>
      <c r="X806" s="1"/>
    </row>
    <row r="807" ht="12.75" customHeight="1">
      <c r="A807" s="1"/>
      <c r="F807" s="8"/>
      <c r="G807" s="8"/>
      <c r="J807" s="1"/>
      <c r="N807" s="1"/>
      <c r="O807" s="1"/>
      <c r="Q807" s="1"/>
      <c r="R807" s="1"/>
      <c r="S807" s="1"/>
      <c r="T807" s="1"/>
      <c r="U807" s="1"/>
      <c r="V807" s="1"/>
      <c r="W807" s="1"/>
      <c r="X807" s="1"/>
    </row>
    <row r="808" ht="12.75" customHeight="1">
      <c r="A808" s="1"/>
      <c r="F808" s="8"/>
      <c r="G808" s="8"/>
      <c r="J808" s="1"/>
      <c r="N808" s="1"/>
      <c r="O808" s="1"/>
      <c r="Q808" s="1"/>
      <c r="R808" s="1"/>
      <c r="S808" s="1"/>
      <c r="T808" s="1"/>
      <c r="U808" s="1"/>
      <c r="V808" s="1"/>
      <c r="W808" s="1"/>
      <c r="X808" s="1"/>
    </row>
    <row r="809" ht="12.75" customHeight="1">
      <c r="A809" s="1"/>
      <c r="F809" s="8"/>
      <c r="G809" s="8"/>
      <c r="J809" s="1"/>
      <c r="N809" s="1"/>
      <c r="O809" s="1"/>
      <c r="Q809" s="1"/>
      <c r="R809" s="1"/>
      <c r="S809" s="1"/>
      <c r="T809" s="1"/>
      <c r="U809" s="1"/>
      <c r="V809" s="1"/>
      <c r="W809" s="1"/>
      <c r="X809" s="1"/>
    </row>
    <row r="810" ht="12.75" customHeight="1">
      <c r="A810" s="1"/>
      <c r="F810" s="8"/>
      <c r="G810" s="8"/>
      <c r="J810" s="1"/>
      <c r="N810" s="1"/>
      <c r="O810" s="1"/>
      <c r="Q810" s="1"/>
      <c r="R810" s="1"/>
      <c r="S810" s="1"/>
      <c r="T810" s="1"/>
      <c r="U810" s="1"/>
      <c r="V810" s="1"/>
      <c r="W810" s="1"/>
      <c r="X810" s="1"/>
    </row>
    <row r="811" ht="12.75" customHeight="1">
      <c r="A811" s="1"/>
      <c r="F811" s="8"/>
      <c r="G811" s="8"/>
      <c r="J811" s="1"/>
      <c r="N811" s="1"/>
      <c r="O811" s="1"/>
      <c r="Q811" s="1"/>
      <c r="R811" s="1"/>
      <c r="S811" s="1"/>
      <c r="T811" s="1"/>
      <c r="U811" s="1"/>
      <c r="V811" s="1"/>
      <c r="W811" s="1"/>
      <c r="X811" s="1"/>
    </row>
    <row r="812" ht="12.75" customHeight="1">
      <c r="A812" s="1"/>
      <c r="F812" s="8"/>
      <c r="G812" s="8"/>
      <c r="J812" s="1"/>
      <c r="N812" s="1"/>
      <c r="O812" s="1"/>
      <c r="Q812" s="1"/>
      <c r="R812" s="1"/>
      <c r="S812" s="1"/>
      <c r="T812" s="1"/>
      <c r="U812" s="1"/>
      <c r="V812" s="1"/>
      <c r="W812" s="1"/>
      <c r="X812" s="1"/>
    </row>
    <row r="813" ht="12.75" customHeight="1">
      <c r="A813" s="1"/>
      <c r="F813" s="8"/>
      <c r="G813" s="8"/>
      <c r="J813" s="1"/>
      <c r="N813" s="1"/>
      <c r="O813" s="1"/>
      <c r="Q813" s="1"/>
      <c r="R813" s="1"/>
      <c r="S813" s="1"/>
      <c r="T813" s="1"/>
      <c r="U813" s="1"/>
      <c r="V813" s="1"/>
      <c r="W813" s="1"/>
      <c r="X813" s="1"/>
    </row>
    <row r="814" ht="12.75" customHeight="1">
      <c r="A814" s="1"/>
      <c r="F814" s="8"/>
      <c r="G814" s="8"/>
      <c r="J814" s="1"/>
      <c r="N814" s="1"/>
      <c r="O814" s="1"/>
      <c r="Q814" s="1"/>
      <c r="R814" s="1"/>
      <c r="S814" s="1"/>
      <c r="T814" s="1"/>
      <c r="U814" s="1"/>
      <c r="V814" s="1"/>
      <c r="W814" s="1"/>
      <c r="X814" s="1"/>
    </row>
    <row r="815" ht="12.75" customHeight="1">
      <c r="A815" s="1"/>
      <c r="F815" s="8"/>
      <c r="G815" s="8"/>
      <c r="J815" s="1"/>
      <c r="N815" s="1"/>
      <c r="O815" s="1"/>
      <c r="Q815" s="1"/>
      <c r="R815" s="1"/>
      <c r="S815" s="1"/>
      <c r="T815" s="1"/>
      <c r="U815" s="1"/>
      <c r="V815" s="1"/>
      <c r="W815" s="1"/>
      <c r="X815" s="1"/>
    </row>
    <row r="816" ht="12.75" customHeight="1">
      <c r="A816" s="1"/>
      <c r="F816" s="8"/>
      <c r="G816" s="8"/>
      <c r="J816" s="1"/>
      <c r="N816" s="1"/>
      <c r="O816" s="1"/>
      <c r="Q816" s="1"/>
      <c r="R816" s="1"/>
      <c r="S816" s="1"/>
      <c r="T816" s="1"/>
      <c r="U816" s="1"/>
      <c r="V816" s="1"/>
      <c r="W816" s="1"/>
      <c r="X816" s="1"/>
    </row>
    <row r="817" ht="12.75" customHeight="1">
      <c r="A817" s="1"/>
      <c r="F817" s="8"/>
      <c r="G817" s="8"/>
      <c r="J817" s="1"/>
      <c r="N817" s="1"/>
      <c r="O817" s="1"/>
      <c r="Q817" s="1"/>
      <c r="R817" s="1"/>
      <c r="S817" s="1"/>
      <c r="T817" s="1"/>
      <c r="U817" s="1"/>
      <c r="V817" s="1"/>
      <c r="W817" s="1"/>
      <c r="X817" s="1"/>
    </row>
    <row r="818" ht="12.75" customHeight="1">
      <c r="A818" s="1"/>
      <c r="F818" s="8"/>
      <c r="G818" s="8"/>
      <c r="J818" s="1"/>
      <c r="N818" s="1"/>
      <c r="O818" s="1"/>
      <c r="Q818" s="1"/>
      <c r="R818" s="1"/>
      <c r="S818" s="1"/>
      <c r="T818" s="1"/>
      <c r="U818" s="1"/>
      <c r="V818" s="1"/>
      <c r="W818" s="1"/>
      <c r="X818" s="1"/>
    </row>
    <row r="819" ht="12.75" customHeight="1">
      <c r="A819" s="1"/>
      <c r="F819" s="8"/>
      <c r="G819" s="8"/>
      <c r="J819" s="1"/>
      <c r="N819" s="1"/>
      <c r="O819" s="1"/>
      <c r="Q819" s="1"/>
      <c r="R819" s="1"/>
      <c r="S819" s="1"/>
      <c r="T819" s="1"/>
      <c r="U819" s="1"/>
      <c r="V819" s="1"/>
      <c r="W819" s="1"/>
      <c r="X819" s="1"/>
    </row>
    <row r="820" ht="12.75" customHeight="1">
      <c r="A820" s="1"/>
      <c r="F820" s="8"/>
      <c r="G820" s="8"/>
      <c r="J820" s="1"/>
      <c r="N820" s="1"/>
      <c r="O820" s="1"/>
      <c r="Q820" s="1"/>
      <c r="R820" s="1"/>
      <c r="S820" s="1"/>
      <c r="T820" s="1"/>
      <c r="U820" s="1"/>
      <c r="V820" s="1"/>
      <c r="W820" s="1"/>
      <c r="X820" s="1"/>
    </row>
    <row r="821" ht="12.75" customHeight="1">
      <c r="A821" s="1"/>
      <c r="F821" s="8"/>
      <c r="G821" s="8"/>
      <c r="J821" s="1"/>
      <c r="N821" s="1"/>
      <c r="O821" s="1"/>
      <c r="Q821" s="1"/>
      <c r="R821" s="1"/>
      <c r="S821" s="1"/>
      <c r="T821" s="1"/>
      <c r="U821" s="1"/>
      <c r="V821" s="1"/>
      <c r="W821" s="1"/>
      <c r="X821" s="1"/>
    </row>
    <row r="822" ht="12.75" customHeight="1">
      <c r="A822" s="1"/>
      <c r="F822" s="8"/>
      <c r="G822" s="8"/>
      <c r="J822" s="1"/>
      <c r="N822" s="1"/>
      <c r="O822" s="1"/>
      <c r="Q822" s="1"/>
      <c r="R822" s="1"/>
      <c r="S822" s="1"/>
      <c r="T822" s="1"/>
      <c r="U822" s="1"/>
      <c r="V822" s="1"/>
      <c r="W822" s="1"/>
      <c r="X822" s="1"/>
    </row>
    <row r="823" ht="12.75" customHeight="1">
      <c r="A823" s="1"/>
      <c r="F823" s="8"/>
      <c r="G823" s="8"/>
      <c r="J823" s="1"/>
      <c r="N823" s="1"/>
      <c r="O823" s="1"/>
      <c r="Q823" s="1"/>
      <c r="R823" s="1"/>
      <c r="S823" s="1"/>
      <c r="T823" s="1"/>
      <c r="U823" s="1"/>
      <c r="V823" s="1"/>
      <c r="W823" s="1"/>
      <c r="X823" s="1"/>
    </row>
    <row r="824" ht="12.75" customHeight="1">
      <c r="A824" s="1"/>
      <c r="F824" s="8"/>
      <c r="G824" s="8"/>
      <c r="J824" s="1"/>
      <c r="N824" s="1"/>
      <c r="O824" s="1"/>
      <c r="Q824" s="1"/>
      <c r="R824" s="1"/>
      <c r="S824" s="1"/>
      <c r="T824" s="1"/>
      <c r="U824" s="1"/>
      <c r="V824" s="1"/>
      <c r="W824" s="1"/>
      <c r="X824" s="1"/>
    </row>
    <row r="825" ht="12.75" customHeight="1">
      <c r="A825" s="1"/>
      <c r="F825" s="8"/>
      <c r="G825" s="8"/>
      <c r="J825" s="1"/>
      <c r="N825" s="1"/>
      <c r="O825" s="1"/>
      <c r="Q825" s="1"/>
      <c r="R825" s="1"/>
      <c r="S825" s="1"/>
      <c r="T825" s="1"/>
      <c r="U825" s="1"/>
      <c r="V825" s="1"/>
      <c r="W825" s="1"/>
      <c r="X825" s="1"/>
    </row>
    <row r="826" ht="12.75" customHeight="1">
      <c r="A826" s="1"/>
      <c r="F826" s="8"/>
      <c r="G826" s="8"/>
      <c r="J826" s="1"/>
      <c r="N826" s="1"/>
      <c r="O826" s="1"/>
      <c r="Q826" s="1"/>
      <c r="R826" s="1"/>
      <c r="S826" s="1"/>
      <c r="T826" s="1"/>
      <c r="U826" s="1"/>
      <c r="V826" s="1"/>
      <c r="W826" s="1"/>
      <c r="X826" s="1"/>
    </row>
    <row r="827" ht="12.75" customHeight="1">
      <c r="A827" s="1"/>
      <c r="F827" s="8"/>
      <c r="G827" s="8"/>
      <c r="J827" s="1"/>
      <c r="N827" s="1"/>
      <c r="O827" s="1"/>
      <c r="Q827" s="1"/>
      <c r="R827" s="1"/>
      <c r="S827" s="1"/>
      <c r="T827" s="1"/>
      <c r="U827" s="1"/>
      <c r="V827" s="1"/>
      <c r="W827" s="1"/>
      <c r="X827" s="1"/>
    </row>
    <row r="828" ht="12.75" customHeight="1">
      <c r="A828" s="1"/>
      <c r="F828" s="8"/>
      <c r="G828" s="8"/>
      <c r="J828" s="1"/>
      <c r="N828" s="1"/>
      <c r="O828" s="1"/>
      <c r="Q828" s="1"/>
      <c r="R828" s="1"/>
      <c r="S828" s="1"/>
      <c r="T828" s="1"/>
      <c r="U828" s="1"/>
      <c r="V828" s="1"/>
      <c r="W828" s="1"/>
      <c r="X828" s="1"/>
    </row>
    <row r="829" ht="12.75" customHeight="1">
      <c r="A829" s="1"/>
      <c r="F829" s="8"/>
      <c r="G829" s="8"/>
      <c r="J829" s="1"/>
      <c r="N829" s="1"/>
      <c r="O829" s="1"/>
      <c r="Q829" s="1"/>
      <c r="R829" s="1"/>
      <c r="S829" s="1"/>
      <c r="T829" s="1"/>
      <c r="U829" s="1"/>
      <c r="V829" s="1"/>
      <c r="W829" s="1"/>
      <c r="X829" s="1"/>
    </row>
    <row r="830" ht="12.75" customHeight="1">
      <c r="A830" s="1"/>
      <c r="F830" s="8"/>
      <c r="G830" s="8"/>
      <c r="J830" s="1"/>
      <c r="N830" s="1"/>
      <c r="O830" s="1"/>
      <c r="Q830" s="1"/>
      <c r="R830" s="1"/>
      <c r="S830" s="1"/>
      <c r="T830" s="1"/>
      <c r="U830" s="1"/>
      <c r="V830" s="1"/>
      <c r="W830" s="1"/>
      <c r="X830" s="1"/>
    </row>
    <row r="831" ht="12.75" customHeight="1">
      <c r="A831" s="1"/>
      <c r="F831" s="8"/>
      <c r="G831" s="8"/>
      <c r="J831" s="1"/>
      <c r="N831" s="1"/>
      <c r="O831" s="1"/>
      <c r="Q831" s="1"/>
      <c r="R831" s="1"/>
      <c r="S831" s="1"/>
      <c r="T831" s="1"/>
      <c r="U831" s="1"/>
      <c r="V831" s="1"/>
      <c r="W831" s="1"/>
      <c r="X831" s="1"/>
    </row>
    <row r="832" ht="12.75" customHeight="1">
      <c r="A832" s="1"/>
      <c r="F832" s="8"/>
      <c r="G832" s="8"/>
      <c r="J832" s="1"/>
      <c r="N832" s="1"/>
      <c r="O832" s="1"/>
      <c r="Q832" s="1"/>
      <c r="R832" s="1"/>
      <c r="S832" s="1"/>
      <c r="T832" s="1"/>
      <c r="U832" s="1"/>
      <c r="V832" s="1"/>
      <c r="W832" s="1"/>
      <c r="X832" s="1"/>
    </row>
    <row r="833" ht="12.75" customHeight="1">
      <c r="A833" s="1"/>
      <c r="F833" s="8"/>
      <c r="G833" s="8"/>
      <c r="J833" s="1"/>
      <c r="N833" s="1"/>
      <c r="O833" s="1"/>
      <c r="Q833" s="1"/>
      <c r="R833" s="1"/>
      <c r="S833" s="1"/>
      <c r="T833" s="1"/>
      <c r="U833" s="1"/>
      <c r="V833" s="1"/>
      <c r="W833" s="1"/>
      <c r="X833" s="1"/>
    </row>
    <row r="834" ht="12.75" customHeight="1">
      <c r="A834" s="1"/>
      <c r="F834" s="8"/>
      <c r="G834" s="8"/>
      <c r="J834" s="1"/>
      <c r="N834" s="1"/>
      <c r="O834" s="1"/>
      <c r="Q834" s="1"/>
      <c r="R834" s="1"/>
      <c r="S834" s="1"/>
      <c r="T834" s="1"/>
      <c r="U834" s="1"/>
      <c r="V834" s="1"/>
      <c r="W834" s="1"/>
      <c r="X834" s="1"/>
    </row>
    <row r="835" ht="12.75" customHeight="1">
      <c r="A835" s="1"/>
      <c r="F835" s="8"/>
      <c r="G835" s="8"/>
      <c r="J835" s="1"/>
      <c r="N835" s="1"/>
      <c r="O835" s="1"/>
      <c r="Q835" s="1"/>
      <c r="R835" s="1"/>
      <c r="S835" s="1"/>
      <c r="T835" s="1"/>
      <c r="U835" s="1"/>
      <c r="V835" s="1"/>
      <c r="W835" s="1"/>
      <c r="X835" s="1"/>
    </row>
    <row r="836" ht="12.75" customHeight="1">
      <c r="A836" s="1"/>
      <c r="F836" s="8"/>
      <c r="G836" s="8"/>
      <c r="J836" s="1"/>
      <c r="N836" s="1"/>
      <c r="O836" s="1"/>
      <c r="Q836" s="1"/>
      <c r="R836" s="1"/>
      <c r="S836" s="1"/>
      <c r="T836" s="1"/>
      <c r="U836" s="1"/>
      <c r="V836" s="1"/>
      <c r="W836" s="1"/>
      <c r="X836" s="1"/>
    </row>
    <row r="837" ht="12.75" customHeight="1">
      <c r="A837" s="1"/>
      <c r="F837" s="8"/>
      <c r="G837" s="8"/>
      <c r="J837" s="1"/>
      <c r="N837" s="1"/>
      <c r="O837" s="1"/>
      <c r="Q837" s="1"/>
      <c r="R837" s="1"/>
      <c r="S837" s="1"/>
      <c r="T837" s="1"/>
      <c r="U837" s="1"/>
      <c r="V837" s="1"/>
      <c r="W837" s="1"/>
      <c r="X837" s="1"/>
    </row>
    <row r="838" ht="12.75" customHeight="1">
      <c r="A838" s="1"/>
      <c r="F838" s="8"/>
      <c r="G838" s="8"/>
      <c r="J838" s="1"/>
      <c r="N838" s="1"/>
      <c r="O838" s="1"/>
      <c r="Q838" s="1"/>
      <c r="R838" s="1"/>
      <c r="S838" s="1"/>
      <c r="T838" s="1"/>
      <c r="U838" s="1"/>
      <c r="V838" s="1"/>
      <c r="W838" s="1"/>
      <c r="X838" s="1"/>
    </row>
    <row r="839" ht="12.75" customHeight="1">
      <c r="A839" s="1"/>
      <c r="F839" s="8"/>
      <c r="G839" s="8"/>
      <c r="J839" s="1"/>
      <c r="N839" s="1"/>
      <c r="O839" s="1"/>
      <c r="Q839" s="1"/>
      <c r="R839" s="1"/>
      <c r="S839" s="1"/>
      <c r="T839" s="1"/>
      <c r="U839" s="1"/>
      <c r="V839" s="1"/>
      <c r="W839" s="1"/>
      <c r="X839" s="1"/>
    </row>
    <row r="840" ht="12.75" customHeight="1">
      <c r="A840" s="1"/>
      <c r="F840" s="8"/>
      <c r="G840" s="8"/>
      <c r="J840" s="1"/>
      <c r="N840" s="1"/>
      <c r="O840" s="1"/>
      <c r="Q840" s="1"/>
      <c r="R840" s="1"/>
      <c r="S840" s="1"/>
      <c r="T840" s="1"/>
      <c r="U840" s="1"/>
      <c r="V840" s="1"/>
      <c r="W840" s="1"/>
      <c r="X840" s="1"/>
    </row>
    <row r="841" ht="12.75" customHeight="1">
      <c r="A841" s="1"/>
      <c r="F841" s="8"/>
      <c r="G841" s="8"/>
      <c r="J841" s="1"/>
      <c r="N841" s="1"/>
      <c r="O841" s="1"/>
      <c r="Q841" s="1"/>
      <c r="R841" s="1"/>
      <c r="S841" s="1"/>
      <c r="T841" s="1"/>
      <c r="U841" s="1"/>
      <c r="V841" s="1"/>
      <c r="W841" s="1"/>
      <c r="X841" s="1"/>
    </row>
    <row r="842" ht="12.75" customHeight="1">
      <c r="A842" s="1"/>
      <c r="F842" s="8"/>
      <c r="G842" s="8"/>
      <c r="J842" s="1"/>
      <c r="N842" s="1"/>
      <c r="O842" s="1"/>
      <c r="Q842" s="1"/>
      <c r="R842" s="1"/>
      <c r="S842" s="1"/>
      <c r="T842" s="1"/>
      <c r="U842" s="1"/>
      <c r="V842" s="1"/>
      <c r="W842" s="1"/>
      <c r="X842" s="1"/>
    </row>
    <row r="843" ht="12.75" customHeight="1">
      <c r="A843" s="1"/>
      <c r="F843" s="8"/>
      <c r="G843" s="8"/>
      <c r="J843" s="1"/>
      <c r="N843" s="1"/>
      <c r="O843" s="1"/>
      <c r="Q843" s="1"/>
      <c r="R843" s="1"/>
      <c r="S843" s="1"/>
      <c r="T843" s="1"/>
      <c r="U843" s="1"/>
      <c r="V843" s="1"/>
      <c r="W843" s="1"/>
      <c r="X843" s="1"/>
    </row>
    <row r="844" ht="12.75" customHeight="1">
      <c r="A844" s="1"/>
      <c r="F844" s="8"/>
      <c r="G844" s="8"/>
      <c r="J844" s="1"/>
      <c r="N844" s="1"/>
      <c r="O844" s="1"/>
      <c r="Q844" s="1"/>
      <c r="R844" s="1"/>
      <c r="S844" s="1"/>
      <c r="T844" s="1"/>
      <c r="U844" s="1"/>
      <c r="V844" s="1"/>
      <c r="W844" s="1"/>
      <c r="X844" s="1"/>
    </row>
    <row r="845" ht="12.75" customHeight="1">
      <c r="A845" s="1"/>
      <c r="F845" s="8"/>
      <c r="G845" s="8"/>
      <c r="J845" s="1"/>
      <c r="N845" s="1"/>
      <c r="O845" s="1"/>
      <c r="Q845" s="1"/>
      <c r="R845" s="1"/>
      <c r="S845" s="1"/>
      <c r="T845" s="1"/>
      <c r="U845" s="1"/>
      <c r="V845" s="1"/>
      <c r="W845" s="1"/>
      <c r="X845" s="1"/>
    </row>
    <row r="846" ht="12.75" customHeight="1">
      <c r="A846" s="1"/>
      <c r="F846" s="8"/>
      <c r="G846" s="8"/>
      <c r="J846" s="1"/>
      <c r="N846" s="1"/>
      <c r="O846" s="1"/>
      <c r="Q846" s="1"/>
      <c r="R846" s="1"/>
      <c r="S846" s="1"/>
      <c r="T846" s="1"/>
      <c r="U846" s="1"/>
      <c r="V846" s="1"/>
      <c r="W846" s="1"/>
      <c r="X846" s="1"/>
    </row>
    <row r="847" ht="12.75" customHeight="1">
      <c r="A847" s="1"/>
      <c r="F847" s="8"/>
      <c r="G847" s="8"/>
      <c r="J847" s="1"/>
      <c r="N847" s="1"/>
      <c r="O847" s="1"/>
      <c r="Q847" s="1"/>
      <c r="R847" s="1"/>
      <c r="S847" s="1"/>
      <c r="T847" s="1"/>
      <c r="U847" s="1"/>
      <c r="V847" s="1"/>
      <c r="W847" s="1"/>
      <c r="X847" s="1"/>
    </row>
    <row r="848" ht="12.75" customHeight="1">
      <c r="A848" s="1"/>
      <c r="F848" s="8"/>
      <c r="G848" s="8"/>
      <c r="J848" s="1"/>
      <c r="N848" s="1"/>
      <c r="O848" s="1"/>
      <c r="Q848" s="1"/>
      <c r="R848" s="1"/>
      <c r="S848" s="1"/>
      <c r="T848" s="1"/>
      <c r="U848" s="1"/>
      <c r="V848" s="1"/>
      <c r="W848" s="1"/>
      <c r="X848" s="1"/>
    </row>
    <row r="849" ht="12.75" customHeight="1">
      <c r="A849" s="1"/>
      <c r="F849" s="8"/>
      <c r="G849" s="8"/>
      <c r="J849" s="1"/>
      <c r="N849" s="1"/>
      <c r="O849" s="1"/>
      <c r="Q849" s="1"/>
      <c r="R849" s="1"/>
      <c r="S849" s="1"/>
      <c r="T849" s="1"/>
      <c r="U849" s="1"/>
      <c r="V849" s="1"/>
      <c r="W849" s="1"/>
      <c r="X849" s="1"/>
    </row>
    <row r="850" ht="12.75" customHeight="1">
      <c r="A850" s="1"/>
      <c r="F850" s="8"/>
      <c r="G850" s="8"/>
      <c r="J850" s="1"/>
      <c r="N850" s="1"/>
      <c r="O850" s="1"/>
      <c r="Q850" s="1"/>
      <c r="R850" s="1"/>
      <c r="S850" s="1"/>
      <c r="T850" s="1"/>
      <c r="U850" s="1"/>
      <c r="V850" s="1"/>
      <c r="W850" s="1"/>
      <c r="X850" s="1"/>
    </row>
    <row r="851" ht="12.75" customHeight="1">
      <c r="A851" s="1"/>
      <c r="F851" s="8"/>
      <c r="G851" s="8"/>
      <c r="J851" s="1"/>
      <c r="N851" s="1"/>
      <c r="O851" s="1"/>
      <c r="Q851" s="1"/>
      <c r="R851" s="1"/>
      <c r="S851" s="1"/>
      <c r="T851" s="1"/>
      <c r="U851" s="1"/>
      <c r="V851" s="1"/>
      <c r="W851" s="1"/>
      <c r="X851" s="1"/>
    </row>
    <row r="852" ht="12.75" customHeight="1">
      <c r="A852" s="1"/>
      <c r="F852" s="8"/>
      <c r="G852" s="8"/>
      <c r="J852" s="1"/>
      <c r="N852" s="1"/>
      <c r="O852" s="1"/>
      <c r="Q852" s="1"/>
      <c r="R852" s="1"/>
      <c r="S852" s="1"/>
      <c r="T852" s="1"/>
      <c r="U852" s="1"/>
      <c r="V852" s="1"/>
      <c r="W852" s="1"/>
      <c r="X852" s="1"/>
    </row>
    <row r="853" ht="12.75" customHeight="1">
      <c r="A853" s="1"/>
      <c r="F853" s="8"/>
      <c r="G853" s="8"/>
      <c r="J853" s="1"/>
      <c r="N853" s="1"/>
      <c r="O853" s="1"/>
      <c r="Q853" s="1"/>
      <c r="R853" s="1"/>
      <c r="S853" s="1"/>
      <c r="T853" s="1"/>
      <c r="U853" s="1"/>
      <c r="V853" s="1"/>
      <c r="W853" s="1"/>
      <c r="X853" s="1"/>
    </row>
    <row r="854" ht="12.75" customHeight="1">
      <c r="A854" s="1"/>
      <c r="F854" s="8"/>
      <c r="G854" s="8"/>
      <c r="J854" s="1"/>
      <c r="N854" s="1"/>
      <c r="O854" s="1"/>
      <c r="Q854" s="1"/>
      <c r="R854" s="1"/>
      <c r="S854" s="1"/>
      <c r="T854" s="1"/>
      <c r="U854" s="1"/>
      <c r="V854" s="1"/>
      <c r="W854" s="1"/>
      <c r="X854" s="1"/>
    </row>
    <row r="855" ht="12.75" customHeight="1">
      <c r="A855" s="1"/>
      <c r="F855" s="8"/>
      <c r="G855" s="8"/>
      <c r="J855" s="1"/>
      <c r="N855" s="1"/>
      <c r="O855" s="1"/>
      <c r="Q855" s="1"/>
      <c r="R855" s="1"/>
      <c r="S855" s="1"/>
      <c r="T855" s="1"/>
      <c r="U855" s="1"/>
      <c r="V855" s="1"/>
      <c r="W855" s="1"/>
      <c r="X855" s="1"/>
    </row>
    <row r="856" ht="12.75" customHeight="1">
      <c r="A856" s="1"/>
      <c r="F856" s="8"/>
      <c r="G856" s="8"/>
      <c r="J856" s="1"/>
      <c r="N856" s="1"/>
      <c r="O856" s="1"/>
      <c r="Q856" s="1"/>
      <c r="R856" s="1"/>
      <c r="S856" s="1"/>
      <c r="T856" s="1"/>
      <c r="U856" s="1"/>
      <c r="V856" s="1"/>
      <c r="W856" s="1"/>
      <c r="X856" s="1"/>
    </row>
    <row r="857" ht="12.75" customHeight="1">
      <c r="A857" s="1"/>
      <c r="F857" s="8"/>
      <c r="G857" s="8"/>
      <c r="J857" s="1"/>
      <c r="N857" s="1"/>
      <c r="O857" s="1"/>
      <c r="Q857" s="1"/>
      <c r="R857" s="1"/>
      <c r="S857" s="1"/>
      <c r="T857" s="1"/>
      <c r="U857" s="1"/>
      <c r="V857" s="1"/>
      <c r="W857" s="1"/>
      <c r="X857" s="1"/>
    </row>
    <row r="858" ht="12.75" customHeight="1">
      <c r="A858" s="1"/>
      <c r="F858" s="8"/>
      <c r="G858" s="8"/>
      <c r="J858" s="1"/>
      <c r="N858" s="1"/>
      <c r="O858" s="1"/>
      <c r="Q858" s="1"/>
      <c r="R858" s="1"/>
      <c r="S858" s="1"/>
      <c r="T858" s="1"/>
      <c r="U858" s="1"/>
      <c r="V858" s="1"/>
      <c r="W858" s="1"/>
      <c r="X858" s="1"/>
    </row>
    <row r="859" ht="12.75" customHeight="1">
      <c r="A859" s="1"/>
      <c r="F859" s="8"/>
      <c r="G859" s="8"/>
      <c r="J859" s="1"/>
      <c r="N859" s="1"/>
      <c r="O859" s="1"/>
      <c r="Q859" s="1"/>
      <c r="R859" s="1"/>
      <c r="S859" s="1"/>
      <c r="T859" s="1"/>
      <c r="U859" s="1"/>
      <c r="V859" s="1"/>
      <c r="W859" s="1"/>
      <c r="X859" s="1"/>
    </row>
    <row r="860" ht="12.75" customHeight="1">
      <c r="A860" s="1"/>
      <c r="F860" s="8"/>
      <c r="G860" s="8"/>
      <c r="J860" s="1"/>
      <c r="N860" s="1"/>
      <c r="O860" s="1"/>
      <c r="Q860" s="1"/>
      <c r="R860" s="1"/>
      <c r="S860" s="1"/>
      <c r="T860" s="1"/>
      <c r="U860" s="1"/>
      <c r="V860" s="1"/>
      <c r="W860" s="1"/>
      <c r="X860" s="1"/>
    </row>
    <row r="861" ht="12.75" customHeight="1">
      <c r="A861" s="1"/>
      <c r="F861" s="8"/>
      <c r="G861" s="8"/>
      <c r="J861" s="1"/>
      <c r="N861" s="1"/>
      <c r="O861" s="1"/>
      <c r="Q861" s="1"/>
      <c r="R861" s="1"/>
      <c r="S861" s="1"/>
      <c r="T861" s="1"/>
      <c r="U861" s="1"/>
      <c r="V861" s="1"/>
      <c r="W861" s="1"/>
      <c r="X861" s="1"/>
    </row>
    <row r="862" ht="12.75" customHeight="1">
      <c r="A862" s="1"/>
      <c r="F862" s="8"/>
      <c r="G862" s="8"/>
      <c r="J862" s="1"/>
      <c r="N862" s="1"/>
      <c r="O862" s="1"/>
      <c r="Q862" s="1"/>
      <c r="R862" s="1"/>
      <c r="S862" s="1"/>
      <c r="T862" s="1"/>
      <c r="U862" s="1"/>
      <c r="V862" s="1"/>
      <c r="W862" s="1"/>
      <c r="X862" s="1"/>
    </row>
    <row r="863" ht="12.75" customHeight="1">
      <c r="A863" s="1"/>
      <c r="F863" s="8"/>
      <c r="G863" s="8"/>
      <c r="J863" s="1"/>
      <c r="N863" s="1"/>
      <c r="O863" s="1"/>
      <c r="Q863" s="1"/>
      <c r="R863" s="1"/>
      <c r="S863" s="1"/>
      <c r="T863" s="1"/>
      <c r="U863" s="1"/>
      <c r="V863" s="1"/>
      <c r="W863" s="1"/>
      <c r="X863" s="1"/>
    </row>
    <row r="864" ht="12.75" customHeight="1">
      <c r="A864" s="1"/>
      <c r="F864" s="8"/>
      <c r="G864" s="8"/>
      <c r="J864" s="1"/>
      <c r="N864" s="1"/>
      <c r="O864" s="1"/>
      <c r="Q864" s="1"/>
      <c r="R864" s="1"/>
      <c r="S864" s="1"/>
      <c r="T864" s="1"/>
      <c r="U864" s="1"/>
      <c r="V864" s="1"/>
      <c r="W864" s="1"/>
      <c r="X864" s="1"/>
    </row>
    <row r="865" ht="12.75" customHeight="1">
      <c r="A865" s="1"/>
      <c r="F865" s="8"/>
      <c r="G865" s="8"/>
      <c r="J865" s="1"/>
      <c r="N865" s="1"/>
      <c r="O865" s="1"/>
      <c r="Q865" s="1"/>
      <c r="R865" s="1"/>
      <c r="S865" s="1"/>
      <c r="T865" s="1"/>
      <c r="U865" s="1"/>
      <c r="V865" s="1"/>
      <c r="W865" s="1"/>
      <c r="X865" s="1"/>
    </row>
    <row r="866" ht="12.75" customHeight="1">
      <c r="A866" s="1"/>
      <c r="F866" s="8"/>
      <c r="G866" s="8"/>
      <c r="J866" s="1"/>
      <c r="N866" s="1"/>
      <c r="O866" s="1"/>
      <c r="Q866" s="1"/>
      <c r="R866" s="1"/>
      <c r="S866" s="1"/>
      <c r="T866" s="1"/>
      <c r="U866" s="1"/>
      <c r="V866" s="1"/>
      <c r="W866" s="1"/>
      <c r="X866" s="1"/>
    </row>
    <row r="867" ht="12.75" customHeight="1">
      <c r="A867" s="1"/>
      <c r="F867" s="8"/>
      <c r="G867" s="8"/>
      <c r="J867" s="1"/>
      <c r="N867" s="1"/>
      <c r="O867" s="1"/>
      <c r="Q867" s="1"/>
      <c r="R867" s="1"/>
      <c r="S867" s="1"/>
      <c r="T867" s="1"/>
      <c r="U867" s="1"/>
      <c r="V867" s="1"/>
      <c r="W867" s="1"/>
      <c r="X867" s="1"/>
    </row>
    <row r="868" ht="12.75" customHeight="1">
      <c r="A868" s="1"/>
      <c r="F868" s="8"/>
      <c r="G868" s="8"/>
      <c r="J868" s="1"/>
      <c r="N868" s="1"/>
      <c r="O868" s="1"/>
      <c r="Q868" s="1"/>
      <c r="R868" s="1"/>
      <c r="S868" s="1"/>
      <c r="T868" s="1"/>
      <c r="U868" s="1"/>
      <c r="V868" s="1"/>
      <c r="W868" s="1"/>
      <c r="X868" s="1"/>
    </row>
    <row r="869" ht="12.75" customHeight="1">
      <c r="A869" s="1"/>
      <c r="F869" s="8"/>
      <c r="G869" s="8"/>
      <c r="J869" s="1"/>
      <c r="N869" s="1"/>
      <c r="O869" s="1"/>
      <c r="Q869" s="1"/>
      <c r="R869" s="1"/>
      <c r="S869" s="1"/>
      <c r="T869" s="1"/>
      <c r="U869" s="1"/>
      <c r="V869" s="1"/>
      <c r="W869" s="1"/>
      <c r="X869" s="1"/>
    </row>
    <row r="870" ht="12.75" customHeight="1">
      <c r="A870" s="1"/>
      <c r="F870" s="8"/>
      <c r="G870" s="8"/>
      <c r="J870" s="1"/>
      <c r="N870" s="1"/>
      <c r="O870" s="1"/>
      <c r="Q870" s="1"/>
      <c r="R870" s="1"/>
      <c r="S870" s="1"/>
      <c r="T870" s="1"/>
      <c r="U870" s="1"/>
      <c r="V870" s="1"/>
      <c r="W870" s="1"/>
      <c r="X870" s="1"/>
    </row>
    <row r="871" ht="12.75" customHeight="1">
      <c r="A871" s="1"/>
      <c r="F871" s="8"/>
      <c r="G871" s="8"/>
      <c r="J871" s="1"/>
      <c r="N871" s="1"/>
      <c r="O871" s="1"/>
      <c r="Q871" s="1"/>
      <c r="R871" s="1"/>
      <c r="S871" s="1"/>
      <c r="T871" s="1"/>
      <c r="U871" s="1"/>
      <c r="V871" s="1"/>
      <c r="W871" s="1"/>
      <c r="X871" s="1"/>
    </row>
    <row r="872" ht="12.75" customHeight="1">
      <c r="A872" s="1"/>
      <c r="F872" s="8"/>
      <c r="G872" s="8"/>
      <c r="J872" s="1"/>
      <c r="N872" s="1"/>
      <c r="O872" s="1"/>
      <c r="Q872" s="1"/>
      <c r="R872" s="1"/>
      <c r="S872" s="1"/>
      <c r="T872" s="1"/>
      <c r="U872" s="1"/>
      <c r="V872" s="1"/>
      <c r="W872" s="1"/>
      <c r="X872" s="1"/>
    </row>
    <row r="873" ht="12.75" customHeight="1">
      <c r="A873" s="1"/>
      <c r="F873" s="8"/>
      <c r="G873" s="8"/>
      <c r="J873" s="1"/>
      <c r="N873" s="1"/>
      <c r="O873" s="1"/>
      <c r="Q873" s="1"/>
      <c r="R873" s="1"/>
      <c r="S873" s="1"/>
      <c r="T873" s="1"/>
      <c r="U873" s="1"/>
      <c r="V873" s="1"/>
      <c r="W873" s="1"/>
      <c r="X873" s="1"/>
    </row>
    <row r="874" ht="12.75" customHeight="1">
      <c r="A874" s="1"/>
      <c r="F874" s="8"/>
      <c r="G874" s="8"/>
      <c r="J874" s="1"/>
      <c r="N874" s="1"/>
      <c r="O874" s="1"/>
      <c r="Q874" s="1"/>
      <c r="R874" s="1"/>
      <c r="S874" s="1"/>
      <c r="T874" s="1"/>
      <c r="U874" s="1"/>
      <c r="V874" s="1"/>
      <c r="W874" s="1"/>
      <c r="X874" s="1"/>
    </row>
    <row r="875" ht="12.75" customHeight="1">
      <c r="A875" s="1"/>
      <c r="F875" s="8"/>
      <c r="G875" s="8"/>
      <c r="J875" s="1"/>
      <c r="N875" s="1"/>
      <c r="O875" s="1"/>
      <c r="Q875" s="1"/>
      <c r="R875" s="1"/>
      <c r="S875" s="1"/>
      <c r="T875" s="1"/>
      <c r="U875" s="1"/>
      <c r="V875" s="1"/>
      <c r="W875" s="1"/>
      <c r="X875" s="1"/>
    </row>
    <row r="876" ht="12.75" customHeight="1">
      <c r="A876" s="1"/>
      <c r="F876" s="8"/>
      <c r="G876" s="8"/>
      <c r="J876" s="1"/>
      <c r="N876" s="1"/>
      <c r="O876" s="1"/>
      <c r="Q876" s="1"/>
      <c r="R876" s="1"/>
      <c r="S876" s="1"/>
      <c r="T876" s="1"/>
      <c r="U876" s="1"/>
      <c r="V876" s="1"/>
      <c r="W876" s="1"/>
      <c r="X876" s="1"/>
    </row>
    <row r="877" ht="12.75" customHeight="1">
      <c r="A877" s="1"/>
      <c r="F877" s="8"/>
      <c r="G877" s="8"/>
      <c r="J877" s="1"/>
      <c r="N877" s="1"/>
      <c r="O877" s="1"/>
      <c r="Q877" s="1"/>
      <c r="R877" s="1"/>
      <c r="S877" s="1"/>
      <c r="T877" s="1"/>
      <c r="U877" s="1"/>
      <c r="V877" s="1"/>
      <c r="W877" s="1"/>
      <c r="X877" s="1"/>
    </row>
    <row r="878" ht="12.75" customHeight="1">
      <c r="A878" s="1"/>
      <c r="F878" s="8"/>
      <c r="G878" s="8"/>
      <c r="J878" s="1"/>
      <c r="N878" s="1"/>
      <c r="O878" s="1"/>
      <c r="Q878" s="1"/>
      <c r="R878" s="1"/>
      <c r="S878" s="1"/>
      <c r="T878" s="1"/>
      <c r="U878" s="1"/>
      <c r="V878" s="1"/>
      <c r="W878" s="1"/>
      <c r="X878" s="1"/>
    </row>
    <row r="879" ht="12.75" customHeight="1">
      <c r="A879" s="1"/>
      <c r="F879" s="8"/>
      <c r="G879" s="8"/>
      <c r="J879" s="1"/>
      <c r="N879" s="1"/>
      <c r="O879" s="1"/>
      <c r="Q879" s="1"/>
      <c r="R879" s="1"/>
      <c r="S879" s="1"/>
      <c r="T879" s="1"/>
      <c r="U879" s="1"/>
      <c r="V879" s="1"/>
      <c r="W879" s="1"/>
      <c r="X879" s="1"/>
    </row>
    <row r="880" ht="12.75" customHeight="1">
      <c r="A880" s="1"/>
      <c r="F880" s="8"/>
      <c r="G880" s="8"/>
      <c r="J880" s="1"/>
      <c r="N880" s="1"/>
      <c r="O880" s="1"/>
      <c r="Q880" s="1"/>
      <c r="R880" s="1"/>
      <c r="S880" s="1"/>
      <c r="T880" s="1"/>
      <c r="U880" s="1"/>
      <c r="V880" s="1"/>
      <c r="W880" s="1"/>
      <c r="X880" s="1"/>
    </row>
    <row r="881" ht="12.75" customHeight="1">
      <c r="A881" s="1"/>
      <c r="F881" s="8"/>
      <c r="G881" s="8"/>
      <c r="J881" s="1"/>
      <c r="N881" s="1"/>
      <c r="O881" s="1"/>
      <c r="Q881" s="1"/>
      <c r="R881" s="1"/>
      <c r="S881" s="1"/>
      <c r="T881" s="1"/>
      <c r="U881" s="1"/>
      <c r="V881" s="1"/>
      <c r="W881" s="1"/>
      <c r="X881" s="1"/>
    </row>
    <row r="882" ht="12.75" customHeight="1">
      <c r="A882" s="1"/>
      <c r="F882" s="8"/>
      <c r="G882" s="8"/>
      <c r="J882" s="1"/>
      <c r="N882" s="1"/>
      <c r="O882" s="1"/>
      <c r="Q882" s="1"/>
      <c r="R882" s="1"/>
      <c r="S882" s="1"/>
      <c r="T882" s="1"/>
      <c r="U882" s="1"/>
      <c r="V882" s="1"/>
      <c r="W882" s="1"/>
      <c r="X882" s="1"/>
    </row>
    <row r="883" ht="12.75" customHeight="1">
      <c r="A883" s="1"/>
      <c r="F883" s="8"/>
      <c r="G883" s="8"/>
      <c r="J883" s="1"/>
      <c r="N883" s="1"/>
      <c r="O883" s="1"/>
      <c r="Q883" s="1"/>
      <c r="R883" s="1"/>
      <c r="S883" s="1"/>
      <c r="T883" s="1"/>
      <c r="U883" s="1"/>
      <c r="V883" s="1"/>
      <c r="W883" s="1"/>
      <c r="X883" s="1"/>
    </row>
    <row r="884" ht="12.75" customHeight="1">
      <c r="A884" s="1"/>
      <c r="F884" s="8"/>
      <c r="G884" s="8"/>
      <c r="J884" s="1"/>
      <c r="N884" s="1"/>
      <c r="O884" s="1"/>
      <c r="Q884" s="1"/>
      <c r="R884" s="1"/>
      <c r="S884" s="1"/>
      <c r="T884" s="1"/>
      <c r="U884" s="1"/>
      <c r="V884" s="1"/>
      <c r="W884" s="1"/>
      <c r="X884" s="1"/>
    </row>
    <row r="885" ht="12.75" customHeight="1">
      <c r="A885" s="1"/>
      <c r="F885" s="8"/>
      <c r="G885" s="8"/>
      <c r="J885" s="1"/>
      <c r="N885" s="1"/>
      <c r="O885" s="1"/>
      <c r="Q885" s="1"/>
      <c r="R885" s="1"/>
      <c r="S885" s="1"/>
      <c r="T885" s="1"/>
      <c r="U885" s="1"/>
      <c r="V885" s="1"/>
      <c r="W885" s="1"/>
      <c r="X885" s="1"/>
    </row>
    <row r="886" ht="12.75" customHeight="1">
      <c r="A886" s="1"/>
      <c r="F886" s="8"/>
      <c r="G886" s="8"/>
      <c r="J886" s="1"/>
      <c r="N886" s="1"/>
      <c r="O886" s="1"/>
      <c r="Q886" s="1"/>
      <c r="R886" s="1"/>
      <c r="S886" s="1"/>
      <c r="T886" s="1"/>
      <c r="U886" s="1"/>
      <c r="V886" s="1"/>
      <c r="W886" s="1"/>
      <c r="X886" s="1"/>
    </row>
    <row r="887" ht="12.75" customHeight="1">
      <c r="A887" s="1"/>
      <c r="F887" s="8"/>
      <c r="G887" s="8"/>
      <c r="J887" s="1"/>
      <c r="N887" s="1"/>
      <c r="O887" s="1"/>
      <c r="Q887" s="1"/>
      <c r="R887" s="1"/>
      <c r="S887" s="1"/>
      <c r="T887" s="1"/>
      <c r="U887" s="1"/>
      <c r="V887" s="1"/>
      <c r="W887" s="1"/>
      <c r="X887" s="1"/>
    </row>
    <row r="888" ht="12.75" customHeight="1">
      <c r="A888" s="1"/>
      <c r="F888" s="8"/>
      <c r="G888" s="8"/>
      <c r="J888" s="1"/>
      <c r="N888" s="1"/>
      <c r="O888" s="1"/>
      <c r="Q888" s="1"/>
      <c r="R888" s="1"/>
      <c r="S888" s="1"/>
      <c r="T888" s="1"/>
      <c r="U888" s="1"/>
      <c r="V888" s="1"/>
      <c r="W888" s="1"/>
      <c r="X888" s="1"/>
    </row>
    <row r="889" ht="12.75" customHeight="1">
      <c r="A889" s="1"/>
      <c r="F889" s="8"/>
      <c r="G889" s="8"/>
      <c r="J889" s="1"/>
      <c r="N889" s="1"/>
      <c r="O889" s="1"/>
      <c r="Q889" s="1"/>
      <c r="R889" s="1"/>
      <c r="S889" s="1"/>
      <c r="T889" s="1"/>
      <c r="U889" s="1"/>
      <c r="V889" s="1"/>
      <c r="W889" s="1"/>
      <c r="X889" s="1"/>
    </row>
    <row r="890" ht="12.75" customHeight="1">
      <c r="A890" s="1"/>
      <c r="F890" s="8"/>
      <c r="G890" s="8"/>
      <c r="J890" s="1"/>
      <c r="N890" s="1"/>
      <c r="O890" s="1"/>
      <c r="Q890" s="1"/>
      <c r="R890" s="1"/>
      <c r="S890" s="1"/>
      <c r="T890" s="1"/>
      <c r="U890" s="1"/>
      <c r="V890" s="1"/>
      <c r="W890" s="1"/>
      <c r="X890" s="1"/>
    </row>
    <row r="891" ht="12.75" customHeight="1">
      <c r="A891" s="1"/>
      <c r="F891" s="8"/>
      <c r="G891" s="8"/>
      <c r="J891" s="1"/>
      <c r="N891" s="1"/>
      <c r="O891" s="1"/>
      <c r="Q891" s="1"/>
      <c r="R891" s="1"/>
      <c r="S891" s="1"/>
      <c r="T891" s="1"/>
      <c r="U891" s="1"/>
      <c r="V891" s="1"/>
      <c r="W891" s="1"/>
      <c r="X891" s="1"/>
    </row>
    <row r="892" ht="12.75" customHeight="1">
      <c r="A892" s="1"/>
      <c r="F892" s="8"/>
      <c r="G892" s="8"/>
      <c r="J892" s="1"/>
      <c r="N892" s="1"/>
      <c r="O892" s="1"/>
      <c r="Q892" s="1"/>
      <c r="R892" s="1"/>
      <c r="S892" s="1"/>
      <c r="T892" s="1"/>
      <c r="U892" s="1"/>
      <c r="V892" s="1"/>
      <c r="W892" s="1"/>
      <c r="X892" s="1"/>
    </row>
    <row r="893" ht="12.75" customHeight="1">
      <c r="A893" s="1"/>
      <c r="F893" s="8"/>
      <c r="G893" s="8"/>
      <c r="J893" s="1"/>
      <c r="N893" s="1"/>
      <c r="O893" s="1"/>
      <c r="Q893" s="1"/>
      <c r="R893" s="1"/>
      <c r="S893" s="1"/>
      <c r="T893" s="1"/>
      <c r="U893" s="1"/>
      <c r="V893" s="1"/>
      <c r="W893" s="1"/>
      <c r="X893" s="1"/>
    </row>
    <row r="894" ht="12.75" customHeight="1">
      <c r="A894" s="1"/>
      <c r="F894" s="8"/>
      <c r="G894" s="8"/>
      <c r="J894" s="1"/>
      <c r="N894" s="1"/>
      <c r="O894" s="1"/>
      <c r="Q894" s="1"/>
      <c r="R894" s="1"/>
      <c r="S894" s="1"/>
      <c r="T894" s="1"/>
      <c r="U894" s="1"/>
      <c r="V894" s="1"/>
      <c r="W894" s="1"/>
      <c r="X894" s="1"/>
    </row>
    <row r="895" ht="12.75" customHeight="1">
      <c r="A895" s="1"/>
      <c r="F895" s="8"/>
      <c r="G895" s="8"/>
      <c r="J895" s="1"/>
      <c r="N895" s="1"/>
      <c r="O895" s="1"/>
      <c r="Q895" s="1"/>
      <c r="R895" s="1"/>
      <c r="S895" s="1"/>
      <c r="T895" s="1"/>
      <c r="U895" s="1"/>
      <c r="V895" s="1"/>
      <c r="W895" s="1"/>
      <c r="X895" s="1"/>
    </row>
    <row r="896" ht="12.75" customHeight="1">
      <c r="A896" s="1"/>
      <c r="F896" s="8"/>
      <c r="G896" s="8"/>
      <c r="J896" s="1"/>
      <c r="N896" s="1"/>
      <c r="O896" s="1"/>
      <c r="Q896" s="1"/>
      <c r="R896" s="1"/>
      <c r="S896" s="1"/>
      <c r="T896" s="1"/>
      <c r="U896" s="1"/>
      <c r="V896" s="1"/>
      <c r="W896" s="1"/>
      <c r="X896" s="1"/>
    </row>
    <row r="897" ht="12.75" customHeight="1">
      <c r="A897" s="1"/>
      <c r="F897" s="8"/>
      <c r="G897" s="8"/>
      <c r="J897" s="1"/>
      <c r="N897" s="1"/>
      <c r="O897" s="1"/>
      <c r="Q897" s="1"/>
      <c r="R897" s="1"/>
      <c r="S897" s="1"/>
      <c r="T897" s="1"/>
      <c r="U897" s="1"/>
      <c r="V897" s="1"/>
      <c r="W897" s="1"/>
      <c r="X897" s="1"/>
    </row>
    <row r="898" ht="12.75" customHeight="1">
      <c r="A898" s="1"/>
      <c r="F898" s="8"/>
      <c r="G898" s="8"/>
      <c r="J898" s="1"/>
      <c r="N898" s="1"/>
      <c r="O898" s="1"/>
      <c r="Q898" s="1"/>
      <c r="R898" s="1"/>
      <c r="S898" s="1"/>
      <c r="T898" s="1"/>
      <c r="U898" s="1"/>
      <c r="V898" s="1"/>
      <c r="W898" s="1"/>
      <c r="X898" s="1"/>
    </row>
    <row r="899" ht="12.75" customHeight="1">
      <c r="A899" s="1"/>
      <c r="F899" s="8"/>
      <c r="G899" s="8"/>
      <c r="J899" s="1"/>
      <c r="N899" s="1"/>
      <c r="O899" s="1"/>
      <c r="Q899" s="1"/>
      <c r="R899" s="1"/>
      <c r="S899" s="1"/>
      <c r="T899" s="1"/>
      <c r="U899" s="1"/>
      <c r="V899" s="1"/>
      <c r="W899" s="1"/>
      <c r="X899" s="1"/>
    </row>
    <row r="900" ht="12.75" customHeight="1">
      <c r="A900" s="1"/>
      <c r="F900" s="8"/>
      <c r="G900" s="8"/>
      <c r="J900" s="1"/>
      <c r="N900" s="1"/>
      <c r="O900" s="1"/>
      <c r="Q900" s="1"/>
      <c r="R900" s="1"/>
      <c r="S900" s="1"/>
      <c r="T900" s="1"/>
      <c r="U900" s="1"/>
      <c r="V900" s="1"/>
      <c r="W900" s="1"/>
      <c r="X900" s="1"/>
    </row>
    <row r="901" ht="12.75" customHeight="1">
      <c r="A901" s="1"/>
      <c r="F901" s="8"/>
      <c r="G901" s="8"/>
      <c r="J901" s="1"/>
      <c r="N901" s="1"/>
      <c r="O901" s="1"/>
      <c r="Q901" s="1"/>
      <c r="R901" s="1"/>
      <c r="S901" s="1"/>
      <c r="T901" s="1"/>
      <c r="U901" s="1"/>
      <c r="V901" s="1"/>
      <c r="W901" s="1"/>
      <c r="X901" s="1"/>
    </row>
    <row r="902" ht="12.75" customHeight="1">
      <c r="A902" s="1"/>
      <c r="F902" s="8"/>
      <c r="G902" s="8"/>
      <c r="J902" s="1"/>
      <c r="N902" s="1"/>
      <c r="O902" s="1"/>
      <c r="Q902" s="1"/>
      <c r="R902" s="1"/>
      <c r="S902" s="1"/>
      <c r="T902" s="1"/>
      <c r="U902" s="1"/>
      <c r="V902" s="1"/>
      <c r="W902" s="1"/>
      <c r="X902" s="1"/>
    </row>
    <row r="903" ht="12.75" customHeight="1">
      <c r="A903" s="1"/>
      <c r="F903" s="8"/>
      <c r="G903" s="8"/>
      <c r="J903" s="1"/>
      <c r="N903" s="1"/>
      <c r="O903" s="1"/>
      <c r="Q903" s="1"/>
      <c r="R903" s="1"/>
      <c r="S903" s="1"/>
      <c r="T903" s="1"/>
      <c r="U903" s="1"/>
      <c r="V903" s="1"/>
      <c r="W903" s="1"/>
      <c r="X903" s="1"/>
    </row>
    <row r="904" ht="12.75" customHeight="1">
      <c r="A904" s="1"/>
      <c r="F904" s="8"/>
      <c r="G904" s="8"/>
      <c r="J904" s="1"/>
      <c r="N904" s="1"/>
      <c r="O904" s="1"/>
      <c r="Q904" s="1"/>
      <c r="R904" s="1"/>
      <c r="S904" s="1"/>
      <c r="T904" s="1"/>
      <c r="U904" s="1"/>
      <c r="V904" s="1"/>
      <c r="W904" s="1"/>
      <c r="X904" s="1"/>
    </row>
    <row r="905" ht="12.75" customHeight="1">
      <c r="A905" s="1"/>
      <c r="F905" s="8"/>
      <c r="G905" s="8"/>
      <c r="J905" s="1"/>
      <c r="N905" s="1"/>
      <c r="O905" s="1"/>
      <c r="Q905" s="1"/>
      <c r="R905" s="1"/>
      <c r="S905" s="1"/>
      <c r="T905" s="1"/>
      <c r="U905" s="1"/>
      <c r="V905" s="1"/>
      <c r="W905" s="1"/>
      <c r="X905" s="1"/>
    </row>
    <row r="906" ht="12.75" customHeight="1">
      <c r="A906" s="1"/>
      <c r="F906" s="8"/>
      <c r="G906" s="8"/>
      <c r="J906" s="1"/>
      <c r="N906" s="1"/>
      <c r="O906" s="1"/>
      <c r="Q906" s="1"/>
      <c r="R906" s="1"/>
      <c r="S906" s="1"/>
      <c r="T906" s="1"/>
      <c r="U906" s="1"/>
      <c r="V906" s="1"/>
      <c r="W906" s="1"/>
      <c r="X906" s="1"/>
    </row>
    <row r="907" ht="12.75" customHeight="1">
      <c r="A907" s="1"/>
      <c r="F907" s="8"/>
      <c r="G907" s="8"/>
      <c r="J907" s="1"/>
      <c r="N907" s="1"/>
      <c r="O907" s="1"/>
      <c r="Q907" s="1"/>
      <c r="R907" s="1"/>
      <c r="S907" s="1"/>
      <c r="T907" s="1"/>
      <c r="U907" s="1"/>
      <c r="V907" s="1"/>
      <c r="W907" s="1"/>
      <c r="X907" s="1"/>
    </row>
    <row r="908" ht="12.75" customHeight="1">
      <c r="A908" s="1"/>
      <c r="F908" s="8"/>
      <c r="G908" s="8"/>
      <c r="J908" s="1"/>
      <c r="N908" s="1"/>
      <c r="O908" s="1"/>
      <c r="Q908" s="1"/>
      <c r="R908" s="1"/>
      <c r="S908" s="1"/>
      <c r="T908" s="1"/>
      <c r="U908" s="1"/>
      <c r="V908" s="1"/>
      <c r="W908" s="1"/>
      <c r="X908" s="1"/>
    </row>
    <row r="909" ht="12.75" customHeight="1">
      <c r="A909" s="1"/>
      <c r="F909" s="8"/>
      <c r="G909" s="8"/>
      <c r="J909" s="1"/>
      <c r="N909" s="1"/>
      <c r="O909" s="1"/>
      <c r="Q909" s="1"/>
      <c r="R909" s="1"/>
      <c r="S909" s="1"/>
      <c r="T909" s="1"/>
      <c r="U909" s="1"/>
      <c r="V909" s="1"/>
      <c r="W909" s="1"/>
      <c r="X909" s="1"/>
    </row>
    <row r="910" ht="12.75" customHeight="1">
      <c r="A910" s="1"/>
      <c r="F910" s="8"/>
      <c r="G910" s="8"/>
      <c r="J910" s="1"/>
      <c r="N910" s="1"/>
      <c r="O910" s="1"/>
      <c r="Q910" s="1"/>
      <c r="R910" s="1"/>
      <c r="S910" s="1"/>
      <c r="T910" s="1"/>
      <c r="U910" s="1"/>
      <c r="V910" s="1"/>
      <c r="W910" s="1"/>
      <c r="X910" s="1"/>
    </row>
    <row r="911" ht="12.75" customHeight="1">
      <c r="A911" s="1"/>
      <c r="F911" s="8"/>
      <c r="G911" s="8"/>
      <c r="J911" s="1"/>
      <c r="N911" s="1"/>
      <c r="O911" s="1"/>
      <c r="Q911" s="1"/>
      <c r="R911" s="1"/>
      <c r="S911" s="1"/>
      <c r="T911" s="1"/>
      <c r="U911" s="1"/>
      <c r="V911" s="1"/>
      <c r="W911" s="1"/>
      <c r="X911" s="1"/>
    </row>
    <row r="912" ht="12.75" customHeight="1">
      <c r="A912" s="1"/>
      <c r="F912" s="8"/>
      <c r="G912" s="8"/>
      <c r="J912" s="1"/>
      <c r="N912" s="1"/>
      <c r="O912" s="1"/>
      <c r="Q912" s="1"/>
      <c r="R912" s="1"/>
      <c r="S912" s="1"/>
      <c r="T912" s="1"/>
      <c r="U912" s="1"/>
      <c r="V912" s="1"/>
      <c r="W912" s="1"/>
      <c r="X912" s="1"/>
    </row>
    <row r="913" ht="12.75" customHeight="1">
      <c r="A913" s="1"/>
      <c r="F913" s="8"/>
      <c r="G913" s="8"/>
      <c r="J913" s="1"/>
      <c r="N913" s="1"/>
      <c r="O913" s="1"/>
      <c r="Q913" s="1"/>
      <c r="R913" s="1"/>
      <c r="S913" s="1"/>
      <c r="T913" s="1"/>
      <c r="U913" s="1"/>
      <c r="V913" s="1"/>
      <c r="W913" s="1"/>
      <c r="X913" s="1"/>
    </row>
    <row r="914" ht="12.75" customHeight="1">
      <c r="A914" s="1"/>
      <c r="F914" s="8"/>
      <c r="G914" s="8"/>
      <c r="J914" s="1"/>
      <c r="N914" s="1"/>
      <c r="O914" s="1"/>
      <c r="Q914" s="1"/>
      <c r="R914" s="1"/>
      <c r="S914" s="1"/>
      <c r="T914" s="1"/>
      <c r="U914" s="1"/>
      <c r="V914" s="1"/>
      <c r="W914" s="1"/>
      <c r="X914" s="1"/>
    </row>
    <row r="915" ht="12.75" customHeight="1">
      <c r="A915" s="1"/>
      <c r="F915" s="8"/>
      <c r="G915" s="8"/>
      <c r="J915" s="1"/>
      <c r="N915" s="1"/>
      <c r="O915" s="1"/>
      <c r="Q915" s="1"/>
      <c r="R915" s="1"/>
      <c r="S915" s="1"/>
      <c r="T915" s="1"/>
      <c r="U915" s="1"/>
      <c r="V915" s="1"/>
      <c r="W915" s="1"/>
      <c r="X915" s="1"/>
    </row>
    <row r="916" ht="12.75" customHeight="1">
      <c r="A916" s="1"/>
      <c r="F916" s="8"/>
      <c r="G916" s="8"/>
      <c r="J916" s="1"/>
      <c r="N916" s="1"/>
      <c r="O916" s="1"/>
      <c r="Q916" s="1"/>
      <c r="R916" s="1"/>
      <c r="S916" s="1"/>
      <c r="T916" s="1"/>
      <c r="U916" s="1"/>
      <c r="V916" s="1"/>
      <c r="W916" s="1"/>
      <c r="X916" s="1"/>
    </row>
    <row r="917" ht="12.75" customHeight="1">
      <c r="A917" s="1"/>
      <c r="F917" s="8"/>
      <c r="G917" s="8"/>
      <c r="J917" s="1"/>
      <c r="N917" s="1"/>
      <c r="O917" s="1"/>
      <c r="Q917" s="1"/>
      <c r="R917" s="1"/>
      <c r="S917" s="1"/>
      <c r="T917" s="1"/>
      <c r="U917" s="1"/>
      <c r="V917" s="1"/>
      <c r="W917" s="1"/>
      <c r="X917" s="1"/>
    </row>
    <row r="918" ht="12.75" customHeight="1">
      <c r="A918" s="1"/>
      <c r="F918" s="8"/>
      <c r="G918" s="8"/>
      <c r="J918" s="1"/>
      <c r="N918" s="1"/>
      <c r="O918" s="1"/>
      <c r="Q918" s="1"/>
      <c r="R918" s="1"/>
      <c r="S918" s="1"/>
      <c r="T918" s="1"/>
      <c r="U918" s="1"/>
      <c r="V918" s="1"/>
      <c r="W918" s="1"/>
      <c r="X918" s="1"/>
    </row>
    <row r="919" ht="12.75" customHeight="1">
      <c r="A919" s="1"/>
      <c r="F919" s="8"/>
      <c r="G919" s="8"/>
      <c r="J919" s="1"/>
      <c r="N919" s="1"/>
      <c r="O919" s="1"/>
      <c r="Q919" s="1"/>
      <c r="R919" s="1"/>
      <c r="S919" s="1"/>
      <c r="T919" s="1"/>
      <c r="U919" s="1"/>
      <c r="V919" s="1"/>
      <c r="W919" s="1"/>
      <c r="X919" s="1"/>
    </row>
    <row r="920" ht="12.75" customHeight="1">
      <c r="A920" s="1"/>
      <c r="F920" s="8"/>
      <c r="G920" s="8"/>
      <c r="J920" s="1"/>
      <c r="N920" s="1"/>
      <c r="O920" s="1"/>
      <c r="Q920" s="1"/>
      <c r="R920" s="1"/>
      <c r="S920" s="1"/>
      <c r="T920" s="1"/>
      <c r="U920" s="1"/>
      <c r="V920" s="1"/>
      <c r="W920" s="1"/>
      <c r="X920" s="1"/>
    </row>
    <row r="921" ht="12.75" customHeight="1">
      <c r="A921" s="1"/>
      <c r="F921" s="8"/>
      <c r="G921" s="8"/>
      <c r="J921" s="1"/>
      <c r="N921" s="1"/>
      <c r="O921" s="1"/>
      <c r="Q921" s="1"/>
      <c r="R921" s="1"/>
      <c r="S921" s="1"/>
      <c r="T921" s="1"/>
      <c r="U921" s="1"/>
      <c r="V921" s="1"/>
      <c r="W921" s="1"/>
      <c r="X921" s="1"/>
    </row>
    <row r="922" ht="12.75" customHeight="1">
      <c r="A922" s="1"/>
      <c r="F922" s="8"/>
      <c r="G922" s="8"/>
      <c r="J922" s="1"/>
      <c r="N922" s="1"/>
      <c r="O922" s="1"/>
      <c r="Q922" s="1"/>
      <c r="R922" s="1"/>
      <c r="S922" s="1"/>
      <c r="T922" s="1"/>
      <c r="U922" s="1"/>
      <c r="V922" s="1"/>
      <c r="W922" s="1"/>
      <c r="X922" s="1"/>
    </row>
    <row r="923" ht="12.75" customHeight="1">
      <c r="A923" s="1"/>
      <c r="F923" s="8"/>
      <c r="G923" s="8"/>
      <c r="J923" s="1"/>
      <c r="N923" s="1"/>
      <c r="O923" s="1"/>
      <c r="Q923" s="1"/>
      <c r="R923" s="1"/>
      <c r="S923" s="1"/>
      <c r="T923" s="1"/>
      <c r="U923" s="1"/>
      <c r="V923" s="1"/>
      <c r="W923" s="1"/>
      <c r="X923" s="1"/>
    </row>
    <row r="924" ht="12.75" customHeight="1">
      <c r="A924" s="1"/>
      <c r="F924" s="8"/>
      <c r="G924" s="8"/>
      <c r="J924" s="1"/>
      <c r="N924" s="1"/>
      <c r="O924" s="1"/>
      <c r="Q924" s="1"/>
      <c r="R924" s="1"/>
      <c r="S924" s="1"/>
      <c r="T924" s="1"/>
      <c r="U924" s="1"/>
      <c r="V924" s="1"/>
      <c r="W924" s="1"/>
      <c r="X924" s="1"/>
    </row>
    <row r="925" ht="12.75" customHeight="1">
      <c r="A925" s="1"/>
      <c r="F925" s="8"/>
      <c r="G925" s="8"/>
      <c r="J925" s="1"/>
      <c r="N925" s="1"/>
      <c r="O925" s="1"/>
      <c r="Q925" s="1"/>
      <c r="R925" s="1"/>
      <c r="S925" s="1"/>
      <c r="T925" s="1"/>
      <c r="U925" s="1"/>
      <c r="V925" s="1"/>
      <c r="W925" s="1"/>
      <c r="X925" s="1"/>
    </row>
    <row r="926" ht="12.75" customHeight="1">
      <c r="A926" s="1"/>
      <c r="F926" s="8"/>
      <c r="G926" s="8"/>
      <c r="J926" s="1"/>
      <c r="N926" s="1"/>
      <c r="O926" s="1"/>
      <c r="Q926" s="1"/>
      <c r="R926" s="1"/>
      <c r="S926" s="1"/>
      <c r="T926" s="1"/>
      <c r="U926" s="1"/>
      <c r="V926" s="1"/>
      <c r="W926" s="1"/>
      <c r="X926" s="1"/>
    </row>
    <row r="927" ht="12.75" customHeight="1">
      <c r="A927" s="1"/>
      <c r="F927" s="8"/>
      <c r="G927" s="8"/>
      <c r="J927" s="1"/>
      <c r="N927" s="1"/>
      <c r="O927" s="1"/>
      <c r="Q927" s="1"/>
      <c r="R927" s="1"/>
      <c r="S927" s="1"/>
      <c r="T927" s="1"/>
      <c r="U927" s="1"/>
      <c r="V927" s="1"/>
      <c r="W927" s="1"/>
      <c r="X927" s="1"/>
    </row>
    <row r="928" ht="12.75" customHeight="1">
      <c r="A928" s="1"/>
      <c r="F928" s="8"/>
      <c r="G928" s="8"/>
      <c r="J928" s="1"/>
      <c r="N928" s="1"/>
      <c r="O928" s="1"/>
      <c r="Q928" s="1"/>
      <c r="R928" s="1"/>
      <c r="S928" s="1"/>
      <c r="T928" s="1"/>
      <c r="U928" s="1"/>
      <c r="V928" s="1"/>
      <c r="W928" s="1"/>
      <c r="X928" s="1"/>
    </row>
    <row r="929" ht="12.75" customHeight="1">
      <c r="A929" s="1"/>
      <c r="F929" s="8"/>
      <c r="G929" s="8"/>
      <c r="J929" s="1"/>
      <c r="N929" s="1"/>
      <c r="O929" s="1"/>
      <c r="Q929" s="1"/>
      <c r="R929" s="1"/>
      <c r="S929" s="1"/>
      <c r="T929" s="1"/>
      <c r="U929" s="1"/>
      <c r="V929" s="1"/>
      <c r="W929" s="1"/>
      <c r="X929" s="1"/>
    </row>
    <row r="930" ht="12.75" customHeight="1">
      <c r="A930" s="1"/>
      <c r="F930" s="8"/>
      <c r="G930" s="8"/>
      <c r="J930" s="1"/>
      <c r="N930" s="1"/>
      <c r="O930" s="1"/>
      <c r="Q930" s="1"/>
      <c r="R930" s="1"/>
      <c r="S930" s="1"/>
      <c r="T930" s="1"/>
      <c r="U930" s="1"/>
      <c r="V930" s="1"/>
      <c r="W930" s="1"/>
      <c r="X930" s="1"/>
    </row>
    <row r="931" ht="12.75" customHeight="1">
      <c r="A931" s="1"/>
      <c r="F931" s="8"/>
      <c r="G931" s="8"/>
      <c r="J931" s="1"/>
      <c r="N931" s="1"/>
      <c r="O931" s="1"/>
      <c r="Q931" s="1"/>
      <c r="R931" s="1"/>
      <c r="S931" s="1"/>
      <c r="T931" s="1"/>
      <c r="U931" s="1"/>
      <c r="V931" s="1"/>
      <c r="W931" s="1"/>
      <c r="X931" s="1"/>
    </row>
    <row r="932" ht="12.75" customHeight="1">
      <c r="A932" s="1"/>
      <c r="F932" s="8"/>
      <c r="G932" s="8"/>
      <c r="J932" s="1"/>
      <c r="N932" s="1"/>
      <c r="O932" s="1"/>
      <c r="Q932" s="1"/>
      <c r="R932" s="1"/>
      <c r="S932" s="1"/>
      <c r="T932" s="1"/>
      <c r="U932" s="1"/>
      <c r="V932" s="1"/>
      <c r="W932" s="1"/>
      <c r="X932" s="1"/>
    </row>
    <row r="933" ht="12.75" customHeight="1">
      <c r="A933" s="1"/>
      <c r="F933" s="8"/>
      <c r="G933" s="8"/>
      <c r="J933" s="1"/>
      <c r="N933" s="1"/>
      <c r="O933" s="1"/>
      <c r="Q933" s="1"/>
      <c r="R933" s="1"/>
      <c r="S933" s="1"/>
      <c r="T933" s="1"/>
      <c r="U933" s="1"/>
      <c r="V933" s="1"/>
      <c r="W933" s="1"/>
      <c r="X933" s="1"/>
    </row>
    <row r="934" ht="12.75" customHeight="1">
      <c r="A934" s="1"/>
      <c r="F934" s="8"/>
      <c r="G934" s="8"/>
      <c r="J934" s="1"/>
      <c r="N934" s="1"/>
      <c r="O934" s="1"/>
      <c r="Q934" s="1"/>
      <c r="R934" s="1"/>
      <c r="S934" s="1"/>
      <c r="T934" s="1"/>
      <c r="U934" s="1"/>
      <c r="V934" s="1"/>
      <c r="W934" s="1"/>
      <c r="X934" s="1"/>
    </row>
    <row r="935" ht="12.75" customHeight="1">
      <c r="A935" s="1"/>
      <c r="F935" s="8"/>
      <c r="G935" s="8"/>
      <c r="J935" s="1"/>
      <c r="N935" s="1"/>
      <c r="O935" s="1"/>
      <c r="Q935" s="1"/>
      <c r="R935" s="1"/>
      <c r="S935" s="1"/>
      <c r="T935" s="1"/>
      <c r="U935" s="1"/>
      <c r="V935" s="1"/>
      <c r="W935" s="1"/>
      <c r="X935" s="1"/>
    </row>
    <row r="936" ht="12.75" customHeight="1">
      <c r="A936" s="1"/>
      <c r="F936" s="8"/>
      <c r="G936" s="8"/>
      <c r="J936" s="1"/>
      <c r="N936" s="1"/>
      <c r="O936" s="1"/>
      <c r="Q936" s="1"/>
      <c r="R936" s="1"/>
      <c r="S936" s="1"/>
      <c r="T936" s="1"/>
      <c r="U936" s="1"/>
      <c r="V936" s="1"/>
      <c r="W936" s="1"/>
      <c r="X936" s="1"/>
    </row>
    <row r="937" ht="12.75" customHeight="1">
      <c r="A937" s="1"/>
      <c r="F937" s="8"/>
      <c r="G937" s="8"/>
      <c r="J937" s="1"/>
      <c r="N937" s="1"/>
      <c r="O937" s="1"/>
      <c r="Q937" s="1"/>
      <c r="R937" s="1"/>
      <c r="S937" s="1"/>
      <c r="T937" s="1"/>
      <c r="U937" s="1"/>
      <c r="V937" s="1"/>
      <c r="W937" s="1"/>
      <c r="X937" s="1"/>
    </row>
    <row r="938" ht="12.75" customHeight="1">
      <c r="A938" s="1"/>
      <c r="F938" s="8"/>
      <c r="G938" s="8"/>
      <c r="J938" s="1"/>
      <c r="N938" s="1"/>
      <c r="O938" s="1"/>
      <c r="Q938" s="1"/>
      <c r="R938" s="1"/>
      <c r="S938" s="1"/>
      <c r="T938" s="1"/>
      <c r="U938" s="1"/>
      <c r="V938" s="1"/>
      <c r="W938" s="1"/>
      <c r="X938" s="1"/>
    </row>
    <row r="939" ht="12.75" customHeight="1">
      <c r="A939" s="1"/>
      <c r="F939" s="8"/>
      <c r="G939" s="8"/>
      <c r="J939" s="1"/>
      <c r="N939" s="1"/>
      <c r="O939" s="1"/>
      <c r="Q939" s="1"/>
      <c r="R939" s="1"/>
      <c r="S939" s="1"/>
      <c r="T939" s="1"/>
      <c r="U939" s="1"/>
      <c r="V939" s="1"/>
      <c r="W939" s="1"/>
      <c r="X939" s="1"/>
    </row>
    <row r="940" ht="12.75" customHeight="1">
      <c r="A940" s="1"/>
      <c r="F940" s="8"/>
      <c r="G940" s="8"/>
      <c r="J940" s="1"/>
      <c r="N940" s="1"/>
      <c r="O940" s="1"/>
      <c r="Q940" s="1"/>
      <c r="R940" s="1"/>
      <c r="S940" s="1"/>
      <c r="T940" s="1"/>
      <c r="U940" s="1"/>
      <c r="V940" s="1"/>
      <c r="W940" s="1"/>
      <c r="X940" s="1"/>
    </row>
    <row r="941" ht="12.75" customHeight="1">
      <c r="A941" s="1"/>
      <c r="F941" s="8"/>
      <c r="G941" s="8"/>
      <c r="J941" s="1"/>
      <c r="N941" s="1"/>
      <c r="O941" s="1"/>
      <c r="Q941" s="1"/>
      <c r="R941" s="1"/>
      <c r="S941" s="1"/>
      <c r="T941" s="1"/>
      <c r="U941" s="1"/>
      <c r="V941" s="1"/>
      <c r="W941" s="1"/>
      <c r="X941" s="1"/>
    </row>
    <row r="942" ht="12.75" customHeight="1">
      <c r="A942" s="1"/>
      <c r="F942" s="8"/>
      <c r="G942" s="8"/>
      <c r="J942" s="1"/>
      <c r="N942" s="1"/>
      <c r="O942" s="1"/>
      <c r="Q942" s="1"/>
      <c r="R942" s="1"/>
      <c r="S942" s="1"/>
      <c r="T942" s="1"/>
      <c r="U942" s="1"/>
      <c r="V942" s="1"/>
      <c r="W942" s="1"/>
      <c r="X942" s="1"/>
    </row>
    <row r="943" ht="12.75" customHeight="1">
      <c r="A943" s="1"/>
      <c r="F943" s="8"/>
      <c r="G943" s="8"/>
      <c r="J943" s="1"/>
      <c r="N943" s="1"/>
      <c r="O943" s="1"/>
      <c r="Q943" s="1"/>
      <c r="R943" s="1"/>
      <c r="S943" s="1"/>
      <c r="T943" s="1"/>
      <c r="U943" s="1"/>
      <c r="V943" s="1"/>
      <c r="W943" s="1"/>
      <c r="X943" s="1"/>
    </row>
    <row r="944" ht="12.75" customHeight="1">
      <c r="A944" s="1"/>
      <c r="F944" s="8"/>
      <c r="G944" s="8"/>
      <c r="J944" s="1"/>
      <c r="N944" s="1"/>
      <c r="O944" s="1"/>
      <c r="Q944" s="1"/>
      <c r="R944" s="1"/>
      <c r="S944" s="1"/>
      <c r="T944" s="1"/>
      <c r="U944" s="1"/>
      <c r="V944" s="1"/>
      <c r="W944" s="1"/>
      <c r="X944" s="1"/>
    </row>
    <row r="945" ht="12.75" customHeight="1">
      <c r="A945" s="1"/>
      <c r="F945" s="8"/>
      <c r="G945" s="8"/>
      <c r="J945" s="1"/>
      <c r="N945" s="1"/>
      <c r="O945" s="1"/>
      <c r="Q945" s="1"/>
      <c r="R945" s="1"/>
      <c r="S945" s="1"/>
      <c r="T945" s="1"/>
      <c r="U945" s="1"/>
      <c r="V945" s="1"/>
      <c r="W945" s="1"/>
      <c r="X945" s="1"/>
    </row>
    <row r="946" ht="12.75" customHeight="1">
      <c r="A946" s="1"/>
      <c r="F946" s="8"/>
      <c r="G946" s="8"/>
      <c r="J946" s="1"/>
      <c r="N946" s="1"/>
      <c r="O946" s="1"/>
      <c r="Q946" s="1"/>
      <c r="R946" s="1"/>
      <c r="S946" s="1"/>
      <c r="T946" s="1"/>
      <c r="U946" s="1"/>
      <c r="V946" s="1"/>
      <c r="W946" s="1"/>
      <c r="X946" s="1"/>
    </row>
    <row r="947" ht="12.75" customHeight="1">
      <c r="A947" s="1"/>
      <c r="F947" s="8"/>
      <c r="G947" s="8"/>
      <c r="J947" s="1"/>
      <c r="N947" s="1"/>
      <c r="O947" s="1"/>
      <c r="Q947" s="1"/>
      <c r="R947" s="1"/>
      <c r="S947" s="1"/>
      <c r="T947" s="1"/>
      <c r="U947" s="1"/>
      <c r="V947" s="1"/>
      <c r="W947" s="1"/>
      <c r="X947" s="1"/>
    </row>
    <row r="948" ht="12.75" customHeight="1">
      <c r="A948" s="1"/>
      <c r="F948" s="8"/>
      <c r="G948" s="8"/>
      <c r="J948" s="1"/>
      <c r="N948" s="1"/>
      <c r="O948" s="1"/>
      <c r="Q948" s="1"/>
      <c r="R948" s="1"/>
      <c r="S948" s="1"/>
      <c r="T948" s="1"/>
      <c r="U948" s="1"/>
      <c r="V948" s="1"/>
      <c r="W948" s="1"/>
      <c r="X948" s="1"/>
    </row>
    <row r="949" ht="12.75" customHeight="1">
      <c r="A949" s="1"/>
      <c r="F949" s="8"/>
      <c r="G949" s="8"/>
      <c r="J949" s="1"/>
      <c r="N949" s="1"/>
      <c r="O949" s="1"/>
      <c r="Q949" s="1"/>
      <c r="R949" s="1"/>
      <c r="S949" s="1"/>
      <c r="T949" s="1"/>
      <c r="U949" s="1"/>
      <c r="V949" s="1"/>
      <c r="W949" s="1"/>
      <c r="X949" s="1"/>
    </row>
    <row r="950" ht="12.75" customHeight="1">
      <c r="A950" s="1"/>
      <c r="F950" s="8"/>
      <c r="G950" s="8"/>
      <c r="J950" s="1"/>
      <c r="N950" s="1"/>
      <c r="O950" s="1"/>
      <c r="Q950" s="1"/>
      <c r="R950" s="1"/>
      <c r="S950" s="1"/>
      <c r="T950" s="1"/>
      <c r="U950" s="1"/>
      <c r="V950" s="1"/>
      <c r="W950" s="1"/>
      <c r="X950" s="1"/>
    </row>
    <row r="951" ht="12.75" customHeight="1">
      <c r="A951" s="1"/>
      <c r="F951" s="8"/>
      <c r="G951" s="8"/>
      <c r="J951" s="1"/>
      <c r="N951" s="1"/>
      <c r="O951" s="1"/>
      <c r="Q951" s="1"/>
      <c r="R951" s="1"/>
      <c r="S951" s="1"/>
      <c r="T951" s="1"/>
      <c r="U951" s="1"/>
      <c r="V951" s="1"/>
      <c r="W951" s="1"/>
      <c r="X951" s="1"/>
    </row>
    <row r="952" ht="12.75" customHeight="1">
      <c r="A952" s="1"/>
      <c r="F952" s="8"/>
      <c r="G952" s="8"/>
      <c r="J952" s="1"/>
      <c r="N952" s="1"/>
      <c r="O952" s="1"/>
      <c r="Q952" s="1"/>
      <c r="R952" s="1"/>
      <c r="S952" s="1"/>
      <c r="T952" s="1"/>
      <c r="U952" s="1"/>
      <c r="V952" s="1"/>
      <c r="W952" s="1"/>
      <c r="X952" s="1"/>
    </row>
    <row r="953" ht="12.75" customHeight="1">
      <c r="A953" s="1"/>
      <c r="F953" s="8"/>
      <c r="G953" s="8"/>
      <c r="J953" s="1"/>
      <c r="N953" s="1"/>
      <c r="O953" s="1"/>
      <c r="Q953" s="1"/>
      <c r="R953" s="1"/>
      <c r="S953" s="1"/>
      <c r="T953" s="1"/>
      <c r="U953" s="1"/>
      <c r="V953" s="1"/>
      <c r="W953" s="1"/>
      <c r="X953" s="1"/>
    </row>
    <row r="954" ht="12.75" customHeight="1">
      <c r="A954" s="1"/>
      <c r="F954" s="8"/>
      <c r="G954" s="8"/>
      <c r="J954" s="1"/>
      <c r="N954" s="1"/>
      <c r="O954" s="1"/>
      <c r="Q954" s="1"/>
      <c r="R954" s="1"/>
      <c r="S954" s="1"/>
      <c r="T954" s="1"/>
      <c r="U954" s="1"/>
      <c r="V954" s="1"/>
      <c r="W954" s="1"/>
      <c r="X954" s="1"/>
    </row>
    <row r="955" ht="12.75" customHeight="1">
      <c r="A955" s="1"/>
      <c r="F955" s="8"/>
      <c r="G955" s="8"/>
      <c r="J955" s="1"/>
      <c r="N955" s="1"/>
      <c r="O955" s="1"/>
      <c r="Q955" s="1"/>
      <c r="R955" s="1"/>
      <c r="S955" s="1"/>
      <c r="T955" s="1"/>
      <c r="U955" s="1"/>
      <c r="V955" s="1"/>
      <c r="W955" s="1"/>
      <c r="X955" s="1"/>
    </row>
    <row r="956" ht="12.75" customHeight="1">
      <c r="A956" s="1"/>
      <c r="F956" s="8"/>
      <c r="G956" s="8"/>
      <c r="J956" s="1"/>
      <c r="N956" s="1"/>
      <c r="O956" s="1"/>
      <c r="Q956" s="1"/>
      <c r="R956" s="1"/>
      <c r="S956" s="1"/>
      <c r="T956" s="1"/>
      <c r="U956" s="1"/>
      <c r="V956" s="1"/>
      <c r="W956" s="1"/>
      <c r="X956" s="1"/>
    </row>
    <row r="957" ht="12.75" customHeight="1">
      <c r="A957" s="1"/>
      <c r="F957" s="8"/>
      <c r="G957" s="8"/>
      <c r="J957" s="1"/>
      <c r="N957" s="1"/>
      <c r="O957" s="1"/>
      <c r="Q957" s="1"/>
      <c r="R957" s="1"/>
      <c r="S957" s="1"/>
      <c r="T957" s="1"/>
      <c r="U957" s="1"/>
      <c r="V957" s="1"/>
      <c r="W957" s="1"/>
      <c r="X957" s="1"/>
    </row>
    <row r="958" ht="12.75" customHeight="1">
      <c r="A958" s="1"/>
      <c r="F958" s="8"/>
      <c r="G958" s="8"/>
      <c r="J958" s="1"/>
      <c r="N958" s="1"/>
      <c r="O958" s="1"/>
      <c r="Q958" s="1"/>
      <c r="R958" s="1"/>
      <c r="S958" s="1"/>
      <c r="T958" s="1"/>
      <c r="U958" s="1"/>
      <c r="V958" s="1"/>
      <c r="W958" s="1"/>
      <c r="X958" s="1"/>
    </row>
    <row r="959" ht="12.75" customHeight="1">
      <c r="A959" s="1"/>
      <c r="F959" s="8"/>
      <c r="G959" s="8"/>
      <c r="J959" s="1"/>
      <c r="N959" s="1"/>
      <c r="O959" s="1"/>
      <c r="Q959" s="1"/>
      <c r="R959" s="1"/>
      <c r="S959" s="1"/>
      <c r="T959" s="1"/>
      <c r="U959" s="1"/>
      <c r="V959" s="1"/>
      <c r="W959" s="1"/>
      <c r="X959" s="1"/>
    </row>
    <row r="960" ht="12.75" customHeight="1">
      <c r="A960" s="1"/>
      <c r="F960" s="8"/>
      <c r="G960" s="8"/>
      <c r="J960" s="1"/>
      <c r="N960" s="1"/>
      <c r="O960" s="1"/>
      <c r="Q960" s="1"/>
      <c r="R960" s="1"/>
      <c r="S960" s="1"/>
      <c r="T960" s="1"/>
      <c r="U960" s="1"/>
      <c r="V960" s="1"/>
      <c r="W960" s="1"/>
      <c r="X960" s="1"/>
    </row>
    <row r="961" ht="12.75" customHeight="1">
      <c r="A961" s="1"/>
      <c r="F961" s="8"/>
      <c r="G961" s="8"/>
      <c r="J961" s="1"/>
      <c r="N961" s="1"/>
      <c r="O961" s="1"/>
      <c r="Q961" s="1"/>
      <c r="R961" s="1"/>
      <c r="S961" s="1"/>
      <c r="T961" s="1"/>
      <c r="U961" s="1"/>
      <c r="V961" s="1"/>
      <c r="W961" s="1"/>
      <c r="X961" s="1"/>
    </row>
    <row r="962" ht="12.75" customHeight="1">
      <c r="A962" s="1"/>
      <c r="F962" s="8"/>
      <c r="G962" s="8"/>
      <c r="J962" s="1"/>
      <c r="N962" s="1"/>
      <c r="O962" s="1"/>
      <c r="Q962" s="1"/>
      <c r="R962" s="1"/>
      <c r="S962" s="1"/>
      <c r="T962" s="1"/>
      <c r="U962" s="1"/>
      <c r="V962" s="1"/>
      <c r="W962" s="1"/>
      <c r="X962" s="1"/>
    </row>
    <row r="963" ht="12.75" customHeight="1">
      <c r="A963" s="1"/>
      <c r="F963" s="8"/>
      <c r="G963" s="8"/>
      <c r="J963" s="1"/>
      <c r="N963" s="1"/>
      <c r="O963" s="1"/>
      <c r="Q963" s="1"/>
      <c r="R963" s="1"/>
      <c r="S963" s="1"/>
      <c r="T963" s="1"/>
      <c r="U963" s="1"/>
      <c r="V963" s="1"/>
      <c r="W963" s="1"/>
      <c r="X963" s="1"/>
    </row>
    <row r="964" ht="12.75" customHeight="1">
      <c r="A964" s="1"/>
      <c r="F964" s="8"/>
      <c r="G964" s="8"/>
      <c r="J964" s="1"/>
      <c r="N964" s="1"/>
      <c r="O964" s="1"/>
      <c r="Q964" s="1"/>
      <c r="R964" s="1"/>
      <c r="S964" s="1"/>
      <c r="T964" s="1"/>
      <c r="U964" s="1"/>
      <c r="V964" s="1"/>
      <c r="W964" s="1"/>
      <c r="X964" s="1"/>
    </row>
    <row r="965" ht="12.75" customHeight="1">
      <c r="A965" s="1"/>
      <c r="F965" s="8"/>
      <c r="G965" s="8"/>
      <c r="J965" s="1"/>
      <c r="N965" s="1"/>
      <c r="O965" s="1"/>
      <c r="Q965" s="1"/>
      <c r="R965" s="1"/>
      <c r="S965" s="1"/>
      <c r="T965" s="1"/>
      <c r="U965" s="1"/>
      <c r="V965" s="1"/>
      <c r="W965" s="1"/>
      <c r="X965" s="1"/>
    </row>
    <row r="966" ht="12.75" customHeight="1">
      <c r="A966" s="1"/>
      <c r="F966" s="8"/>
      <c r="G966" s="8"/>
      <c r="J966" s="1"/>
      <c r="N966" s="1"/>
      <c r="O966" s="1"/>
      <c r="Q966" s="1"/>
      <c r="R966" s="1"/>
      <c r="S966" s="1"/>
      <c r="T966" s="1"/>
      <c r="U966" s="1"/>
      <c r="V966" s="1"/>
      <c r="W966" s="1"/>
      <c r="X966" s="1"/>
    </row>
    <row r="967" ht="12.75" customHeight="1">
      <c r="A967" s="1"/>
      <c r="F967" s="8"/>
      <c r="G967" s="8"/>
      <c r="J967" s="1"/>
      <c r="N967" s="1"/>
      <c r="O967" s="1"/>
      <c r="Q967" s="1"/>
      <c r="R967" s="1"/>
      <c r="S967" s="1"/>
      <c r="T967" s="1"/>
      <c r="U967" s="1"/>
      <c r="V967" s="1"/>
      <c r="W967" s="1"/>
      <c r="X967" s="1"/>
    </row>
    <row r="968" ht="12.75" customHeight="1">
      <c r="A968" s="1"/>
      <c r="F968" s="8"/>
      <c r="G968" s="8"/>
      <c r="J968" s="1"/>
      <c r="N968" s="1"/>
      <c r="O968" s="1"/>
      <c r="Q968" s="1"/>
      <c r="R968" s="1"/>
      <c r="S968" s="1"/>
      <c r="T968" s="1"/>
      <c r="U968" s="1"/>
      <c r="V968" s="1"/>
      <c r="W968" s="1"/>
      <c r="X968" s="1"/>
    </row>
    <row r="969" ht="12.75" customHeight="1">
      <c r="A969" s="1"/>
      <c r="F969" s="8"/>
      <c r="G969" s="8"/>
      <c r="J969" s="1"/>
      <c r="N969" s="1"/>
      <c r="O969" s="1"/>
      <c r="Q969" s="1"/>
      <c r="R969" s="1"/>
      <c r="S969" s="1"/>
      <c r="T969" s="1"/>
      <c r="U969" s="1"/>
      <c r="V969" s="1"/>
      <c r="W969" s="1"/>
      <c r="X969" s="1"/>
    </row>
    <row r="970" ht="12.75" customHeight="1">
      <c r="A970" s="1"/>
      <c r="F970" s="8"/>
      <c r="G970" s="8"/>
      <c r="J970" s="1"/>
      <c r="N970" s="1"/>
      <c r="O970" s="1"/>
      <c r="Q970" s="1"/>
      <c r="R970" s="1"/>
      <c r="S970" s="1"/>
      <c r="T970" s="1"/>
      <c r="U970" s="1"/>
      <c r="V970" s="1"/>
      <c r="W970" s="1"/>
      <c r="X970" s="1"/>
    </row>
    <row r="971" ht="12.75" customHeight="1">
      <c r="A971" s="1"/>
      <c r="F971" s="8"/>
      <c r="G971" s="8"/>
      <c r="J971" s="1"/>
      <c r="N971" s="1"/>
      <c r="O971" s="1"/>
      <c r="Q971" s="1"/>
      <c r="R971" s="1"/>
      <c r="S971" s="1"/>
      <c r="T971" s="1"/>
      <c r="U971" s="1"/>
      <c r="V971" s="1"/>
      <c r="W971" s="1"/>
      <c r="X971" s="1"/>
    </row>
    <row r="972" ht="12.75" customHeight="1">
      <c r="A972" s="1"/>
      <c r="F972" s="8"/>
      <c r="G972" s="8"/>
      <c r="J972" s="1"/>
      <c r="N972" s="1"/>
      <c r="O972" s="1"/>
      <c r="Q972" s="1"/>
      <c r="R972" s="1"/>
      <c r="S972" s="1"/>
      <c r="T972" s="1"/>
      <c r="U972" s="1"/>
      <c r="V972" s="1"/>
      <c r="W972" s="1"/>
      <c r="X972" s="1"/>
    </row>
    <row r="973" ht="12.75" customHeight="1">
      <c r="A973" s="1"/>
      <c r="F973" s="8"/>
      <c r="G973" s="8"/>
      <c r="J973" s="1"/>
      <c r="N973" s="1"/>
      <c r="O973" s="1"/>
      <c r="Q973" s="1"/>
      <c r="R973" s="1"/>
      <c r="S973" s="1"/>
      <c r="T973" s="1"/>
      <c r="U973" s="1"/>
      <c r="V973" s="1"/>
      <c r="W973" s="1"/>
      <c r="X973" s="1"/>
    </row>
    <row r="974" ht="12.75" customHeight="1">
      <c r="A974" s="1"/>
      <c r="F974" s="8"/>
      <c r="G974" s="8"/>
      <c r="J974" s="1"/>
      <c r="N974" s="1"/>
      <c r="O974" s="1"/>
      <c r="Q974" s="1"/>
      <c r="R974" s="1"/>
      <c r="S974" s="1"/>
      <c r="T974" s="1"/>
      <c r="U974" s="1"/>
      <c r="V974" s="1"/>
      <c r="W974" s="1"/>
      <c r="X974" s="1"/>
    </row>
    <row r="975" ht="12.75" customHeight="1">
      <c r="A975" s="1"/>
      <c r="F975" s="8"/>
      <c r="G975" s="8"/>
      <c r="J975" s="1"/>
      <c r="N975" s="1"/>
      <c r="O975" s="1"/>
      <c r="Q975" s="1"/>
      <c r="R975" s="1"/>
      <c r="S975" s="1"/>
      <c r="T975" s="1"/>
      <c r="U975" s="1"/>
      <c r="V975" s="1"/>
      <c r="W975" s="1"/>
      <c r="X975" s="1"/>
    </row>
    <row r="976" ht="12.75" customHeight="1">
      <c r="A976" s="1"/>
      <c r="F976" s="8"/>
      <c r="G976" s="8"/>
      <c r="J976" s="1"/>
      <c r="N976" s="1"/>
      <c r="O976" s="1"/>
      <c r="Q976" s="1"/>
      <c r="R976" s="1"/>
      <c r="S976" s="1"/>
      <c r="T976" s="1"/>
      <c r="U976" s="1"/>
      <c r="V976" s="1"/>
      <c r="W976" s="1"/>
      <c r="X976" s="1"/>
    </row>
    <row r="977" ht="12.75" customHeight="1">
      <c r="A977" s="1"/>
      <c r="F977" s="8"/>
      <c r="G977" s="8"/>
      <c r="J977" s="1"/>
      <c r="N977" s="1"/>
      <c r="O977" s="1"/>
      <c r="Q977" s="1"/>
      <c r="R977" s="1"/>
      <c r="S977" s="1"/>
      <c r="T977" s="1"/>
      <c r="U977" s="1"/>
      <c r="V977" s="1"/>
      <c r="W977" s="1"/>
      <c r="X977" s="1"/>
    </row>
    <row r="978" ht="12.75" customHeight="1">
      <c r="A978" s="1"/>
      <c r="F978" s="8"/>
      <c r="G978" s="8"/>
      <c r="J978" s="1"/>
      <c r="N978" s="1"/>
      <c r="O978" s="1"/>
      <c r="Q978" s="1"/>
      <c r="R978" s="1"/>
      <c r="S978" s="1"/>
      <c r="T978" s="1"/>
      <c r="U978" s="1"/>
      <c r="V978" s="1"/>
      <c r="W978" s="1"/>
      <c r="X978" s="1"/>
    </row>
    <row r="979" ht="12.75" customHeight="1">
      <c r="A979" s="1"/>
      <c r="F979" s="8"/>
      <c r="G979" s="8"/>
      <c r="J979" s="1"/>
      <c r="N979" s="1"/>
      <c r="O979" s="1"/>
      <c r="Q979" s="1"/>
      <c r="R979" s="1"/>
      <c r="S979" s="1"/>
      <c r="T979" s="1"/>
      <c r="U979" s="1"/>
      <c r="V979" s="1"/>
      <c r="W979" s="1"/>
      <c r="X979" s="1"/>
    </row>
    <row r="980" ht="12.75" customHeight="1">
      <c r="A980" s="1"/>
      <c r="F980" s="8"/>
      <c r="G980" s="8"/>
      <c r="J980" s="1"/>
      <c r="N980" s="1"/>
      <c r="O980" s="1"/>
      <c r="Q980" s="1"/>
      <c r="R980" s="1"/>
      <c r="S980" s="1"/>
      <c r="T980" s="1"/>
      <c r="U980" s="1"/>
      <c r="V980" s="1"/>
      <c r="W980" s="1"/>
      <c r="X980" s="1"/>
    </row>
    <row r="981" ht="12.75" customHeight="1">
      <c r="A981" s="1"/>
      <c r="F981" s="8"/>
      <c r="G981" s="8"/>
      <c r="J981" s="1"/>
      <c r="N981" s="1"/>
      <c r="O981" s="1"/>
      <c r="Q981" s="1"/>
      <c r="R981" s="1"/>
      <c r="S981" s="1"/>
      <c r="T981" s="1"/>
      <c r="U981" s="1"/>
      <c r="V981" s="1"/>
      <c r="W981" s="1"/>
      <c r="X981" s="1"/>
    </row>
    <row r="982" ht="12.75" customHeight="1">
      <c r="A982" s="1"/>
      <c r="F982" s="8"/>
      <c r="G982" s="8"/>
      <c r="J982" s="1"/>
      <c r="N982" s="1"/>
      <c r="O982" s="1"/>
      <c r="Q982" s="1"/>
      <c r="R982" s="1"/>
      <c r="S982" s="1"/>
      <c r="T982" s="1"/>
      <c r="U982" s="1"/>
      <c r="V982" s="1"/>
      <c r="W982" s="1"/>
      <c r="X982" s="1"/>
    </row>
    <row r="983" ht="12.75" customHeight="1">
      <c r="A983" s="1"/>
      <c r="F983" s="8"/>
      <c r="G983" s="8"/>
      <c r="J983" s="1"/>
      <c r="N983" s="1"/>
      <c r="O983" s="1"/>
      <c r="Q983" s="1"/>
      <c r="R983" s="1"/>
      <c r="S983" s="1"/>
      <c r="T983" s="1"/>
      <c r="U983" s="1"/>
      <c r="V983" s="1"/>
      <c r="W983" s="1"/>
      <c r="X983" s="1"/>
    </row>
    <row r="984" ht="12.75" customHeight="1">
      <c r="A984" s="1"/>
      <c r="F984" s="8"/>
      <c r="G984" s="8"/>
      <c r="J984" s="1"/>
      <c r="N984" s="1"/>
      <c r="O984" s="1"/>
      <c r="Q984" s="1"/>
      <c r="R984" s="1"/>
      <c r="S984" s="1"/>
      <c r="T984" s="1"/>
      <c r="U984" s="1"/>
      <c r="V984" s="1"/>
      <c r="W984" s="1"/>
      <c r="X984" s="1"/>
    </row>
    <row r="985" ht="12.75" customHeight="1">
      <c r="A985" s="1"/>
      <c r="F985" s="8"/>
      <c r="G985" s="8"/>
      <c r="J985" s="1"/>
      <c r="N985" s="1"/>
      <c r="O985" s="1"/>
      <c r="Q985" s="1"/>
      <c r="R985" s="1"/>
      <c r="S985" s="1"/>
      <c r="T985" s="1"/>
      <c r="U985" s="1"/>
      <c r="V985" s="1"/>
      <c r="W985" s="1"/>
      <c r="X985" s="1"/>
    </row>
    <row r="986" ht="12.75" customHeight="1">
      <c r="A986" s="1"/>
      <c r="F986" s="8"/>
      <c r="G986" s="8"/>
      <c r="J986" s="1"/>
      <c r="N986" s="1"/>
      <c r="O986" s="1"/>
      <c r="Q986" s="1"/>
      <c r="R986" s="1"/>
      <c r="S986" s="1"/>
      <c r="T986" s="1"/>
      <c r="U986" s="1"/>
      <c r="V986" s="1"/>
      <c r="W986" s="1"/>
      <c r="X986" s="1"/>
    </row>
    <row r="987" ht="12.75" customHeight="1">
      <c r="A987" s="1"/>
      <c r="F987" s="8"/>
      <c r="G987" s="8"/>
      <c r="J987" s="1"/>
      <c r="N987" s="1"/>
      <c r="O987" s="1"/>
      <c r="Q987" s="1"/>
      <c r="R987" s="1"/>
      <c r="S987" s="1"/>
      <c r="T987" s="1"/>
      <c r="U987" s="1"/>
      <c r="V987" s="1"/>
      <c r="W987" s="1"/>
      <c r="X987" s="1"/>
    </row>
    <row r="988" ht="12.75" customHeight="1">
      <c r="A988" s="1"/>
      <c r="F988" s="8"/>
      <c r="G988" s="8"/>
      <c r="J988" s="1"/>
      <c r="N988" s="1"/>
      <c r="O988" s="1"/>
      <c r="Q988" s="1"/>
      <c r="R988" s="1"/>
      <c r="S988" s="1"/>
      <c r="T988" s="1"/>
      <c r="U988" s="1"/>
      <c r="V988" s="1"/>
      <c r="W988" s="1"/>
      <c r="X988" s="1"/>
    </row>
    <row r="989" ht="12.75" customHeight="1">
      <c r="A989" s="1"/>
      <c r="F989" s="8"/>
      <c r="G989" s="8"/>
      <c r="J989" s="1"/>
      <c r="N989" s="1"/>
      <c r="O989" s="1"/>
      <c r="Q989" s="1"/>
      <c r="R989" s="1"/>
      <c r="S989" s="1"/>
      <c r="T989" s="1"/>
      <c r="U989" s="1"/>
      <c r="V989" s="1"/>
      <c r="W989" s="1"/>
      <c r="X989" s="1"/>
    </row>
    <row r="990" ht="12.75" customHeight="1">
      <c r="A990" s="1"/>
      <c r="F990" s="8"/>
      <c r="G990" s="8"/>
      <c r="J990" s="1"/>
      <c r="N990" s="1"/>
      <c r="O990" s="1"/>
      <c r="Q990" s="1"/>
      <c r="R990" s="1"/>
      <c r="S990" s="1"/>
      <c r="T990" s="1"/>
      <c r="U990" s="1"/>
      <c r="V990" s="1"/>
      <c r="W990" s="1"/>
      <c r="X990" s="1"/>
    </row>
    <row r="991" ht="12.75" customHeight="1">
      <c r="A991" s="1"/>
      <c r="F991" s="8"/>
      <c r="G991" s="8"/>
      <c r="J991" s="1"/>
      <c r="N991" s="1"/>
      <c r="O991" s="1"/>
      <c r="Q991" s="1"/>
      <c r="R991" s="1"/>
      <c r="S991" s="1"/>
      <c r="T991" s="1"/>
      <c r="U991" s="1"/>
      <c r="V991" s="1"/>
      <c r="W991" s="1"/>
      <c r="X991" s="1"/>
    </row>
    <row r="992" ht="12.75" customHeight="1">
      <c r="A992" s="1"/>
      <c r="F992" s="8"/>
      <c r="G992" s="8"/>
      <c r="J992" s="1"/>
      <c r="N992" s="1"/>
      <c r="O992" s="1"/>
      <c r="Q992" s="1"/>
      <c r="R992" s="1"/>
      <c r="S992" s="1"/>
      <c r="T992" s="1"/>
      <c r="U992" s="1"/>
      <c r="V992" s="1"/>
      <c r="W992" s="1"/>
      <c r="X992" s="1"/>
    </row>
    <row r="993" ht="12.75" customHeight="1">
      <c r="A993" s="1"/>
      <c r="F993" s="8"/>
      <c r="G993" s="8"/>
      <c r="J993" s="1"/>
      <c r="N993" s="1"/>
      <c r="O993" s="1"/>
      <c r="Q993" s="1"/>
      <c r="R993" s="1"/>
      <c r="S993" s="1"/>
      <c r="T993" s="1"/>
      <c r="U993" s="1"/>
      <c r="V993" s="1"/>
      <c r="W993" s="1"/>
      <c r="X993" s="1"/>
    </row>
    <row r="994" ht="12.75" customHeight="1">
      <c r="A994" s="1"/>
      <c r="F994" s="8"/>
      <c r="G994" s="8"/>
      <c r="J994" s="1"/>
      <c r="N994" s="1"/>
      <c r="O994" s="1"/>
      <c r="Q994" s="1"/>
      <c r="R994" s="1"/>
      <c r="S994" s="1"/>
      <c r="T994" s="1"/>
      <c r="U994" s="1"/>
      <c r="V994" s="1"/>
      <c r="W994" s="1"/>
      <c r="X994" s="1"/>
    </row>
    <row r="995" ht="12.75" customHeight="1">
      <c r="A995" s="1"/>
      <c r="F995" s="8"/>
      <c r="G995" s="8"/>
      <c r="J995" s="1"/>
      <c r="N995" s="1"/>
      <c r="O995" s="1"/>
      <c r="Q995" s="1"/>
      <c r="R995" s="1"/>
      <c r="S995" s="1"/>
      <c r="T995" s="1"/>
      <c r="U995" s="1"/>
      <c r="V995" s="1"/>
      <c r="W995" s="1"/>
      <c r="X995" s="1"/>
    </row>
    <row r="996" ht="12.75" customHeight="1">
      <c r="A996" s="1"/>
      <c r="F996" s="8"/>
      <c r="G996" s="8"/>
      <c r="J996" s="1"/>
      <c r="N996" s="1"/>
      <c r="O996" s="1"/>
      <c r="Q996" s="1"/>
      <c r="R996" s="1"/>
      <c r="S996" s="1"/>
      <c r="T996" s="1"/>
      <c r="U996" s="1"/>
      <c r="V996" s="1"/>
      <c r="W996" s="1"/>
      <c r="X996" s="1"/>
    </row>
    <row r="997" ht="12.75" customHeight="1">
      <c r="A997" s="1"/>
      <c r="F997" s="8"/>
      <c r="G997" s="8"/>
      <c r="J997" s="1"/>
      <c r="N997" s="1"/>
      <c r="O997" s="1"/>
      <c r="Q997" s="1"/>
      <c r="R997" s="1"/>
      <c r="S997" s="1"/>
      <c r="T997" s="1"/>
      <c r="U997" s="1"/>
      <c r="V997" s="1"/>
      <c r="W997" s="1"/>
      <c r="X997" s="1"/>
    </row>
    <row r="998" ht="12.75" customHeight="1">
      <c r="A998" s="1"/>
      <c r="F998" s="8"/>
      <c r="G998" s="8"/>
      <c r="J998" s="1"/>
      <c r="N998" s="1"/>
      <c r="O998" s="1"/>
      <c r="Q998" s="1"/>
      <c r="R998" s="1"/>
      <c r="S998" s="1"/>
      <c r="T998" s="1"/>
      <c r="U998" s="1"/>
      <c r="V998" s="1"/>
      <c r="W998" s="1"/>
      <c r="X998" s="1"/>
    </row>
    <row r="999" ht="12.75" customHeight="1">
      <c r="A999" s="1"/>
      <c r="F999" s="8"/>
      <c r="G999" s="8"/>
      <c r="J999" s="1"/>
      <c r="N999" s="1"/>
      <c r="O999" s="1"/>
      <c r="Q999" s="1"/>
      <c r="R999" s="1"/>
      <c r="S999" s="1"/>
      <c r="T999" s="1"/>
      <c r="U999" s="1"/>
      <c r="V999" s="1"/>
      <c r="W999" s="1"/>
      <c r="X999" s="1"/>
    </row>
    <row r="1000" ht="12.75" customHeight="1">
      <c r="A1000" s="1"/>
      <c r="F1000" s="8"/>
      <c r="G1000" s="8"/>
      <c r="J1000" s="1"/>
      <c r="N1000" s="1"/>
      <c r="O1000" s="1"/>
      <c r="Q1000" s="1"/>
      <c r="R1000" s="1"/>
      <c r="S1000" s="1"/>
      <c r="T1000" s="1"/>
      <c r="U1000" s="1"/>
      <c r="V1000" s="1"/>
      <c r="W1000" s="1"/>
      <c r="X1000" s="1"/>
    </row>
  </sheetData>
  <mergeCells count="1">
    <mergeCell ref="G30:H30"/>
  </mergeCells>
  <dataValidations>
    <dataValidation type="list" allowBlank="1" showErrorMessage="1" sqref="F4:G4">
      <formula1>$A$39:$A$41</formula1>
    </dataValidation>
    <dataValidation type="list" allowBlank="1" showErrorMessage="1" sqref="F18:G18">
      <formula1>$I$31:$I$32</formula1>
    </dataValidation>
    <dataValidation type="list" allowBlank="1" showErrorMessage="1" sqref="F15:G15">
      <formula1>$I$22:$I$28</formula1>
    </dataValidation>
    <dataValidation type="list" allowBlank="1" showErrorMessage="1" sqref="F24:G24">
      <formula1>$E$42:$E$44</formula1>
    </dataValidation>
    <dataValidation type="list" allowBlank="1" showErrorMessage="1" sqref="F29:G29 F30">
      <formula1>$A$46:$A$48</formula1>
    </dataValidation>
  </dataValidation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2" width="8.0"/>
    <col customWidth="1" min="3" max="3" width="44.5"/>
    <col customWidth="1" min="4" max="4" width="19.5"/>
    <col customWidth="1" min="5" max="5" width="7.0"/>
    <col customWidth="1" min="6" max="6" width="6.75"/>
    <col customWidth="1" min="7" max="7" width="5.25"/>
    <col customWidth="1" min="8" max="8" width="12.75"/>
    <col customWidth="1" min="9" max="9" width="6.0"/>
    <col customWidth="1" min="10" max="10" width="5.5"/>
    <col customWidth="1" min="11" max="11" width="6.88"/>
    <col customWidth="1" min="12" max="12" width="8.13"/>
    <col customWidth="1" min="13" max="13" width="6.75"/>
    <col customWidth="1" min="14" max="14" width="0.13"/>
    <col customWidth="1" min="15" max="15" width="1.25"/>
    <col customWidth="1" min="16" max="16" width="21.13"/>
    <col customWidth="1" min="17" max="24" width="8.0"/>
    <col customWidth="1" min="25" max="25" width="9.0"/>
    <col customWidth="1" min="26" max="26" width="7.5"/>
    <col customWidth="1" min="27" max="33" width="7.0"/>
    <col customWidth="1" min="34" max="34" width="6.13"/>
    <col customWidth="1" min="35" max="35" width="23.13"/>
    <col customWidth="1" min="36" max="38" width="8.0"/>
    <col customWidth="1" min="39" max="43" width="7.5"/>
    <col customWidth="1" min="44" max="44" width="4.38"/>
    <col customWidth="1" min="45" max="47" width="6.63"/>
    <col customWidth="1" min="48" max="48" width="20.88"/>
    <col customWidth="1" min="49" max="49" width="15.5"/>
    <col customWidth="1" min="50" max="50" width="7.0"/>
    <col customWidth="1" min="51" max="51" width="5.25"/>
    <col customWidth="1" min="52" max="52" width="6.13"/>
    <col customWidth="1" min="53" max="53" width="8.75"/>
    <col customWidth="1" min="54" max="54" width="6.38"/>
    <col customWidth="1" min="55" max="59" width="6.5"/>
    <col customWidth="1" min="60" max="60" width="6.75"/>
    <col customWidth="1" min="61" max="61" width="21.0"/>
    <col customWidth="1" min="62" max="62" width="12.88"/>
    <col customWidth="1" min="63" max="63" width="9.75"/>
    <col customWidth="1" min="64" max="64" width="8.5"/>
    <col customWidth="1" min="65" max="65" width="11.88"/>
    <col customWidth="1" min="66" max="66" width="7.63"/>
    <col customWidth="1" min="67" max="67" width="3.38"/>
    <col customWidth="1" min="68" max="68" width="8.0"/>
    <col customWidth="1" min="69" max="77" width="7.75"/>
  </cols>
  <sheetData>
    <row r="1" ht="15.75" customHeight="1">
      <c r="A1" s="1" t="s">
        <v>69</v>
      </c>
      <c r="B1" s="1"/>
      <c r="C1" s="1"/>
      <c r="D1" s="1"/>
      <c r="E1" s="86"/>
      <c r="F1" s="86"/>
      <c r="G1" s="8"/>
      <c r="H1" s="1"/>
      <c r="I1" s="1"/>
      <c r="J1" s="1"/>
      <c r="K1" s="1"/>
      <c r="L1" s="86"/>
      <c r="M1" s="86"/>
      <c r="N1" s="1"/>
      <c r="O1" s="87"/>
      <c r="P1" s="88" t="s">
        <v>70</v>
      </c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89" t="s">
        <v>71</v>
      </c>
      <c r="AJ1" s="22"/>
      <c r="AK1" s="22"/>
      <c r="AL1" s="22"/>
      <c r="AM1" s="22"/>
      <c r="AN1" s="22"/>
      <c r="AO1" s="22"/>
      <c r="AP1" s="22"/>
      <c r="AQ1" s="22"/>
      <c r="AR1" s="22"/>
      <c r="AS1" s="90"/>
      <c r="AT1" s="91"/>
      <c r="AU1" s="91"/>
      <c r="AV1" s="92" t="s">
        <v>72</v>
      </c>
      <c r="AW1" s="93"/>
      <c r="AX1" s="93"/>
      <c r="AY1" s="93"/>
      <c r="AZ1" s="94" t="s">
        <v>73</v>
      </c>
      <c r="BA1" s="93"/>
      <c r="BB1" s="93"/>
      <c r="BC1" s="93"/>
      <c r="BD1" s="93"/>
      <c r="BE1" s="93"/>
      <c r="BF1" s="93"/>
      <c r="BG1" s="93"/>
      <c r="BH1" s="93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</row>
    <row r="2" ht="12.75" customHeight="1">
      <c r="A2" s="2"/>
      <c r="B2" s="2"/>
      <c r="C2" s="2"/>
      <c r="D2" s="2"/>
      <c r="E2" s="95"/>
      <c r="F2" s="95"/>
      <c r="G2" s="2"/>
      <c r="H2" s="2"/>
      <c r="I2" s="2"/>
      <c r="J2" s="2"/>
      <c r="K2" s="2"/>
      <c r="L2" s="95"/>
      <c r="M2" s="95"/>
      <c r="N2" s="2"/>
      <c r="O2" s="87"/>
      <c r="P2" s="88" t="s">
        <v>74</v>
      </c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89" t="s">
        <v>75</v>
      </c>
      <c r="AJ2" s="22"/>
      <c r="AK2" s="22"/>
      <c r="AL2" s="22"/>
      <c r="AM2" s="22"/>
      <c r="AN2" s="22"/>
      <c r="AO2" s="22"/>
      <c r="AP2" s="22"/>
      <c r="AQ2" s="22"/>
      <c r="AR2" s="22"/>
      <c r="AS2" s="90"/>
      <c r="AT2" s="91"/>
      <c r="AU2" s="91"/>
      <c r="AV2" s="96" t="s">
        <v>76</v>
      </c>
      <c r="AW2" s="97"/>
      <c r="AX2" s="97"/>
      <c r="AY2" s="97"/>
      <c r="AZ2" s="98" t="s">
        <v>77</v>
      </c>
      <c r="BA2" s="99" t="s">
        <v>78</v>
      </c>
      <c r="BB2" s="97"/>
      <c r="BC2" s="97"/>
      <c r="BD2" s="97"/>
      <c r="BE2" s="97"/>
      <c r="BF2" s="97"/>
      <c r="BG2" s="97"/>
      <c r="BH2" s="97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</row>
    <row r="3" ht="15.75" customHeight="1">
      <c r="A3" s="39" t="s">
        <v>79</v>
      </c>
      <c r="B3" s="1"/>
      <c r="C3" s="1"/>
      <c r="D3" s="1"/>
      <c r="E3" s="86"/>
      <c r="F3" s="86"/>
      <c r="G3" s="8"/>
      <c r="H3" s="39" t="s">
        <v>80</v>
      </c>
      <c r="I3" s="39"/>
      <c r="J3" s="1"/>
      <c r="K3" s="1"/>
      <c r="L3" s="86"/>
      <c r="M3" s="86"/>
      <c r="N3" s="1"/>
      <c r="O3" s="87"/>
      <c r="P3" s="88" t="s">
        <v>81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89" t="s">
        <v>82</v>
      </c>
      <c r="AJ3" s="22"/>
      <c r="AK3" s="22"/>
      <c r="AL3" s="22"/>
      <c r="AM3" s="22"/>
      <c r="AN3" s="22"/>
      <c r="AO3" s="22"/>
      <c r="AP3" s="22"/>
      <c r="AQ3" s="22"/>
      <c r="AR3" s="22"/>
      <c r="AS3" s="90"/>
      <c r="AT3" s="91"/>
      <c r="AU3" s="91"/>
      <c r="AV3" s="92" t="s">
        <v>83</v>
      </c>
      <c r="AW3" s="93"/>
      <c r="AX3" s="93"/>
      <c r="AY3" s="93"/>
      <c r="AZ3" s="100" t="s">
        <v>84</v>
      </c>
      <c r="BA3" s="101" t="s">
        <v>85</v>
      </c>
      <c r="BB3" s="93"/>
      <c r="BC3" s="93"/>
      <c r="BD3" s="93"/>
      <c r="BE3" s="93"/>
      <c r="BF3" s="93"/>
      <c r="BG3" s="93"/>
      <c r="BH3" s="93"/>
      <c r="BI3" s="102" t="s">
        <v>86</v>
      </c>
      <c r="BJ3" s="103" t="s">
        <v>74</v>
      </c>
      <c r="BK3" s="103" t="s">
        <v>87</v>
      </c>
      <c r="BL3" s="104" t="s">
        <v>88</v>
      </c>
      <c r="BM3" s="105" t="s">
        <v>89</v>
      </c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4" ht="12.75" customHeight="1">
      <c r="A4" s="106" t="s">
        <v>90</v>
      </c>
      <c r="B4" s="107" t="s">
        <v>91</v>
      </c>
      <c r="C4" s="107" t="s">
        <v>92</v>
      </c>
      <c r="D4" s="107" t="s">
        <v>93</v>
      </c>
      <c r="E4" s="108" t="s">
        <v>94</v>
      </c>
      <c r="F4" s="109" t="s">
        <v>95</v>
      </c>
      <c r="G4" s="39"/>
      <c r="H4" s="110" t="s">
        <v>90</v>
      </c>
      <c r="I4" s="111"/>
      <c r="J4" s="107" t="s">
        <v>91</v>
      </c>
      <c r="K4" s="107" t="s">
        <v>93</v>
      </c>
      <c r="L4" s="108" t="s">
        <v>96</v>
      </c>
      <c r="M4" s="109" t="s">
        <v>95</v>
      </c>
      <c r="N4" s="1"/>
      <c r="O4" s="87"/>
      <c r="P4" s="88" t="s">
        <v>97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89" t="s">
        <v>98</v>
      </c>
      <c r="AJ4" s="22"/>
      <c r="AK4" s="22"/>
      <c r="AL4" s="22"/>
      <c r="AM4" s="22"/>
      <c r="AN4" s="22"/>
      <c r="AO4" s="22"/>
      <c r="AP4" s="22"/>
      <c r="AQ4" s="22"/>
      <c r="AR4" s="22"/>
      <c r="AS4" s="90"/>
      <c r="AT4" s="91"/>
      <c r="AU4" s="91"/>
      <c r="AV4" s="92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112" t="s">
        <v>99</v>
      </c>
      <c r="BJ4" s="113">
        <v>5.0</v>
      </c>
      <c r="BK4" s="114">
        <v>10.0</v>
      </c>
      <c r="BL4" s="113">
        <v>20.0</v>
      </c>
      <c r="BM4" s="114">
        <v>20.0</v>
      </c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</row>
    <row r="5" ht="12.75" customHeight="1">
      <c r="A5" s="110">
        <v>1.0</v>
      </c>
      <c r="B5" s="1">
        <v>175.0</v>
      </c>
      <c r="C5" s="1">
        <v>25.0</v>
      </c>
      <c r="D5" s="1">
        <v>20.0</v>
      </c>
      <c r="E5" s="115">
        <v>220.0</v>
      </c>
      <c r="F5" s="115">
        <v>45.0</v>
      </c>
      <c r="G5" s="8"/>
      <c r="H5" s="116">
        <v>1.0</v>
      </c>
      <c r="I5" s="39"/>
      <c r="J5" s="1">
        <v>500.0</v>
      </c>
      <c r="K5" s="1">
        <v>20.0</v>
      </c>
      <c r="L5" s="115">
        <v>520.0</v>
      </c>
      <c r="M5" s="115">
        <v>400.0</v>
      </c>
      <c r="N5" s="1" t="str">
        <f t="shared" ref="N5:N22" si="1">IF(#REF!=H5,M5,0)</f>
        <v>#REF!</v>
      </c>
      <c r="O5" s="87"/>
      <c r="P5" s="88" t="s">
        <v>100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90"/>
      <c r="AT5" s="91"/>
      <c r="AU5" s="91"/>
      <c r="AV5" s="117"/>
      <c r="AW5" s="93" t="s">
        <v>3</v>
      </c>
      <c r="AX5" s="104" t="s">
        <v>5</v>
      </c>
      <c r="AY5" s="93"/>
      <c r="AZ5" s="93" t="s">
        <v>3</v>
      </c>
      <c r="BA5" s="118" t="s">
        <v>5</v>
      </c>
      <c r="BB5" s="93"/>
      <c r="BC5" s="93" t="s">
        <v>3</v>
      </c>
      <c r="BD5" s="119" t="s">
        <v>5</v>
      </c>
      <c r="BE5" s="93"/>
      <c r="BF5" s="93"/>
      <c r="BG5" s="93"/>
      <c r="BH5" s="93"/>
      <c r="BI5" s="120" t="s">
        <v>101</v>
      </c>
      <c r="BJ5" s="121">
        <v>7.0</v>
      </c>
      <c r="BK5" s="122">
        <v>15.0</v>
      </c>
      <c r="BL5" s="121">
        <v>30.0</v>
      </c>
      <c r="BM5" s="122">
        <v>10.0</v>
      </c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</row>
    <row r="6" ht="12.75" customHeight="1">
      <c r="A6" s="123">
        <f t="shared" ref="A6:A67" si="2">A5+1</f>
        <v>2</v>
      </c>
      <c r="B6" s="124">
        <v>175.0</v>
      </c>
      <c r="C6" s="124">
        <v>40.0</v>
      </c>
      <c r="D6" s="124">
        <f t="shared" ref="D6:D24" si="3">D5+20</f>
        <v>40</v>
      </c>
      <c r="E6" s="125">
        <v>255.0</v>
      </c>
      <c r="F6" s="125">
        <v>80.0</v>
      </c>
      <c r="G6" s="8"/>
      <c r="H6" s="123">
        <f t="shared" ref="H6:H67" si="4">H5+1</f>
        <v>2</v>
      </c>
      <c r="I6" s="126"/>
      <c r="J6" s="124">
        <v>500.0</v>
      </c>
      <c r="K6" s="124">
        <v>40.0</v>
      </c>
      <c r="L6" s="125">
        <f t="shared" ref="L6:L9" si="5">L5+20</f>
        <v>540</v>
      </c>
      <c r="M6" s="125">
        <v>400.0</v>
      </c>
      <c r="N6" s="1" t="str">
        <f t="shared" si="1"/>
        <v>#REF!</v>
      </c>
      <c r="O6" s="87"/>
      <c r="P6" s="88"/>
      <c r="Q6" s="127" t="s">
        <v>102</v>
      </c>
      <c r="R6" s="128"/>
      <c r="S6" s="129"/>
      <c r="T6" s="130"/>
      <c r="U6" s="127" t="s">
        <v>103</v>
      </c>
      <c r="V6" s="128"/>
      <c r="W6" s="129"/>
      <c r="X6" s="131"/>
      <c r="Y6" s="22"/>
      <c r="Z6" s="132" t="s">
        <v>104</v>
      </c>
      <c r="AA6" s="129"/>
      <c r="AB6" s="132" t="s">
        <v>105</v>
      </c>
      <c r="AC6" s="129"/>
      <c r="AD6" s="132" t="s">
        <v>106</v>
      </c>
      <c r="AE6" s="129"/>
      <c r="AF6" s="133" t="s">
        <v>87</v>
      </c>
      <c r="AG6" s="133"/>
      <c r="AH6" s="22"/>
      <c r="AI6" s="134"/>
      <c r="AJ6" s="127" t="s">
        <v>107</v>
      </c>
      <c r="AK6" s="128"/>
      <c r="AL6" s="129"/>
      <c r="AM6" s="130"/>
      <c r="AN6" s="135" t="s">
        <v>104</v>
      </c>
      <c r="AO6" s="129"/>
      <c r="AP6" s="135" t="s">
        <v>105</v>
      </c>
      <c r="AQ6" s="129"/>
      <c r="AR6" s="135" t="s">
        <v>106</v>
      </c>
      <c r="AS6" s="129"/>
      <c r="AT6" s="135" t="s">
        <v>84</v>
      </c>
      <c r="AU6" s="129"/>
      <c r="AV6" s="90"/>
      <c r="AW6" s="136" t="s">
        <v>108</v>
      </c>
      <c r="AX6" s="103" t="s">
        <v>74</v>
      </c>
      <c r="AY6" s="103" t="s">
        <v>74</v>
      </c>
      <c r="AZ6" s="137"/>
      <c r="BA6" s="103" t="s">
        <v>84</v>
      </c>
      <c r="BB6" s="103" t="s">
        <v>84</v>
      </c>
      <c r="BC6" s="137"/>
      <c r="BD6" s="104" t="s">
        <v>88</v>
      </c>
      <c r="BE6" s="104" t="s">
        <v>88</v>
      </c>
      <c r="BF6" s="93"/>
      <c r="BG6" s="93"/>
      <c r="BH6" s="93"/>
      <c r="BI6" s="138" t="s">
        <v>109</v>
      </c>
      <c r="BJ6" s="139">
        <v>13.0</v>
      </c>
      <c r="BK6" s="140">
        <v>25.0</v>
      </c>
      <c r="BL6" s="139">
        <v>50.0</v>
      </c>
      <c r="BM6" s="140">
        <v>60.0</v>
      </c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</row>
    <row r="7" ht="12.75" customHeight="1">
      <c r="A7" s="116">
        <f t="shared" si="2"/>
        <v>3</v>
      </c>
      <c r="B7" s="1">
        <v>175.0</v>
      </c>
      <c r="C7" s="1">
        <f t="shared" ref="C7:C24" si="6">C6+15</f>
        <v>55</v>
      </c>
      <c r="D7" s="1">
        <f t="shared" si="3"/>
        <v>60</v>
      </c>
      <c r="E7" s="141">
        <v>290.0</v>
      </c>
      <c r="F7" s="141">
        <v>115.0</v>
      </c>
      <c r="G7" s="8"/>
      <c r="H7" s="116">
        <f t="shared" si="4"/>
        <v>3</v>
      </c>
      <c r="I7" s="39"/>
      <c r="J7" s="1">
        <v>500.0</v>
      </c>
      <c r="K7" s="1">
        <v>60.0</v>
      </c>
      <c r="L7" s="141">
        <f t="shared" si="5"/>
        <v>560</v>
      </c>
      <c r="M7" s="141">
        <v>400.0</v>
      </c>
      <c r="N7" s="1" t="str">
        <f t="shared" si="1"/>
        <v>#REF!</v>
      </c>
      <c r="O7" s="142"/>
      <c r="P7" s="143" t="s">
        <v>110</v>
      </c>
      <c r="Q7" s="143" t="s">
        <v>74</v>
      </c>
      <c r="R7" s="143" t="s">
        <v>111</v>
      </c>
      <c r="S7" s="143" t="s">
        <v>112</v>
      </c>
      <c r="T7" s="143" t="s">
        <v>84</v>
      </c>
      <c r="U7" s="143" t="s">
        <v>74</v>
      </c>
      <c r="V7" s="143" t="s">
        <v>111</v>
      </c>
      <c r="W7" s="143" t="s">
        <v>112</v>
      </c>
      <c r="X7" s="143" t="s">
        <v>84</v>
      </c>
      <c r="Y7" s="143" t="s">
        <v>113</v>
      </c>
      <c r="Z7" s="143" t="s">
        <v>114</v>
      </c>
      <c r="AA7" s="143" t="s">
        <v>115</v>
      </c>
      <c r="AB7" s="143" t="s">
        <v>114</v>
      </c>
      <c r="AC7" s="143" t="s">
        <v>115</v>
      </c>
      <c r="AD7" s="143" t="s">
        <v>114</v>
      </c>
      <c r="AE7" s="143" t="s">
        <v>115</v>
      </c>
      <c r="AF7" s="143" t="s">
        <v>114</v>
      </c>
      <c r="AG7" s="143" t="s">
        <v>115</v>
      </c>
      <c r="AH7" s="88"/>
      <c r="AI7" s="144" t="s">
        <v>110</v>
      </c>
      <c r="AJ7" s="145" t="s">
        <v>74</v>
      </c>
      <c r="AK7" s="88" t="s">
        <v>111</v>
      </c>
      <c r="AL7" s="88" t="s">
        <v>112</v>
      </c>
      <c r="AM7" s="88" t="s">
        <v>84</v>
      </c>
      <c r="AN7" s="146" t="s">
        <v>116</v>
      </c>
      <c r="AO7" s="146" t="s">
        <v>117</v>
      </c>
      <c r="AP7" s="146" t="s">
        <v>116</v>
      </c>
      <c r="AQ7" s="146" t="s">
        <v>117</v>
      </c>
      <c r="AR7" s="146" t="s">
        <v>116</v>
      </c>
      <c r="AS7" s="146" t="s">
        <v>117</v>
      </c>
      <c r="AT7" s="146" t="s">
        <v>116</v>
      </c>
      <c r="AU7" s="146" t="s">
        <v>117</v>
      </c>
      <c r="AV7" s="90"/>
      <c r="AW7" s="147" t="s">
        <v>118</v>
      </c>
      <c r="AX7" s="114">
        <v>98.0</v>
      </c>
      <c r="AY7" s="113">
        <v>58.0</v>
      </c>
      <c r="AZ7" s="148"/>
      <c r="BA7" s="114">
        <v>155.0</v>
      </c>
      <c r="BB7" s="149">
        <v>65.0</v>
      </c>
      <c r="BC7" s="148"/>
      <c r="BD7" s="114">
        <v>220.0</v>
      </c>
      <c r="BE7" s="150">
        <v>120.0</v>
      </c>
      <c r="BF7" s="151"/>
      <c r="BG7" s="151"/>
      <c r="BH7" s="151"/>
      <c r="BI7" s="138" t="s">
        <v>119</v>
      </c>
      <c r="BJ7" s="139">
        <v>25.0</v>
      </c>
      <c r="BK7" s="140">
        <v>50.0</v>
      </c>
      <c r="BL7" s="139">
        <v>100.0</v>
      </c>
      <c r="BM7" s="140">
        <v>100.0</v>
      </c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</row>
    <row r="8" ht="12.75" customHeight="1">
      <c r="A8" s="123">
        <f t="shared" si="2"/>
        <v>4</v>
      </c>
      <c r="B8" s="124">
        <v>175.0</v>
      </c>
      <c r="C8" s="124">
        <f t="shared" si="6"/>
        <v>70</v>
      </c>
      <c r="D8" s="124">
        <f t="shared" si="3"/>
        <v>80</v>
      </c>
      <c r="E8" s="125">
        <v>325.0</v>
      </c>
      <c r="F8" s="125">
        <v>150.0</v>
      </c>
      <c r="G8" s="8"/>
      <c r="H8" s="123">
        <f t="shared" si="4"/>
        <v>4</v>
      </c>
      <c r="I8" s="126"/>
      <c r="J8" s="124">
        <v>500.0</v>
      </c>
      <c r="K8" s="124">
        <v>80.0</v>
      </c>
      <c r="L8" s="125">
        <f t="shared" si="5"/>
        <v>580</v>
      </c>
      <c r="M8" s="125">
        <v>400.0</v>
      </c>
      <c r="N8" s="1" t="str">
        <f t="shared" si="1"/>
        <v>#REF!</v>
      </c>
      <c r="O8" s="142"/>
      <c r="P8" s="143">
        <v>4.0</v>
      </c>
      <c r="Q8" s="152">
        <v>1.0</v>
      </c>
      <c r="R8" s="152">
        <v>1.0</v>
      </c>
      <c r="S8" s="152">
        <v>1.0</v>
      </c>
      <c r="T8" s="152">
        <v>1.0</v>
      </c>
      <c r="U8" s="152">
        <v>1.0</v>
      </c>
      <c r="V8" s="152">
        <v>1.0</v>
      </c>
      <c r="W8" s="152">
        <v>1.0</v>
      </c>
      <c r="X8" s="152">
        <v>1.0</v>
      </c>
      <c r="Y8" s="152">
        <v>1.0</v>
      </c>
      <c r="Z8" s="152">
        <v>205.0</v>
      </c>
      <c r="AA8" s="152">
        <v>70.0</v>
      </c>
      <c r="AB8" s="152">
        <v>205.0</v>
      </c>
      <c r="AC8" s="152">
        <v>70.0</v>
      </c>
      <c r="AD8" s="152">
        <v>225.0</v>
      </c>
      <c r="AE8" s="152">
        <v>90.0</v>
      </c>
      <c r="AF8" s="152">
        <v>275.0</v>
      </c>
      <c r="AG8" s="152">
        <v>130.0</v>
      </c>
      <c r="AH8" s="134"/>
      <c r="AI8" s="153">
        <v>4.0</v>
      </c>
      <c r="AJ8" s="88">
        <v>1.0</v>
      </c>
      <c r="AK8" s="88">
        <v>1.0</v>
      </c>
      <c r="AL8" s="88">
        <v>1.0</v>
      </c>
      <c r="AM8" s="88">
        <v>1.0</v>
      </c>
      <c r="AN8" s="88">
        <v>500.0</v>
      </c>
      <c r="AO8" s="88">
        <v>100.0</v>
      </c>
      <c r="AP8" s="134">
        <v>500.0</v>
      </c>
      <c r="AQ8" s="134">
        <v>100.0</v>
      </c>
      <c r="AR8" s="134">
        <v>520.0</v>
      </c>
      <c r="AS8" s="134">
        <v>120.0</v>
      </c>
      <c r="AT8" s="154">
        <v>600.0</v>
      </c>
      <c r="AU8" s="155">
        <v>175.0</v>
      </c>
      <c r="AV8" s="90"/>
      <c r="AW8" s="156" t="s">
        <v>120</v>
      </c>
      <c r="AX8" s="122">
        <v>143.0</v>
      </c>
      <c r="AY8" s="121">
        <v>63.0</v>
      </c>
      <c r="AZ8" s="148"/>
      <c r="BA8" s="122">
        <v>205.0</v>
      </c>
      <c r="BB8" s="157">
        <v>70.0</v>
      </c>
      <c r="BC8" s="148"/>
      <c r="BD8" s="122">
        <v>275.0</v>
      </c>
      <c r="BE8" s="158">
        <v>130.0</v>
      </c>
      <c r="BF8" s="159"/>
      <c r="BG8" s="159"/>
      <c r="BH8" s="159"/>
      <c r="BI8" s="120" t="s">
        <v>121</v>
      </c>
      <c r="BJ8" s="121">
        <v>35.0</v>
      </c>
      <c r="BK8" s="122">
        <v>70.0</v>
      </c>
      <c r="BL8" s="121">
        <v>140.0</v>
      </c>
      <c r="BM8" s="122">
        <v>125.0</v>
      </c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</row>
    <row r="9">
      <c r="A9" s="116">
        <f t="shared" si="2"/>
        <v>5</v>
      </c>
      <c r="B9" s="1">
        <v>175.0</v>
      </c>
      <c r="C9" s="1">
        <f t="shared" si="6"/>
        <v>85</v>
      </c>
      <c r="D9" s="1">
        <f t="shared" si="3"/>
        <v>100</v>
      </c>
      <c r="E9" s="141">
        <v>360.0</v>
      </c>
      <c r="F9" s="141">
        <v>185.0</v>
      </c>
      <c r="G9" s="8"/>
      <c r="H9" s="116">
        <f t="shared" si="4"/>
        <v>5</v>
      </c>
      <c r="I9" s="39"/>
      <c r="J9" s="1">
        <v>500.0</v>
      </c>
      <c r="K9" s="1">
        <v>100.0</v>
      </c>
      <c r="L9" s="141">
        <f t="shared" si="5"/>
        <v>600</v>
      </c>
      <c r="M9" s="141">
        <v>440.0</v>
      </c>
      <c r="N9" s="1" t="str">
        <f t="shared" si="1"/>
        <v>#REF!</v>
      </c>
      <c r="O9" s="142"/>
      <c r="P9" s="143">
        <v>8.0</v>
      </c>
      <c r="Q9" s="152">
        <v>1.0</v>
      </c>
      <c r="R9" s="152">
        <v>1.0</v>
      </c>
      <c r="S9" s="152">
        <v>1.0</v>
      </c>
      <c r="T9" s="152">
        <v>1.0</v>
      </c>
      <c r="U9" s="152">
        <v>1.0</v>
      </c>
      <c r="V9" s="152">
        <v>1.0</v>
      </c>
      <c r="W9" s="152">
        <v>1.0</v>
      </c>
      <c r="X9" s="152">
        <v>2.0</v>
      </c>
      <c r="Y9" s="152">
        <v>1.0</v>
      </c>
      <c r="Z9" s="152">
        <v>275.0</v>
      </c>
      <c r="AA9" s="152">
        <v>130.0</v>
      </c>
      <c r="AB9" s="152">
        <v>205.0</v>
      </c>
      <c r="AC9" s="152">
        <v>70.0</v>
      </c>
      <c r="AD9" s="152">
        <v>225.0</v>
      </c>
      <c r="AE9" s="152">
        <v>90.0</v>
      </c>
      <c r="AF9" s="152">
        <v>425.0</v>
      </c>
      <c r="AG9" s="152">
        <v>190.0</v>
      </c>
      <c r="AH9" s="134"/>
      <c r="AI9" s="153">
        <v>8.0</v>
      </c>
      <c r="AJ9" s="134">
        <v>1.0</v>
      </c>
      <c r="AK9" s="134">
        <v>1.0</v>
      </c>
      <c r="AL9" s="134">
        <v>1.0</v>
      </c>
      <c r="AM9" s="134">
        <v>2.0</v>
      </c>
      <c r="AN9" s="154">
        <v>600.0</v>
      </c>
      <c r="AO9" s="155">
        <v>175.0</v>
      </c>
      <c r="AP9" s="134">
        <v>500.0</v>
      </c>
      <c r="AQ9" s="134">
        <v>100.0</v>
      </c>
      <c r="AR9" s="134">
        <v>520.0</v>
      </c>
      <c r="AS9" s="134">
        <v>120.0</v>
      </c>
      <c r="AT9" s="160">
        <v>1020.0</v>
      </c>
      <c r="AU9" s="161">
        <v>355.0</v>
      </c>
      <c r="AV9" s="90"/>
      <c r="AW9" s="162" t="s">
        <v>122</v>
      </c>
      <c r="AX9" s="140">
        <v>188.0</v>
      </c>
      <c r="AY9" s="139">
        <v>68.0</v>
      </c>
      <c r="AZ9" s="148"/>
      <c r="BA9" s="140">
        <v>255.0</v>
      </c>
      <c r="BB9" s="163">
        <v>75.0</v>
      </c>
      <c r="BC9" s="148"/>
      <c r="BD9" s="140">
        <v>330.0</v>
      </c>
      <c r="BE9" s="164">
        <v>140.0</v>
      </c>
      <c r="BF9" s="151"/>
      <c r="BG9" s="151"/>
      <c r="BH9" s="151"/>
      <c r="BI9" s="165" t="s">
        <v>123</v>
      </c>
      <c r="BJ9" s="166">
        <v>45.0</v>
      </c>
      <c r="BK9" s="167">
        <v>100.0</v>
      </c>
      <c r="BL9" s="166">
        <v>200.0</v>
      </c>
      <c r="BM9" s="167">
        <v>180.0</v>
      </c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</row>
    <row r="10" ht="12.75" customHeight="1">
      <c r="A10" s="168">
        <f t="shared" si="2"/>
        <v>6</v>
      </c>
      <c r="B10" s="2">
        <v>175.0</v>
      </c>
      <c r="C10" s="2">
        <f t="shared" si="6"/>
        <v>100</v>
      </c>
      <c r="D10" s="2">
        <f t="shared" si="3"/>
        <v>120</v>
      </c>
      <c r="E10" s="169">
        <v>395.0</v>
      </c>
      <c r="F10" s="169">
        <v>220.0</v>
      </c>
      <c r="G10" s="8"/>
      <c r="H10" s="168">
        <f t="shared" si="4"/>
        <v>6</v>
      </c>
      <c r="I10" s="170"/>
      <c r="J10" s="2">
        <v>500.0</v>
      </c>
      <c r="K10" s="2">
        <f t="shared" ref="K10:L10" si="7">K9+20</f>
        <v>120</v>
      </c>
      <c r="L10" s="169">
        <f t="shared" si="7"/>
        <v>620</v>
      </c>
      <c r="M10" s="169">
        <v>495.0</v>
      </c>
      <c r="N10" s="2" t="str">
        <f t="shared" si="1"/>
        <v>#REF!</v>
      </c>
      <c r="O10" s="142"/>
      <c r="P10" s="143">
        <v>12.0</v>
      </c>
      <c r="Q10" s="152">
        <v>2.0</v>
      </c>
      <c r="R10" s="152">
        <v>1.0</v>
      </c>
      <c r="S10" s="152">
        <v>1.0</v>
      </c>
      <c r="T10" s="152">
        <v>2.0</v>
      </c>
      <c r="U10" s="152">
        <v>2.0</v>
      </c>
      <c r="V10" s="152">
        <v>1.0</v>
      </c>
      <c r="W10" s="152">
        <v>1.0</v>
      </c>
      <c r="X10" s="152">
        <v>3.0</v>
      </c>
      <c r="Y10" s="152">
        <v>1.0</v>
      </c>
      <c r="Z10" s="152">
        <v>350.0</v>
      </c>
      <c r="AA10" s="152">
        <v>160.0</v>
      </c>
      <c r="AB10" s="152">
        <v>275.0</v>
      </c>
      <c r="AC10" s="152">
        <v>130.0</v>
      </c>
      <c r="AD10" s="152">
        <v>295.0</v>
      </c>
      <c r="AE10" s="152">
        <v>150.0</v>
      </c>
      <c r="AF10" s="152">
        <v>615.0</v>
      </c>
      <c r="AG10" s="152">
        <v>285.0</v>
      </c>
      <c r="AH10" s="134"/>
      <c r="AI10" s="153">
        <f t="shared" ref="AI10:AI132" si="9">AI9+4</f>
        <v>12</v>
      </c>
      <c r="AJ10" s="134">
        <v>2.0</v>
      </c>
      <c r="AK10" s="134">
        <v>1.0</v>
      </c>
      <c r="AL10" s="134">
        <v>1.0</v>
      </c>
      <c r="AM10" s="134">
        <f t="shared" ref="AM10:AM132" si="10">AM9+1</f>
        <v>3</v>
      </c>
      <c r="AN10" s="160">
        <v>880.0</v>
      </c>
      <c r="AO10" s="161">
        <v>265.0</v>
      </c>
      <c r="AP10" s="134">
        <v>600.0</v>
      </c>
      <c r="AQ10" s="134">
        <v>175.0</v>
      </c>
      <c r="AR10" s="134">
        <v>640.0</v>
      </c>
      <c r="AS10" s="134">
        <v>215.0</v>
      </c>
      <c r="AT10" s="160">
        <v>1440.0</v>
      </c>
      <c r="AU10" s="161">
        <v>525.0</v>
      </c>
      <c r="AV10" s="90"/>
      <c r="AW10" s="171" t="s">
        <v>124</v>
      </c>
      <c r="AX10" s="167">
        <v>234.0</v>
      </c>
      <c r="AY10" s="166">
        <v>73.0</v>
      </c>
      <c r="AZ10" s="172"/>
      <c r="BA10" s="167">
        <v>305.0</v>
      </c>
      <c r="BB10" s="173">
        <v>80.0</v>
      </c>
      <c r="BC10" s="172"/>
      <c r="BD10" s="167">
        <v>385.0</v>
      </c>
      <c r="BE10" s="174">
        <v>150.0</v>
      </c>
      <c r="BF10" s="175"/>
      <c r="BG10" s="175"/>
      <c r="BH10" s="175"/>
      <c r="BI10" s="120" t="s">
        <v>125</v>
      </c>
      <c r="BJ10" s="121">
        <v>90.0</v>
      </c>
      <c r="BK10" s="122">
        <v>180.0</v>
      </c>
      <c r="BL10" s="121">
        <v>360.0</v>
      </c>
      <c r="BM10" s="122">
        <v>360.0</v>
      </c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</row>
    <row r="11" ht="12.75" customHeight="1">
      <c r="A11" s="116">
        <f t="shared" si="2"/>
        <v>7</v>
      </c>
      <c r="B11" s="1">
        <v>175.0</v>
      </c>
      <c r="C11" s="1">
        <f t="shared" si="6"/>
        <v>115</v>
      </c>
      <c r="D11" s="1">
        <f t="shared" si="3"/>
        <v>140</v>
      </c>
      <c r="E11" s="141">
        <v>430.0</v>
      </c>
      <c r="F11" s="141">
        <v>255.0</v>
      </c>
      <c r="G11" s="8"/>
      <c r="H11" s="116">
        <f t="shared" si="4"/>
        <v>7</v>
      </c>
      <c r="I11" s="39"/>
      <c r="J11" s="1">
        <v>500.0</v>
      </c>
      <c r="K11" s="1">
        <f t="shared" ref="K11:L11" si="8">K10+20</f>
        <v>140</v>
      </c>
      <c r="L11" s="141">
        <f t="shared" si="8"/>
        <v>640</v>
      </c>
      <c r="M11" s="141">
        <v>550.0</v>
      </c>
      <c r="N11" s="1" t="str">
        <f t="shared" si="1"/>
        <v>#REF!</v>
      </c>
      <c r="O11" s="142"/>
      <c r="P11" s="143">
        <v>16.0</v>
      </c>
      <c r="Q11" s="152">
        <v>1.0</v>
      </c>
      <c r="R11" s="152">
        <v>1.0</v>
      </c>
      <c r="S11" s="152">
        <v>1.0</v>
      </c>
      <c r="T11" s="152">
        <v>2.0</v>
      </c>
      <c r="U11" s="152">
        <v>2.0</v>
      </c>
      <c r="V11" s="152">
        <v>1.0</v>
      </c>
      <c r="W11" s="152">
        <v>1.0</v>
      </c>
      <c r="X11" s="152">
        <v>4.0</v>
      </c>
      <c r="Y11" s="152">
        <v>1.0</v>
      </c>
      <c r="Z11" s="152">
        <v>425.0</v>
      </c>
      <c r="AA11" s="152">
        <v>190.0</v>
      </c>
      <c r="AB11" s="152">
        <v>275.0</v>
      </c>
      <c r="AC11" s="152">
        <v>130.0</v>
      </c>
      <c r="AD11" s="152">
        <v>295.0</v>
      </c>
      <c r="AE11" s="152">
        <v>150.0</v>
      </c>
      <c r="AF11" s="152">
        <v>765.0</v>
      </c>
      <c r="AG11" s="152">
        <v>380.0</v>
      </c>
      <c r="AH11" s="134"/>
      <c r="AI11" s="153">
        <f t="shared" si="9"/>
        <v>16</v>
      </c>
      <c r="AJ11" s="134">
        <v>2.0</v>
      </c>
      <c r="AK11" s="134">
        <v>1.0</v>
      </c>
      <c r="AL11" s="134">
        <v>1.0</v>
      </c>
      <c r="AM11" s="134">
        <f t="shared" si="10"/>
        <v>4</v>
      </c>
      <c r="AN11" s="160">
        <v>1020.0</v>
      </c>
      <c r="AO11" s="161">
        <v>350.0</v>
      </c>
      <c r="AP11" s="134">
        <v>600.0</v>
      </c>
      <c r="AQ11" s="134">
        <v>175.0</v>
      </c>
      <c r="AR11" s="134">
        <v>640.0</v>
      </c>
      <c r="AS11" s="134">
        <v>215.0</v>
      </c>
      <c r="AT11" s="160">
        <v>1860.0</v>
      </c>
      <c r="AU11" s="161">
        <v>700.0</v>
      </c>
      <c r="AV11" s="90"/>
      <c r="AW11" s="162" t="s">
        <v>126</v>
      </c>
      <c r="AX11" s="140">
        <v>143.0</v>
      </c>
      <c r="AY11" s="139">
        <v>63.0</v>
      </c>
      <c r="AZ11" s="148"/>
      <c r="BA11" s="140">
        <v>205.0</v>
      </c>
      <c r="BB11" s="163">
        <v>70.0</v>
      </c>
      <c r="BC11" s="148"/>
      <c r="BD11" s="140">
        <v>275.0</v>
      </c>
      <c r="BE11" s="164">
        <v>130.0</v>
      </c>
      <c r="BF11" s="151"/>
      <c r="BG11" s="151"/>
      <c r="BH11" s="151"/>
      <c r="BI11" s="176" t="s">
        <v>127</v>
      </c>
      <c r="BJ11" s="113"/>
      <c r="BK11" s="113">
        <v>135.0</v>
      </c>
      <c r="BL11" s="139">
        <v>270.0</v>
      </c>
      <c r="BM11" s="114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</row>
    <row r="12" ht="12.75" customHeight="1">
      <c r="A12" s="123">
        <f t="shared" si="2"/>
        <v>8</v>
      </c>
      <c r="B12" s="124">
        <v>175.0</v>
      </c>
      <c r="C12" s="124">
        <f t="shared" si="6"/>
        <v>130</v>
      </c>
      <c r="D12" s="124">
        <f t="shared" si="3"/>
        <v>160</v>
      </c>
      <c r="E12" s="125">
        <v>465.0</v>
      </c>
      <c r="F12" s="125">
        <v>290.0</v>
      </c>
      <c r="G12" s="8"/>
      <c r="H12" s="123">
        <f t="shared" si="4"/>
        <v>8</v>
      </c>
      <c r="I12" s="126"/>
      <c r="J12" s="124">
        <v>500.0</v>
      </c>
      <c r="K12" s="124">
        <f t="shared" ref="K12:L12" si="11">K11+20</f>
        <v>160</v>
      </c>
      <c r="L12" s="125">
        <f t="shared" si="11"/>
        <v>660</v>
      </c>
      <c r="M12" s="125">
        <v>550.0</v>
      </c>
      <c r="N12" s="1" t="str">
        <f t="shared" si="1"/>
        <v>#REF!</v>
      </c>
      <c r="O12" s="142"/>
      <c r="P12" s="143">
        <v>20.0</v>
      </c>
      <c r="Q12" s="152">
        <v>2.0</v>
      </c>
      <c r="R12" s="152">
        <v>2.0</v>
      </c>
      <c r="S12" s="152">
        <v>2.0</v>
      </c>
      <c r="T12" s="152">
        <v>3.0</v>
      </c>
      <c r="U12" s="152">
        <v>3.0</v>
      </c>
      <c r="V12" s="152">
        <v>2.0</v>
      </c>
      <c r="W12" s="152">
        <v>2.0</v>
      </c>
      <c r="X12" s="152">
        <v>5.0</v>
      </c>
      <c r="Y12" s="152">
        <v>1.25</v>
      </c>
      <c r="Z12" s="152">
        <v>525.0</v>
      </c>
      <c r="AA12" s="152">
        <v>240.0</v>
      </c>
      <c r="AB12" s="152">
        <v>350.0</v>
      </c>
      <c r="AC12" s="152">
        <v>160.0</v>
      </c>
      <c r="AD12" s="152">
        <v>390.0</v>
      </c>
      <c r="AE12" s="152">
        <v>200.0</v>
      </c>
      <c r="AF12" s="152">
        <v>955.0</v>
      </c>
      <c r="AG12" s="152">
        <v>475.0</v>
      </c>
      <c r="AH12" s="134"/>
      <c r="AI12" s="153">
        <f t="shared" si="9"/>
        <v>20</v>
      </c>
      <c r="AJ12" s="134">
        <v>3.0</v>
      </c>
      <c r="AK12" s="134">
        <v>2.0</v>
      </c>
      <c r="AL12" s="134">
        <v>2.0</v>
      </c>
      <c r="AM12" s="134">
        <f t="shared" si="10"/>
        <v>5</v>
      </c>
      <c r="AN12" s="160">
        <v>1300.0</v>
      </c>
      <c r="AO12" s="161">
        <v>440.0</v>
      </c>
      <c r="AP12" s="134">
        <v>880.0</v>
      </c>
      <c r="AQ12" s="134">
        <v>265.0</v>
      </c>
      <c r="AR12" s="134">
        <v>940.0</v>
      </c>
      <c r="AS12" s="134">
        <v>325.0</v>
      </c>
      <c r="AT12" s="160">
        <v>2280.0</v>
      </c>
      <c r="AU12" s="161">
        <v>875.0</v>
      </c>
      <c r="AV12" s="90"/>
      <c r="AW12" s="156" t="s">
        <v>128</v>
      </c>
      <c r="AX12" s="122">
        <v>188.0</v>
      </c>
      <c r="AY12" s="121">
        <v>68.0</v>
      </c>
      <c r="AZ12" s="148"/>
      <c r="BA12" s="122">
        <v>255.0</v>
      </c>
      <c r="BB12" s="157">
        <v>75.0</v>
      </c>
      <c r="BC12" s="148"/>
      <c r="BD12" s="122">
        <v>330.0</v>
      </c>
      <c r="BE12" s="158">
        <v>140.0</v>
      </c>
      <c r="BF12" s="159"/>
      <c r="BG12" s="159"/>
      <c r="BH12" s="159"/>
      <c r="BI12" s="15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</row>
    <row r="13" ht="12.75" customHeight="1">
      <c r="A13" s="116">
        <f t="shared" si="2"/>
        <v>9</v>
      </c>
      <c r="B13" s="1">
        <v>175.0</v>
      </c>
      <c r="C13" s="1">
        <f t="shared" si="6"/>
        <v>145</v>
      </c>
      <c r="D13" s="1">
        <f t="shared" si="3"/>
        <v>180</v>
      </c>
      <c r="E13" s="141">
        <v>500.0</v>
      </c>
      <c r="F13" s="141">
        <v>325.0</v>
      </c>
      <c r="G13" s="8"/>
      <c r="H13" s="116">
        <f t="shared" si="4"/>
        <v>9</v>
      </c>
      <c r="I13" s="39"/>
      <c r="J13" s="1">
        <v>500.0</v>
      </c>
      <c r="K13" s="1">
        <f t="shared" ref="K13:L13" si="12">K12+20</f>
        <v>180</v>
      </c>
      <c r="L13" s="141">
        <f t="shared" si="12"/>
        <v>680</v>
      </c>
      <c r="M13" s="141">
        <v>605.0</v>
      </c>
      <c r="N13" s="1" t="str">
        <f t="shared" si="1"/>
        <v>#REF!</v>
      </c>
      <c r="O13" s="142"/>
      <c r="P13" s="143">
        <v>24.0</v>
      </c>
      <c r="Q13" s="152">
        <v>2.0</v>
      </c>
      <c r="R13" s="152">
        <v>2.0</v>
      </c>
      <c r="S13" s="152">
        <v>2.0</v>
      </c>
      <c r="T13" s="152">
        <v>3.0</v>
      </c>
      <c r="U13" s="152">
        <v>3.0</v>
      </c>
      <c r="V13" s="152">
        <v>2.0</v>
      </c>
      <c r="W13" s="152">
        <v>2.0</v>
      </c>
      <c r="X13" s="152">
        <v>6.0</v>
      </c>
      <c r="Y13" s="152">
        <v>1.5</v>
      </c>
      <c r="Z13" s="152">
        <v>615.0</v>
      </c>
      <c r="AA13" s="152">
        <v>285.0</v>
      </c>
      <c r="AB13" s="152">
        <v>350.0</v>
      </c>
      <c r="AC13" s="152">
        <v>160.0</v>
      </c>
      <c r="AD13" s="152">
        <v>390.0</v>
      </c>
      <c r="AE13" s="152">
        <v>200.0</v>
      </c>
      <c r="AF13" s="152">
        <v>1105.0</v>
      </c>
      <c r="AG13" s="152">
        <v>570.0</v>
      </c>
      <c r="AH13" s="134"/>
      <c r="AI13" s="153">
        <f t="shared" si="9"/>
        <v>24</v>
      </c>
      <c r="AJ13" s="134">
        <v>3.0</v>
      </c>
      <c r="AK13" s="134">
        <v>2.0</v>
      </c>
      <c r="AL13" s="134">
        <v>2.0</v>
      </c>
      <c r="AM13" s="134">
        <f t="shared" si="10"/>
        <v>6</v>
      </c>
      <c r="AN13" s="160">
        <v>1440.0</v>
      </c>
      <c r="AO13" s="161">
        <v>525.0</v>
      </c>
      <c r="AP13" s="160">
        <v>880.0</v>
      </c>
      <c r="AQ13" s="161">
        <v>265.0</v>
      </c>
      <c r="AR13" s="134">
        <v>940.0</v>
      </c>
      <c r="AS13" s="134">
        <v>325.0</v>
      </c>
      <c r="AT13" s="160">
        <v>2700.0</v>
      </c>
      <c r="AU13" s="161">
        <v>1050.0</v>
      </c>
      <c r="AV13" s="90"/>
      <c r="AW13" s="162" t="s">
        <v>129</v>
      </c>
      <c r="AX13" s="140">
        <v>233.0</v>
      </c>
      <c r="AY13" s="139">
        <v>73.0</v>
      </c>
      <c r="AZ13" s="148"/>
      <c r="BA13" s="140">
        <v>305.0</v>
      </c>
      <c r="BB13" s="163">
        <v>80.0</v>
      </c>
      <c r="BC13" s="148"/>
      <c r="BD13" s="140">
        <v>385.0</v>
      </c>
      <c r="BE13" s="164">
        <v>150.0</v>
      </c>
      <c r="BF13" s="151"/>
      <c r="BG13" s="151"/>
      <c r="BH13" s="151"/>
      <c r="BI13" s="151"/>
      <c r="BJ13" s="177"/>
      <c r="BK13" s="2"/>
      <c r="BL13" s="2"/>
      <c r="BM13" s="2"/>
      <c r="BN13" s="2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</row>
    <row r="14" ht="12.75" customHeight="1">
      <c r="A14" s="168">
        <f t="shared" si="2"/>
        <v>10</v>
      </c>
      <c r="B14" s="2">
        <v>175.0</v>
      </c>
      <c r="C14" s="2">
        <f t="shared" si="6"/>
        <v>160</v>
      </c>
      <c r="D14" s="2">
        <f t="shared" si="3"/>
        <v>200</v>
      </c>
      <c r="E14" s="169">
        <v>535.0</v>
      </c>
      <c r="F14" s="169">
        <v>360.0</v>
      </c>
      <c r="G14" s="8"/>
      <c r="H14" s="168">
        <f t="shared" si="4"/>
        <v>10</v>
      </c>
      <c r="I14" s="170"/>
      <c r="J14" s="2">
        <v>500.0</v>
      </c>
      <c r="K14" s="2">
        <f t="shared" ref="K14:L14" si="13">K13+20</f>
        <v>200</v>
      </c>
      <c r="L14" s="169">
        <f t="shared" si="13"/>
        <v>700</v>
      </c>
      <c r="M14" s="169">
        <v>605.0</v>
      </c>
      <c r="N14" s="2" t="str">
        <f t="shared" si="1"/>
        <v>#REF!</v>
      </c>
      <c r="O14" s="142"/>
      <c r="P14" s="143">
        <v>28.0</v>
      </c>
      <c r="Q14" s="152">
        <v>3.0</v>
      </c>
      <c r="R14" s="152">
        <v>1.0</v>
      </c>
      <c r="S14" s="152">
        <v>1.0</v>
      </c>
      <c r="T14" s="152">
        <v>4.0</v>
      </c>
      <c r="U14" s="152">
        <v>4.0</v>
      </c>
      <c r="V14" s="152">
        <v>2.0</v>
      </c>
      <c r="W14" s="152">
        <v>2.0</v>
      </c>
      <c r="X14" s="152">
        <v>7.0</v>
      </c>
      <c r="Y14" s="152">
        <v>2.0</v>
      </c>
      <c r="Z14" s="152">
        <v>695.0</v>
      </c>
      <c r="AA14" s="152">
        <v>335.0</v>
      </c>
      <c r="AB14" s="152">
        <v>425.0</v>
      </c>
      <c r="AC14" s="152">
        <v>190.0</v>
      </c>
      <c r="AD14" s="152">
        <v>465.0</v>
      </c>
      <c r="AE14" s="152">
        <v>230.0</v>
      </c>
      <c r="AF14" s="152">
        <v>1295.0</v>
      </c>
      <c r="AG14" s="152">
        <v>665.0</v>
      </c>
      <c r="AH14" s="134"/>
      <c r="AI14" s="153">
        <f t="shared" si="9"/>
        <v>28</v>
      </c>
      <c r="AJ14" s="134">
        <v>4.0</v>
      </c>
      <c r="AK14" s="134">
        <v>2.0</v>
      </c>
      <c r="AL14" s="134">
        <v>2.0</v>
      </c>
      <c r="AM14" s="134">
        <f t="shared" si="10"/>
        <v>7</v>
      </c>
      <c r="AN14" s="160">
        <v>1720.0</v>
      </c>
      <c r="AO14" s="161">
        <v>615.0</v>
      </c>
      <c r="AP14" s="134">
        <v>1020.0</v>
      </c>
      <c r="AQ14" s="134">
        <v>355.0</v>
      </c>
      <c r="AR14" s="134">
        <v>1100.0</v>
      </c>
      <c r="AS14" s="134">
        <v>435.0</v>
      </c>
      <c r="AT14" s="160">
        <v>3120.0</v>
      </c>
      <c r="AU14" s="161">
        <v>1225.0</v>
      </c>
      <c r="AV14" s="90"/>
      <c r="AW14" s="171" t="s">
        <v>130</v>
      </c>
      <c r="AX14" s="167">
        <v>233.0</v>
      </c>
      <c r="AY14" s="166">
        <v>78.0</v>
      </c>
      <c r="AZ14" s="172"/>
      <c r="BA14" s="167">
        <v>355.0</v>
      </c>
      <c r="BB14" s="173">
        <v>85.0</v>
      </c>
      <c r="BC14" s="172"/>
      <c r="BD14" s="167">
        <v>440.0</v>
      </c>
      <c r="BE14" s="174">
        <v>160.0</v>
      </c>
      <c r="BF14" s="175"/>
      <c r="BG14" s="175"/>
      <c r="BH14" s="175"/>
      <c r="BI14" s="175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</row>
    <row r="15" ht="12.75" customHeight="1">
      <c r="A15" s="168">
        <f t="shared" si="2"/>
        <v>11</v>
      </c>
      <c r="B15" s="2">
        <v>175.0</v>
      </c>
      <c r="C15" s="2">
        <f t="shared" si="6"/>
        <v>175</v>
      </c>
      <c r="D15" s="2">
        <f t="shared" si="3"/>
        <v>220</v>
      </c>
      <c r="E15" s="169">
        <v>570.0</v>
      </c>
      <c r="F15" s="169">
        <v>395.0</v>
      </c>
      <c r="G15" s="8"/>
      <c r="H15" s="168">
        <f t="shared" si="4"/>
        <v>11</v>
      </c>
      <c r="I15" s="170"/>
      <c r="J15" s="2">
        <v>500.0</v>
      </c>
      <c r="K15" s="2">
        <f t="shared" ref="K15:L15" si="14">K14+20</f>
        <v>220</v>
      </c>
      <c r="L15" s="169">
        <f t="shared" si="14"/>
        <v>720</v>
      </c>
      <c r="M15" s="169">
        <v>660.0</v>
      </c>
      <c r="N15" s="2" t="str">
        <f t="shared" si="1"/>
        <v>#REF!</v>
      </c>
      <c r="O15" s="142"/>
      <c r="P15" s="143">
        <v>32.0</v>
      </c>
      <c r="Q15" s="152">
        <v>2.0</v>
      </c>
      <c r="R15" s="152">
        <v>1.0</v>
      </c>
      <c r="S15" s="152">
        <v>1.0</v>
      </c>
      <c r="T15" s="152">
        <v>4.0</v>
      </c>
      <c r="U15" s="152">
        <v>4.0</v>
      </c>
      <c r="V15" s="152">
        <v>2.0</v>
      </c>
      <c r="W15" s="152">
        <v>2.0</v>
      </c>
      <c r="X15" s="152">
        <v>8.0</v>
      </c>
      <c r="Y15" s="152">
        <v>2.0</v>
      </c>
      <c r="Z15" s="152">
        <v>765.0</v>
      </c>
      <c r="AA15" s="152">
        <v>380.0</v>
      </c>
      <c r="AB15" s="152">
        <v>425.0</v>
      </c>
      <c r="AC15" s="152">
        <v>190.0</v>
      </c>
      <c r="AD15" s="152">
        <v>465.0</v>
      </c>
      <c r="AE15" s="152">
        <v>230.0</v>
      </c>
      <c r="AF15" s="152">
        <v>1445.0</v>
      </c>
      <c r="AG15" s="152">
        <v>760.0</v>
      </c>
      <c r="AH15" s="134"/>
      <c r="AI15" s="153">
        <f t="shared" si="9"/>
        <v>32</v>
      </c>
      <c r="AJ15" s="134">
        <v>4.0</v>
      </c>
      <c r="AK15" s="134">
        <v>2.0</v>
      </c>
      <c r="AL15" s="134">
        <v>2.0</v>
      </c>
      <c r="AM15" s="134">
        <f t="shared" si="10"/>
        <v>8</v>
      </c>
      <c r="AN15" s="160">
        <v>1860.0</v>
      </c>
      <c r="AO15" s="161">
        <v>700.0</v>
      </c>
      <c r="AP15" s="160">
        <v>1020.0</v>
      </c>
      <c r="AQ15" s="161">
        <v>355.0</v>
      </c>
      <c r="AR15" s="134">
        <v>1100.0</v>
      </c>
      <c r="AS15" s="134">
        <v>435.0</v>
      </c>
      <c r="AT15" s="160">
        <v>3540.0</v>
      </c>
      <c r="AU15" s="161">
        <v>1400.0</v>
      </c>
      <c r="AV15" s="90"/>
      <c r="AW15" s="171" t="s">
        <v>131</v>
      </c>
      <c r="AX15" s="167">
        <v>188.0</v>
      </c>
      <c r="AY15" s="166">
        <v>68.0</v>
      </c>
      <c r="AZ15" s="172"/>
      <c r="BA15" s="167">
        <v>255.0</v>
      </c>
      <c r="BB15" s="173">
        <v>75.0</v>
      </c>
      <c r="BC15" s="172"/>
      <c r="BD15" s="167">
        <v>330.0</v>
      </c>
      <c r="BE15" s="174">
        <v>140.0</v>
      </c>
      <c r="BF15" s="175"/>
      <c r="BG15" s="175"/>
      <c r="BH15" s="175"/>
      <c r="BI15" s="175"/>
      <c r="BJ15" s="1"/>
      <c r="BK15" s="1"/>
      <c r="BL15" s="1"/>
      <c r="BM15" s="1"/>
      <c r="BN15" s="1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</row>
    <row r="16" ht="12.75" customHeight="1">
      <c r="A16" s="123">
        <f t="shared" si="2"/>
        <v>12</v>
      </c>
      <c r="B16" s="124">
        <v>175.0</v>
      </c>
      <c r="C16" s="124">
        <f t="shared" si="6"/>
        <v>190</v>
      </c>
      <c r="D16" s="124">
        <f t="shared" si="3"/>
        <v>240</v>
      </c>
      <c r="E16" s="125">
        <v>605.0</v>
      </c>
      <c r="F16" s="125">
        <v>430.0</v>
      </c>
      <c r="G16" s="8"/>
      <c r="H16" s="123">
        <f t="shared" si="4"/>
        <v>12</v>
      </c>
      <c r="I16" s="126"/>
      <c r="J16" s="124">
        <v>500.0</v>
      </c>
      <c r="K16" s="124">
        <f t="shared" ref="K16:L16" si="15">K15+20</f>
        <v>240</v>
      </c>
      <c r="L16" s="125">
        <f t="shared" si="15"/>
        <v>740</v>
      </c>
      <c r="M16" s="125">
        <v>660.0</v>
      </c>
      <c r="N16" s="1" t="str">
        <f t="shared" si="1"/>
        <v>#REF!</v>
      </c>
      <c r="O16" s="142"/>
      <c r="P16" s="143">
        <v>36.0</v>
      </c>
      <c r="Q16" s="152">
        <v>3.0</v>
      </c>
      <c r="R16" s="152">
        <v>2.0</v>
      </c>
      <c r="S16" s="152">
        <v>2.0</v>
      </c>
      <c r="T16" s="152">
        <v>5.0</v>
      </c>
      <c r="U16" s="152">
        <v>5.0</v>
      </c>
      <c r="V16" s="152">
        <v>3.0</v>
      </c>
      <c r="W16" s="152">
        <v>3.0</v>
      </c>
      <c r="X16" s="152">
        <v>9.0</v>
      </c>
      <c r="Y16" s="152">
        <v>2.25</v>
      </c>
      <c r="Z16" s="152">
        <v>865.0</v>
      </c>
      <c r="AA16" s="152">
        <v>430.0</v>
      </c>
      <c r="AB16" s="152">
        <v>525.0</v>
      </c>
      <c r="AC16" s="152">
        <v>240.0</v>
      </c>
      <c r="AD16" s="152">
        <v>585.0</v>
      </c>
      <c r="AE16" s="152">
        <v>300.0</v>
      </c>
      <c r="AF16" s="152">
        <v>1635.0</v>
      </c>
      <c r="AG16" s="152">
        <v>855.0</v>
      </c>
      <c r="AH16" s="134"/>
      <c r="AI16" s="153">
        <f t="shared" si="9"/>
        <v>36</v>
      </c>
      <c r="AJ16" s="134">
        <v>5.0</v>
      </c>
      <c r="AK16" s="134">
        <v>3.0</v>
      </c>
      <c r="AL16" s="134">
        <v>3.0</v>
      </c>
      <c r="AM16" s="134">
        <f t="shared" si="10"/>
        <v>9</v>
      </c>
      <c r="AN16" s="160">
        <v>2140.0</v>
      </c>
      <c r="AO16" s="161">
        <v>790.0</v>
      </c>
      <c r="AP16" s="134">
        <v>1300.0</v>
      </c>
      <c r="AQ16" s="134">
        <v>440.0</v>
      </c>
      <c r="AR16" s="134">
        <v>1400.0</v>
      </c>
      <c r="AS16" s="134">
        <v>540.0</v>
      </c>
      <c r="AT16" s="160">
        <v>3960.0</v>
      </c>
      <c r="AU16" s="161">
        <v>1575.0</v>
      </c>
      <c r="AV16" s="90"/>
      <c r="AW16" s="156" t="s">
        <v>132</v>
      </c>
      <c r="AX16" s="122">
        <v>233.0</v>
      </c>
      <c r="AY16" s="121">
        <v>73.0</v>
      </c>
      <c r="AZ16" s="148"/>
      <c r="BA16" s="122">
        <v>305.0</v>
      </c>
      <c r="BB16" s="157">
        <v>80.0</v>
      </c>
      <c r="BC16" s="148"/>
      <c r="BD16" s="122">
        <v>385.0</v>
      </c>
      <c r="BE16" s="158">
        <v>150.0</v>
      </c>
      <c r="BF16" s="159"/>
      <c r="BG16" s="159"/>
      <c r="BH16" s="159"/>
      <c r="BI16" s="151"/>
      <c r="BJ16" s="1"/>
      <c r="BK16" s="1"/>
      <c r="BL16" s="1"/>
      <c r="BM16" s="1"/>
      <c r="BN16" s="1"/>
      <c r="BO16" s="1"/>
      <c r="BP16" s="1"/>
      <c r="BQ16" s="1"/>
      <c r="BR16" s="8"/>
      <c r="BS16" s="8"/>
      <c r="BT16" s="8"/>
      <c r="BU16" s="8"/>
      <c r="BV16" s="8"/>
      <c r="BW16" s="8"/>
      <c r="BX16" s="8"/>
      <c r="BY16" s="1"/>
    </row>
    <row r="17" ht="12.75" customHeight="1">
      <c r="A17" s="116">
        <f t="shared" si="2"/>
        <v>13</v>
      </c>
      <c r="B17" s="1">
        <v>175.0</v>
      </c>
      <c r="C17" s="1">
        <f t="shared" si="6"/>
        <v>205</v>
      </c>
      <c r="D17" s="1">
        <f t="shared" si="3"/>
        <v>260</v>
      </c>
      <c r="E17" s="141">
        <v>640.0</v>
      </c>
      <c r="F17" s="141">
        <v>465.0</v>
      </c>
      <c r="G17" s="8"/>
      <c r="H17" s="116">
        <f t="shared" si="4"/>
        <v>13</v>
      </c>
      <c r="I17" s="39"/>
      <c r="J17" s="1">
        <v>500.0</v>
      </c>
      <c r="K17" s="1">
        <f t="shared" ref="K17:L17" si="16">K16+20</f>
        <v>260</v>
      </c>
      <c r="L17" s="141">
        <f t="shared" si="16"/>
        <v>760</v>
      </c>
      <c r="M17" s="141">
        <v>715.0</v>
      </c>
      <c r="N17" s="1" t="str">
        <f t="shared" si="1"/>
        <v>#REF!</v>
      </c>
      <c r="O17" s="142"/>
      <c r="P17" s="143">
        <v>40.0</v>
      </c>
      <c r="Q17" s="152">
        <v>3.0</v>
      </c>
      <c r="R17" s="152">
        <v>2.0</v>
      </c>
      <c r="S17" s="152">
        <v>2.0</v>
      </c>
      <c r="T17" s="152">
        <v>5.0</v>
      </c>
      <c r="U17" s="152">
        <v>5.0</v>
      </c>
      <c r="V17" s="152">
        <v>3.0</v>
      </c>
      <c r="W17" s="152">
        <v>3.0</v>
      </c>
      <c r="X17" s="152">
        <v>10.0</v>
      </c>
      <c r="Y17" s="152">
        <v>2.5</v>
      </c>
      <c r="Z17" s="152">
        <v>955.0</v>
      </c>
      <c r="AA17" s="152">
        <v>475.0</v>
      </c>
      <c r="AB17" s="152">
        <v>525.0</v>
      </c>
      <c r="AC17" s="152">
        <v>240.0</v>
      </c>
      <c r="AD17" s="152">
        <v>585.0</v>
      </c>
      <c r="AE17" s="152">
        <v>300.0</v>
      </c>
      <c r="AF17" s="152">
        <v>1785.0</v>
      </c>
      <c r="AG17" s="152">
        <v>950.0</v>
      </c>
      <c r="AH17" s="134"/>
      <c r="AI17" s="153">
        <f t="shared" si="9"/>
        <v>40</v>
      </c>
      <c r="AJ17" s="134">
        <v>5.0</v>
      </c>
      <c r="AK17" s="134">
        <v>3.0</v>
      </c>
      <c r="AL17" s="134">
        <v>3.0</v>
      </c>
      <c r="AM17" s="134">
        <f t="shared" si="10"/>
        <v>10</v>
      </c>
      <c r="AN17" s="160">
        <v>2280.0</v>
      </c>
      <c r="AO17" s="161">
        <v>875.0</v>
      </c>
      <c r="AP17" s="160">
        <v>1300.0</v>
      </c>
      <c r="AQ17" s="161">
        <v>440.0</v>
      </c>
      <c r="AR17" s="134">
        <v>1400.0</v>
      </c>
      <c r="AS17" s="134">
        <v>540.0</v>
      </c>
      <c r="AT17" s="160">
        <v>4380.0</v>
      </c>
      <c r="AU17" s="161">
        <v>1750.0</v>
      </c>
      <c r="AV17" s="90"/>
      <c r="AW17" s="162" t="s">
        <v>133</v>
      </c>
      <c r="AX17" s="140">
        <v>278.0</v>
      </c>
      <c r="AY17" s="139">
        <v>78.0</v>
      </c>
      <c r="AZ17" s="148"/>
      <c r="BA17" s="140">
        <v>355.0</v>
      </c>
      <c r="BB17" s="163">
        <v>85.0</v>
      </c>
      <c r="BC17" s="148"/>
      <c r="BD17" s="140">
        <v>440.0</v>
      </c>
      <c r="BE17" s="164">
        <v>160.0</v>
      </c>
      <c r="BF17" s="151"/>
      <c r="BG17" s="151"/>
      <c r="BH17" s="151"/>
      <c r="BI17" s="151"/>
      <c r="BJ17" s="8" t="s">
        <v>134</v>
      </c>
      <c r="BK17" s="1"/>
      <c r="BL17" s="1"/>
      <c r="BM17" s="8"/>
      <c r="BN17" s="8" t="s">
        <v>135</v>
      </c>
      <c r="BO17" s="1"/>
      <c r="BP17" s="1"/>
      <c r="BQ17" s="1"/>
      <c r="BR17" s="8"/>
      <c r="BS17" s="8"/>
      <c r="BT17" s="8"/>
      <c r="BU17" s="8"/>
      <c r="BV17" s="8"/>
      <c r="BW17" s="8"/>
      <c r="BX17" s="8"/>
      <c r="BY17" s="8"/>
    </row>
    <row r="18" ht="12.75" customHeight="1">
      <c r="A18" s="123">
        <f t="shared" si="2"/>
        <v>14</v>
      </c>
      <c r="B18" s="124">
        <v>175.0</v>
      </c>
      <c r="C18" s="124">
        <f t="shared" si="6"/>
        <v>220</v>
      </c>
      <c r="D18" s="124">
        <f t="shared" si="3"/>
        <v>280</v>
      </c>
      <c r="E18" s="125">
        <v>675.0</v>
      </c>
      <c r="F18" s="125">
        <v>500.0</v>
      </c>
      <c r="G18" s="8"/>
      <c r="H18" s="123">
        <f t="shared" si="4"/>
        <v>14</v>
      </c>
      <c r="I18" s="126"/>
      <c r="J18" s="124">
        <v>500.0</v>
      </c>
      <c r="K18" s="124">
        <f t="shared" ref="K18:L18" si="17">K17+20</f>
        <v>280</v>
      </c>
      <c r="L18" s="125">
        <f t="shared" si="17"/>
        <v>780</v>
      </c>
      <c r="M18" s="125">
        <v>770.0</v>
      </c>
      <c r="N18" s="1" t="str">
        <f t="shared" si="1"/>
        <v>#REF!</v>
      </c>
      <c r="O18" s="142"/>
      <c r="P18" s="143">
        <v>44.0</v>
      </c>
      <c r="Q18" s="152">
        <v>4.0</v>
      </c>
      <c r="R18" s="152">
        <v>2.0</v>
      </c>
      <c r="S18" s="152">
        <v>2.0</v>
      </c>
      <c r="T18" s="152">
        <v>6.0</v>
      </c>
      <c r="U18" s="152">
        <v>6.0</v>
      </c>
      <c r="V18" s="152">
        <v>3.0</v>
      </c>
      <c r="W18" s="152">
        <v>3.0</v>
      </c>
      <c r="X18" s="152">
        <v>11.0</v>
      </c>
      <c r="Y18" s="152">
        <v>3.0</v>
      </c>
      <c r="Z18" s="152">
        <v>1035.0</v>
      </c>
      <c r="AA18" s="152">
        <v>525.0</v>
      </c>
      <c r="AB18" s="152">
        <v>615.0</v>
      </c>
      <c r="AC18" s="152">
        <v>285.0</v>
      </c>
      <c r="AD18" s="152">
        <v>675.0</v>
      </c>
      <c r="AE18" s="152">
        <v>345.0</v>
      </c>
      <c r="AF18" s="152">
        <v>1975.0</v>
      </c>
      <c r="AG18" s="152">
        <v>1045.0</v>
      </c>
      <c r="AH18" s="134"/>
      <c r="AI18" s="153">
        <f t="shared" si="9"/>
        <v>44</v>
      </c>
      <c r="AJ18" s="134">
        <v>6.0</v>
      </c>
      <c r="AK18" s="134">
        <v>3.0</v>
      </c>
      <c r="AL18" s="134">
        <v>3.0</v>
      </c>
      <c r="AM18" s="134">
        <f t="shared" si="10"/>
        <v>11</v>
      </c>
      <c r="AN18" s="160">
        <v>2560.0</v>
      </c>
      <c r="AO18" s="161">
        <v>965.0</v>
      </c>
      <c r="AP18" s="134">
        <v>1440.0</v>
      </c>
      <c r="AQ18" s="134">
        <v>525.0</v>
      </c>
      <c r="AR18" s="134">
        <v>1560.0</v>
      </c>
      <c r="AS18" s="134">
        <v>645.0</v>
      </c>
      <c r="AT18" s="160">
        <v>4800.0</v>
      </c>
      <c r="AU18" s="161">
        <v>1925.0</v>
      </c>
      <c r="AV18" s="90" t="s">
        <v>136</v>
      </c>
      <c r="AW18" s="156" t="s">
        <v>137</v>
      </c>
      <c r="AX18" s="122">
        <v>323.0</v>
      </c>
      <c r="AY18" s="121">
        <v>83.0</v>
      </c>
      <c r="AZ18" s="148"/>
      <c r="BA18" s="122">
        <v>405.0</v>
      </c>
      <c r="BB18" s="157">
        <v>90.0</v>
      </c>
      <c r="BC18" s="148"/>
      <c r="BD18" s="122">
        <v>495.0</v>
      </c>
      <c r="BE18" s="158">
        <v>170.0</v>
      </c>
      <c r="BF18" s="159"/>
      <c r="BG18" s="159"/>
      <c r="BH18" s="159"/>
      <c r="BI18" s="151"/>
      <c r="BJ18" s="19"/>
      <c r="BK18" s="19" t="s">
        <v>138</v>
      </c>
      <c r="BL18" s="178" t="s">
        <v>139</v>
      </c>
      <c r="BM18" s="8"/>
      <c r="BN18" s="179"/>
      <c r="BO18" s="19" t="s">
        <v>138</v>
      </c>
      <c r="BP18" s="19" t="s">
        <v>139</v>
      </c>
      <c r="BQ18" s="1"/>
      <c r="BR18" s="8"/>
      <c r="BS18" s="8"/>
      <c r="BT18" s="8"/>
      <c r="BU18" s="8"/>
      <c r="BV18" s="8"/>
      <c r="BW18" s="8"/>
      <c r="BX18" s="8"/>
      <c r="BY18" s="8"/>
    </row>
    <row r="19" ht="12.75" customHeight="1">
      <c r="A19" s="116">
        <f t="shared" si="2"/>
        <v>15</v>
      </c>
      <c r="B19" s="1">
        <v>175.0</v>
      </c>
      <c r="C19" s="1">
        <f t="shared" si="6"/>
        <v>235</v>
      </c>
      <c r="D19" s="1">
        <f t="shared" si="3"/>
        <v>300</v>
      </c>
      <c r="E19" s="141">
        <v>710.0</v>
      </c>
      <c r="F19" s="141">
        <v>535.0</v>
      </c>
      <c r="G19" s="8"/>
      <c r="H19" s="116">
        <f t="shared" si="4"/>
        <v>15</v>
      </c>
      <c r="I19" s="39"/>
      <c r="J19" s="1">
        <v>525.0</v>
      </c>
      <c r="K19" s="1">
        <f t="shared" ref="K19:K23" si="18">K18+20</f>
        <v>300</v>
      </c>
      <c r="L19" s="141">
        <v>825.0</v>
      </c>
      <c r="M19" s="141">
        <v>825.0</v>
      </c>
      <c r="N19" s="1" t="str">
        <f t="shared" si="1"/>
        <v>#REF!</v>
      </c>
      <c r="O19" s="142"/>
      <c r="P19" s="143">
        <v>48.0</v>
      </c>
      <c r="Q19" s="152">
        <v>3.0</v>
      </c>
      <c r="R19" s="152">
        <v>2.0</v>
      </c>
      <c r="S19" s="152">
        <v>2.0</v>
      </c>
      <c r="T19" s="152">
        <v>6.0</v>
      </c>
      <c r="U19" s="152">
        <v>6.0</v>
      </c>
      <c r="V19" s="152">
        <v>3.0</v>
      </c>
      <c r="W19" s="152">
        <v>3.0</v>
      </c>
      <c r="X19" s="152">
        <v>12.0</v>
      </c>
      <c r="Y19" s="152">
        <v>3.0</v>
      </c>
      <c r="Z19" s="152">
        <v>1105.0</v>
      </c>
      <c r="AA19" s="152">
        <v>570.0</v>
      </c>
      <c r="AB19" s="152">
        <v>615.0</v>
      </c>
      <c r="AC19" s="152">
        <v>285.0</v>
      </c>
      <c r="AD19" s="152">
        <v>675.0</v>
      </c>
      <c r="AE19" s="152">
        <v>345.0</v>
      </c>
      <c r="AF19" s="152">
        <v>2125.0</v>
      </c>
      <c r="AG19" s="152">
        <v>1140.0</v>
      </c>
      <c r="AH19" s="134"/>
      <c r="AI19" s="153">
        <f t="shared" si="9"/>
        <v>48</v>
      </c>
      <c r="AJ19" s="134">
        <v>6.0</v>
      </c>
      <c r="AK19" s="134">
        <v>3.0</v>
      </c>
      <c r="AL19" s="134">
        <v>3.0</v>
      </c>
      <c r="AM19" s="134">
        <f t="shared" si="10"/>
        <v>12</v>
      </c>
      <c r="AN19" s="160">
        <v>2700.0</v>
      </c>
      <c r="AO19" s="161">
        <v>1050.0</v>
      </c>
      <c r="AP19" s="160">
        <v>1440.0</v>
      </c>
      <c r="AQ19" s="161">
        <v>525.0</v>
      </c>
      <c r="AR19" s="134">
        <v>1560.0</v>
      </c>
      <c r="AS19" s="134">
        <v>645.0</v>
      </c>
      <c r="AT19" s="160">
        <v>5220.0</v>
      </c>
      <c r="AU19" s="161">
        <v>2100.0</v>
      </c>
      <c r="AV19" s="90"/>
      <c r="AW19" s="180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9" t="s">
        <v>140</v>
      </c>
      <c r="BK19" s="19">
        <v>30.0</v>
      </c>
      <c r="BL19" s="178">
        <v>10.0</v>
      </c>
      <c r="BM19" s="8"/>
      <c r="BN19" s="19" t="s">
        <v>140</v>
      </c>
      <c r="BO19" s="19">
        <v>75.0</v>
      </c>
      <c r="BP19" s="19">
        <v>30.0</v>
      </c>
      <c r="BQ19" s="1"/>
      <c r="BR19" s="8"/>
      <c r="BS19" s="8"/>
      <c r="BT19" s="8"/>
      <c r="BU19" s="8"/>
      <c r="BV19" s="8"/>
      <c r="BW19" s="8"/>
      <c r="BX19" s="8"/>
      <c r="BY19" s="8"/>
    </row>
    <row r="20" ht="12.75" customHeight="1">
      <c r="A20" s="123">
        <f t="shared" si="2"/>
        <v>16</v>
      </c>
      <c r="B20" s="124">
        <v>175.0</v>
      </c>
      <c r="C20" s="124">
        <f t="shared" si="6"/>
        <v>250</v>
      </c>
      <c r="D20" s="124">
        <f t="shared" si="3"/>
        <v>320</v>
      </c>
      <c r="E20" s="125">
        <v>745.0</v>
      </c>
      <c r="F20" s="125">
        <v>570.0</v>
      </c>
      <c r="G20" s="8"/>
      <c r="H20" s="123">
        <f t="shared" si="4"/>
        <v>16</v>
      </c>
      <c r="I20" s="126"/>
      <c r="J20" s="124">
        <v>560.0</v>
      </c>
      <c r="K20" s="124">
        <f t="shared" si="18"/>
        <v>320</v>
      </c>
      <c r="L20" s="125">
        <v>880.0</v>
      </c>
      <c r="M20" s="125">
        <v>880.0</v>
      </c>
      <c r="N20" s="1" t="str">
        <f t="shared" si="1"/>
        <v>#REF!</v>
      </c>
      <c r="O20" s="142"/>
      <c r="P20" s="143">
        <v>52.0</v>
      </c>
      <c r="Q20" s="152">
        <v>4.0</v>
      </c>
      <c r="R20" s="152">
        <v>3.0</v>
      </c>
      <c r="S20" s="152">
        <v>3.0</v>
      </c>
      <c r="T20" s="152">
        <v>7.0</v>
      </c>
      <c r="U20" s="152">
        <v>7.0</v>
      </c>
      <c r="V20" s="152">
        <v>4.0</v>
      </c>
      <c r="W20" s="152">
        <v>4.0</v>
      </c>
      <c r="X20" s="152">
        <v>13.0</v>
      </c>
      <c r="Y20" s="152">
        <v>3.25</v>
      </c>
      <c r="Z20" s="152">
        <v>1205.0</v>
      </c>
      <c r="AA20" s="152">
        <v>620.0</v>
      </c>
      <c r="AB20" s="152">
        <v>695.0</v>
      </c>
      <c r="AC20" s="152">
        <v>335.0</v>
      </c>
      <c r="AD20" s="152">
        <v>775.0</v>
      </c>
      <c r="AE20" s="152">
        <v>415.0</v>
      </c>
      <c r="AF20" s="152">
        <v>2315.0</v>
      </c>
      <c r="AG20" s="152">
        <v>1235.0</v>
      </c>
      <c r="AH20" s="134"/>
      <c r="AI20" s="153">
        <f t="shared" si="9"/>
        <v>52</v>
      </c>
      <c r="AJ20" s="134">
        <v>7.0</v>
      </c>
      <c r="AK20" s="134">
        <v>4.0</v>
      </c>
      <c r="AL20" s="134">
        <v>4.0</v>
      </c>
      <c r="AM20" s="134">
        <f t="shared" si="10"/>
        <v>13</v>
      </c>
      <c r="AN20" s="160">
        <v>2980.0</v>
      </c>
      <c r="AO20" s="161">
        <v>1140.0</v>
      </c>
      <c r="AP20" s="134">
        <v>1720.0</v>
      </c>
      <c r="AQ20" s="134">
        <v>615.0</v>
      </c>
      <c r="AR20" s="134">
        <v>1860.0</v>
      </c>
      <c r="AS20" s="134">
        <v>755.0</v>
      </c>
      <c r="AT20" s="182">
        <v>5640.0</v>
      </c>
      <c r="AU20" s="161">
        <v>2275.0</v>
      </c>
      <c r="AV20" s="90"/>
      <c r="AW20" s="92"/>
      <c r="AX20" s="93" t="s">
        <v>3</v>
      </c>
      <c r="AY20" s="104" t="s">
        <v>5</v>
      </c>
      <c r="AZ20" s="93"/>
      <c r="BA20" s="93" t="s">
        <v>3</v>
      </c>
      <c r="BB20" s="104" t="s">
        <v>5</v>
      </c>
      <c r="BC20" s="93"/>
      <c r="BD20" s="93" t="s">
        <v>3</v>
      </c>
      <c r="BE20" s="104" t="s">
        <v>5</v>
      </c>
      <c r="BF20" s="93"/>
      <c r="BG20" s="93" t="s">
        <v>3</v>
      </c>
      <c r="BH20" s="104" t="s">
        <v>5</v>
      </c>
      <c r="BI20" s="93"/>
      <c r="BJ20" s="19" t="s">
        <v>141</v>
      </c>
      <c r="BK20" s="19">
        <v>35.0</v>
      </c>
      <c r="BL20" s="183">
        <v>15.0</v>
      </c>
      <c r="BM20" s="2"/>
      <c r="BN20" s="19" t="s">
        <v>141</v>
      </c>
      <c r="BO20" s="19">
        <v>100.0</v>
      </c>
      <c r="BP20" s="19">
        <v>50.0</v>
      </c>
      <c r="BQ20" s="1"/>
      <c r="BR20" s="8"/>
      <c r="BS20" s="8"/>
      <c r="BT20" s="8"/>
      <c r="BU20" s="8"/>
      <c r="BV20" s="8"/>
      <c r="BW20" s="8"/>
      <c r="BX20" s="8"/>
      <c r="BY20" s="8"/>
    </row>
    <row r="21" ht="12.75" customHeight="1">
      <c r="A21" s="168">
        <f t="shared" si="2"/>
        <v>17</v>
      </c>
      <c r="B21" s="2">
        <v>175.0</v>
      </c>
      <c r="C21" s="2">
        <f t="shared" si="6"/>
        <v>265</v>
      </c>
      <c r="D21" s="2">
        <f t="shared" si="3"/>
        <v>340</v>
      </c>
      <c r="E21" s="169">
        <v>780.0</v>
      </c>
      <c r="F21" s="169">
        <v>605.0</v>
      </c>
      <c r="G21" s="8"/>
      <c r="H21" s="168">
        <f t="shared" si="4"/>
        <v>17</v>
      </c>
      <c r="I21" s="170"/>
      <c r="J21" s="2">
        <v>595.0</v>
      </c>
      <c r="K21" s="2">
        <f t="shared" si="18"/>
        <v>340</v>
      </c>
      <c r="L21" s="169">
        <v>935.0</v>
      </c>
      <c r="M21" s="169">
        <v>935.0</v>
      </c>
      <c r="N21" s="2" t="str">
        <f t="shared" si="1"/>
        <v>#REF!</v>
      </c>
      <c r="O21" s="142"/>
      <c r="P21" s="143">
        <v>56.0</v>
      </c>
      <c r="Q21" s="152">
        <v>4.0</v>
      </c>
      <c r="R21" s="152">
        <v>3.0</v>
      </c>
      <c r="S21" s="152">
        <v>3.0</v>
      </c>
      <c r="T21" s="152">
        <v>7.0</v>
      </c>
      <c r="U21" s="152">
        <v>7.0</v>
      </c>
      <c r="V21" s="152">
        <v>4.0</v>
      </c>
      <c r="W21" s="152">
        <v>4.0</v>
      </c>
      <c r="X21" s="152">
        <v>14.0</v>
      </c>
      <c r="Y21" s="152">
        <v>3.5</v>
      </c>
      <c r="Z21" s="152">
        <v>1295.0</v>
      </c>
      <c r="AA21" s="152">
        <v>665.0</v>
      </c>
      <c r="AB21" s="152">
        <v>695.0</v>
      </c>
      <c r="AC21" s="152">
        <v>335.0</v>
      </c>
      <c r="AD21" s="152">
        <v>775.0</v>
      </c>
      <c r="AE21" s="152">
        <v>415.0</v>
      </c>
      <c r="AF21" s="152">
        <v>2465.0</v>
      </c>
      <c r="AG21" s="152">
        <v>1330.0</v>
      </c>
      <c r="AH21" s="134"/>
      <c r="AI21" s="153">
        <f t="shared" si="9"/>
        <v>56</v>
      </c>
      <c r="AJ21" s="134">
        <v>7.0</v>
      </c>
      <c r="AK21" s="134">
        <v>4.0</v>
      </c>
      <c r="AL21" s="134">
        <v>4.0</v>
      </c>
      <c r="AM21" s="134">
        <f t="shared" si="10"/>
        <v>14</v>
      </c>
      <c r="AN21" s="160">
        <v>3120.0</v>
      </c>
      <c r="AO21" s="161">
        <v>1225.0</v>
      </c>
      <c r="AP21" s="160">
        <v>1720.0</v>
      </c>
      <c r="AQ21" s="161">
        <v>615.0</v>
      </c>
      <c r="AR21" s="134">
        <v>1860.0</v>
      </c>
      <c r="AS21" s="134">
        <v>755.0</v>
      </c>
      <c r="AT21" s="22">
        <v>6060.0</v>
      </c>
      <c r="AU21" s="161">
        <v>2450.0</v>
      </c>
      <c r="AV21" s="90"/>
      <c r="AW21" s="184" t="s">
        <v>142</v>
      </c>
      <c r="AX21" s="185" t="s">
        <v>74</v>
      </c>
      <c r="AY21" s="185" t="s">
        <v>74</v>
      </c>
      <c r="AZ21" s="186"/>
      <c r="BA21" s="185" t="s">
        <v>84</v>
      </c>
      <c r="BB21" s="185" t="s">
        <v>84</v>
      </c>
      <c r="BC21" s="186"/>
      <c r="BD21" s="185" t="s">
        <v>88</v>
      </c>
      <c r="BE21" s="185" t="s">
        <v>88</v>
      </c>
      <c r="BF21" s="97"/>
      <c r="BG21" s="185" t="s">
        <v>143</v>
      </c>
      <c r="BH21" s="185" t="s">
        <v>143</v>
      </c>
      <c r="BI21" s="97"/>
      <c r="BJ21" s="19" t="s">
        <v>144</v>
      </c>
      <c r="BK21" s="19">
        <v>40.0</v>
      </c>
      <c r="BL21" s="183">
        <v>20.0</v>
      </c>
      <c r="BM21" s="93"/>
      <c r="BN21" s="19" t="s">
        <v>144</v>
      </c>
      <c r="BO21" s="19">
        <v>110.0</v>
      </c>
      <c r="BP21" s="19">
        <v>60.0</v>
      </c>
      <c r="BQ21" s="2"/>
      <c r="BR21" s="2"/>
      <c r="BS21" s="2"/>
      <c r="BT21" s="2"/>
      <c r="BU21" s="2"/>
      <c r="BV21" s="2"/>
      <c r="BW21" s="2"/>
      <c r="BX21" s="2"/>
      <c r="BY21" s="2"/>
    </row>
    <row r="22" ht="12.75" customHeight="1">
      <c r="A22" s="123">
        <f t="shared" si="2"/>
        <v>18</v>
      </c>
      <c r="B22" s="124">
        <v>175.0</v>
      </c>
      <c r="C22" s="124">
        <f t="shared" si="6"/>
        <v>280</v>
      </c>
      <c r="D22" s="124">
        <f t="shared" si="3"/>
        <v>360</v>
      </c>
      <c r="E22" s="125">
        <v>815.0</v>
      </c>
      <c r="F22" s="125">
        <v>640.0</v>
      </c>
      <c r="G22" s="8"/>
      <c r="H22" s="123">
        <f t="shared" si="4"/>
        <v>18</v>
      </c>
      <c r="I22" s="126"/>
      <c r="J22" s="124">
        <v>630.0</v>
      </c>
      <c r="K22" s="124">
        <f t="shared" si="18"/>
        <v>360</v>
      </c>
      <c r="L22" s="125">
        <v>990.0</v>
      </c>
      <c r="M22" s="125">
        <v>990.0</v>
      </c>
      <c r="N22" s="1" t="str">
        <f t="shared" si="1"/>
        <v>#REF!</v>
      </c>
      <c r="O22" s="142"/>
      <c r="P22" s="143">
        <v>60.0</v>
      </c>
      <c r="Q22" s="152">
        <v>5.0</v>
      </c>
      <c r="R22" s="152">
        <v>2.0</v>
      </c>
      <c r="S22" s="152">
        <v>2.0</v>
      </c>
      <c r="T22" s="152">
        <v>8.0</v>
      </c>
      <c r="U22" s="152">
        <v>8.0</v>
      </c>
      <c r="V22" s="152">
        <v>4.0</v>
      </c>
      <c r="W22" s="152">
        <v>4.0</v>
      </c>
      <c r="X22" s="152">
        <v>15.0</v>
      </c>
      <c r="Y22" s="152">
        <v>4.0</v>
      </c>
      <c r="Z22" s="152">
        <v>1375.0</v>
      </c>
      <c r="AA22" s="152">
        <v>715.0</v>
      </c>
      <c r="AB22" s="152">
        <v>765.0</v>
      </c>
      <c r="AC22" s="152">
        <v>380.0</v>
      </c>
      <c r="AD22" s="152">
        <v>845.0</v>
      </c>
      <c r="AE22" s="152">
        <v>460.0</v>
      </c>
      <c r="AF22" s="152">
        <v>2655.0</v>
      </c>
      <c r="AG22" s="152">
        <v>1425.0</v>
      </c>
      <c r="AH22" s="134"/>
      <c r="AI22" s="153">
        <f t="shared" si="9"/>
        <v>60</v>
      </c>
      <c r="AJ22" s="134">
        <v>8.0</v>
      </c>
      <c r="AK22" s="134">
        <v>4.0</v>
      </c>
      <c r="AL22" s="134">
        <v>4.0</v>
      </c>
      <c r="AM22" s="134">
        <f t="shared" si="10"/>
        <v>15</v>
      </c>
      <c r="AN22" s="160">
        <v>3400.0</v>
      </c>
      <c r="AO22" s="161">
        <v>1315.0</v>
      </c>
      <c r="AP22" s="134">
        <v>1860.0</v>
      </c>
      <c r="AQ22" s="134">
        <v>700.0</v>
      </c>
      <c r="AR22" s="134">
        <v>2020.0</v>
      </c>
      <c r="AS22" s="134">
        <v>860.0</v>
      </c>
      <c r="AT22" s="22">
        <v>6480.0</v>
      </c>
      <c r="AU22" s="161">
        <v>2625.0</v>
      </c>
      <c r="AV22" s="90"/>
      <c r="AW22" s="187" t="s">
        <v>145</v>
      </c>
      <c r="AX22" s="188">
        <v>310.0</v>
      </c>
      <c r="AY22" s="189">
        <v>40.0</v>
      </c>
      <c r="AZ22" s="190"/>
      <c r="BA22" s="191">
        <v>350.0</v>
      </c>
      <c r="BB22" s="192">
        <v>80.0</v>
      </c>
      <c r="BC22" s="137"/>
      <c r="BD22" s="191">
        <v>435.0</v>
      </c>
      <c r="BE22" s="192">
        <v>150.0</v>
      </c>
      <c r="BF22" s="193"/>
      <c r="BG22" s="191">
        <v>304.0</v>
      </c>
      <c r="BH22" s="192">
        <v>150.0</v>
      </c>
      <c r="BI22" s="193"/>
      <c r="BJ22" s="194"/>
      <c r="BK22" s="194"/>
      <c r="BL22" s="195"/>
      <c r="BM22" s="2"/>
      <c r="BN22" s="76"/>
      <c r="BO22" s="194"/>
      <c r="BP22" s="194"/>
      <c r="BQ22" s="1"/>
      <c r="BR22" s="8"/>
      <c r="BS22" s="8"/>
      <c r="BT22" s="8"/>
      <c r="BU22" s="8"/>
      <c r="BV22" s="8"/>
      <c r="BW22" s="8"/>
      <c r="BX22" s="8"/>
      <c r="BY22" s="8"/>
    </row>
    <row r="23" ht="12.75" customHeight="1">
      <c r="A23" s="168">
        <f t="shared" si="2"/>
        <v>19</v>
      </c>
      <c r="B23" s="2">
        <v>175.0</v>
      </c>
      <c r="C23" s="2">
        <f t="shared" si="6"/>
        <v>295</v>
      </c>
      <c r="D23" s="2">
        <f t="shared" si="3"/>
        <v>380</v>
      </c>
      <c r="E23" s="169">
        <v>850.0</v>
      </c>
      <c r="F23" s="169">
        <v>675.0</v>
      </c>
      <c r="G23" s="8"/>
      <c r="H23" s="168">
        <f t="shared" si="4"/>
        <v>19</v>
      </c>
      <c r="I23" s="170"/>
      <c r="J23" s="2">
        <v>665.0</v>
      </c>
      <c r="K23" s="2">
        <f t="shared" si="18"/>
        <v>380</v>
      </c>
      <c r="L23" s="169">
        <v>1045.0</v>
      </c>
      <c r="M23" s="169">
        <v>1045.0</v>
      </c>
      <c r="N23" s="2"/>
      <c r="O23" s="142"/>
      <c r="P23" s="143">
        <v>64.0</v>
      </c>
      <c r="Q23" s="152">
        <v>4.0</v>
      </c>
      <c r="R23" s="152">
        <v>2.0</v>
      </c>
      <c r="S23" s="152">
        <v>2.0</v>
      </c>
      <c r="T23" s="152">
        <v>8.0</v>
      </c>
      <c r="U23" s="152">
        <v>8.0</v>
      </c>
      <c r="V23" s="152">
        <v>4.0</v>
      </c>
      <c r="W23" s="152">
        <v>4.0</v>
      </c>
      <c r="X23" s="152">
        <v>16.0</v>
      </c>
      <c r="Y23" s="152">
        <v>4.0</v>
      </c>
      <c r="Z23" s="152">
        <v>1445.0</v>
      </c>
      <c r="AA23" s="152">
        <v>760.0</v>
      </c>
      <c r="AB23" s="152">
        <v>765.0</v>
      </c>
      <c r="AC23" s="152">
        <v>380.0</v>
      </c>
      <c r="AD23" s="152">
        <v>845.0</v>
      </c>
      <c r="AE23" s="152">
        <v>460.0</v>
      </c>
      <c r="AF23" s="152">
        <v>2805.0</v>
      </c>
      <c r="AG23" s="152">
        <v>1520.0</v>
      </c>
      <c r="AH23" s="134"/>
      <c r="AI23" s="153">
        <f t="shared" si="9"/>
        <v>64</v>
      </c>
      <c r="AJ23" s="134">
        <v>8.0</v>
      </c>
      <c r="AK23" s="134">
        <v>4.0</v>
      </c>
      <c r="AL23" s="134">
        <v>4.0</v>
      </c>
      <c r="AM23" s="134">
        <f t="shared" si="10"/>
        <v>16</v>
      </c>
      <c r="AN23" s="160">
        <v>3540.0</v>
      </c>
      <c r="AO23" s="161">
        <v>1400.0</v>
      </c>
      <c r="AP23" s="160">
        <v>1860.0</v>
      </c>
      <c r="AQ23" s="161">
        <v>700.0</v>
      </c>
      <c r="AR23" s="134">
        <v>2020.0</v>
      </c>
      <c r="AS23" s="134">
        <v>860.0</v>
      </c>
      <c r="AT23" s="22">
        <v>6900.0</v>
      </c>
      <c r="AU23" s="161">
        <v>2800.0</v>
      </c>
      <c r="AV23" s="90"/>
      <c r="AW23" s="196" t="s">
        <v>146</v>
      </c>
      <c r="AX23" s="197">
        <v>385.0</v>
      </c>
      <c r="AY23" s="198">
        <v>45.0</v>
      </c>
      <c r="AZ23" s="199"/>
      <c r="BA23" s="200">
        <v>430.0</v>
      </c>
      <c r="BB23" s="201">
        <v>90.0</v>
      </c>
      <c r="BC23" s="186"/>
      <c r="BD23" s="200">
        <v>520.0</v>
      </c>
      <c r="BE23" s="201">
        <v>160.0</v>
      </c>
      <c r="BF23" s="202"/>
      <c r="BG23" s="200">
        <v>364.0</v>
      </c>
      <c r="BH23" s="201">
        <v>160.0</v>
      </c>
      <c r="BI23" s="202"/>
      <c r="BJ23" s="2"/>
      <c r="BK23" s="2"/>
      <c r="BL23" s="2"/>
      <c r="BM23" s="93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</row>
    <row r="24" ht="12.75" customHeight="1">
      <c r="A24" s="203">
        <f t="shared" si="2"/>
        <v>20</v>
      </c>
      <c r="B24" s="204">
        <v>175.0</v>
      </c>
      <c r="C24" s="205">
        <f t="shared" si="6"/>
        <v>310</v>
      </c>
      <c r="D24" s="206">
        <f t="shared" si="3"/>
        <v>400</v>
      </c>
      <c r="E24" s="125">
        <v>885.0</v>
      </c>
      <c r="F24" s="125">
        <v>710.0</v>
      </c>
      <c r="G24" s="8"/>
      <c r="H24" s="203">
        <f t="shared" si="4"/>
        <v>20</v>
      </c>
      <c r="I24" s="207"/>
      <c r="J24" s="204">
        <v>700.0</v>
      </c>
      <c r="K24" s="206">
        <v>400.0</v>
      </c>
      <c r="L24" s="125">
        <v>1100.0</v>
      </c>
      <c r="M24" s="125">
        <v>1100.0</v>
      </c>
      <c r="N24" s="1" t="str">
        <f>IF(#REF!=H24,M24,0)</f>
        <v>#REF!</v>
      </c>
      <c r="O24" s="142"/>
      <c r="P24" s="143">
        <v>68.0</v>
      </c>
      <c r="Q24" s="152">
        <v>5.0</v>
      </c>
      <c r="R24" s="152">
        <v>3.0</v>
      </c>
      <c r="S24" s="152">
        <v>3.0</v>
      </c>
      <c r="T24" s="152">
        <v>9.0</v>
      </c>
      <c r="U24" s="152">
        <v>9.0</v>
      </c>
      <c r="V24" s="152">
        <v>5.0</v>
      </c>
      <c r="W24" s="152">
        <v>5.0</v>
      </c>
      <c r="X24" s="152">
        <v>17.0</v>
      </c>
      <c r="Y24" s="152">
        <v>4.25</v>
      </c>
      <c r="Z24" s="152">
        <v>1545.0</v>
      </c>
      <c r="AA24" s="152">
        <v>810.0</v>
      </c>
      <c r="AB24" s="152">
        <v>865.0</v>
      </c>
      <c r="AC24" s="152">
        <v>430.0</v>
      </c>
      <c r="AD24" s="152">
        <v>965.0</v>
      </c>
      <c r="AE24" s="152">
        <v>530.0</v>
      </c>
      <c r="AF24" s="152">
        <v>2995.0</v>
      </c>
      <c r="AG24" s="152">
        <v>1615.0</v>
      </c>
      <c r="AH24" s="134"/>
      <c r="AI24" s="153">
        <f t="shared" si="9"/>
        <v>68</v>
      </c>
      <c r="AJ24" s="134">
        <v>9.0</v>
      </c>
      <c r="AK24" s="134">
        <v>5.0</v>
      </c>
      <c r="AL24" s="134">
        <v>5.0</v>
      </c>
      <c r="AM24" s="134">
        <f t="shared" si="10"/>
        <v>17</v>
      </c>
      <c r="AN24" s="160">
        <v>3820.0</v>
      </c>
      <c r="AO24" s="161">
        <v>1490.0</v>
      </c>
      <c r="AP24" s="134">
        <v>2140.0</v>
      </c>
      <c r="AQ24" s="134">
        <v>790.0</v>
      </c>
      <c r="AR24" s="134">
        <v>2320.0</v>
      </c>
      <c r="AS24" s="134">
        <v>970.0</v>
      </c>
      <c r="AT24" s="22">
        <v>7320.0</v>
      </c>
      <c r="AU24" s="161">
        <v>2975.0</v>
      </c>
      <c r="AV24" s="90" t="s">
        <v>136</v>
      </c>
      <c r="AW24" s="208" t="s">
        <v>147</v>
      </c>
      <c r="AX24" s="209">
        <v>450.0</v>
      </c>
      <c r="AY24" s="210">
        <v>50.0</v>
      </c>
      <c r="AZ24" s="190"/>
      <c r="BA24" s="211">
        <v>500.0</v>
      </c>
      <c r="BB24" s="183">
        <v>100.0</v>
      </c>
      <c r="BC24" s="137"/>
      <c r="BD24" s="211">
        <v>600.0</v>
      </c>
      <c r="BE24" s="183">
        <v>175.0</v>
      </c>
      <c r="BF24" s="193"/>
      <c r="BG24" s="211">
        <v>420.0</v>
      </c>
      <c r="BH24" s="183">
        <v>175.0</v>
      </c>
      <c r="BI24" s="193"/>
      <c r="BJ24" s="2"/>
      <c r="BK24" s="2"/>
      <c r="BL24" s="2"/>
      <c r="BM24" s="2"/>
      <c r="BN24" s="2"/>
      <c r="BO24" s="2"/>
      <c r="BP24" s="1"/>
      <c r="BQ24" s="212"/>
      <c r="BR24" s="8"/>
      <c r="BS24" s="8"/>
      <c r="BT24" s="8"/>
      <c r="BU24" s="8"/>
      <c r="BV24" s="8"/>
      <c r="BW24" s="8"/>
      <c r="BX24" s="8"/>
      <c r="BY24" s="8"/>
    </row>
    <row r="25" ht="12.75" customHeight="1">
      <c r="A25" s="126">
        <f t="shared" si="2"/>
        <v>21</v>
      </c>
      <c r="B25" s="124"/>
      <c r="C25" s="124"/>
      <c r="D25" s="124"/>
      <c r="E25" s="213">
        <f t="shared" ref="E25:F25" si="19">E24+35</f>
        <v>920</v>
      </c>
      <c r="F25" s="213">
        <f t="shared" si="19"/>
        <v>745</v>
      </c>
      <c r="G25" s="8"/>
      <c r="H25" s="126">
        <f t="shared" si="4"/>
        <v>21</v>
      </c>
      <c r="I25" s="126"/>
      <c r="J25" s="124"/>
      <c r="K25" s="124"/>
      <c r="L25" s="213">
        <f t="shared" ref="L25:M25" si="20">L24+55</f>
        <v>1155</v>
      </c>
      <c r="M25" s="213">
        <f t="shared" si="20"/>
        <v>1155</v>
      </c>
      <c r="N25" s="2"/>
      <c r="O25" s="142"/>
      <c r="P25" s="143">
        <v>72.0</v>
      </c>
      <c r="Q25" s="152">
        <v>5.0</v>
      </c>
      <c r="R25" s="152">
        <v>3.0</v>
      </c>
      <c r="S25" s="152">
        <v>3.0</v>
      </c>
      <c r="T25" s="152">
        <v>9.0</v>
      </c>
      <c r="U25" s="152">
        <v>9.0</v>
      </c>
      <c r="V25" s="152">
        <v>5.0</v>
      </c>
      <c r="W25" s="152">
        <v>5.0</v>
      </c>
      <c r="X25" s="152">
        <v>18.0</v>
      </c>
      <c r="Y25" s="152">
        <v>4.5</v>
      </c>
      <c r="Z25" s="152">
        <v>1635.0</v>
      </c>
      <c r="AA25" s="152">
        <v>855.0</v>
      </c>
      <c r="AB25" s="152">
        <v>865.0</v>
      </c>
      <c r="AC25" s="152">
        <v>430.0</v>
      </c>
      <c r="AD25" s="152">
        <v>965.0</v>
      </c>
      <c r="AE25" s="152">
        <v>530.0</v>
      </c>
      <c r="AF25" s="152">
        <v>3145.0</v>
      </c>
      <c r="AG25" s="152">
        <v>1710.0</v>
      </c>
      <c r="AH25" s="134"/>
      <c r="AI25" s="153">
        <f t="shared" si="9"/>
        <v>72</v>
      </c>
      <c r="AJ25" s="134">
        <v>9.0</v>
      </c>
      <c r="AK25" s="134">
        <v>5.0</v>
      </c>
      <c r="AL25" s="134">
        <v>5.0</v>
      </c>
      <c r="AM25" s="134">
        <f t="shared" si="10"/>
        <v>18</v>
      </c>
      <c r="AN25" s="160">
        <v>3960.0</v>
      </c>
      <c r="AO25" s="161">
        <v>1575.0</v>
      </c>
      <c r="AP25" s="160">
        <v>2140.0</v>
      </c>
      <c r="AQ25" s="161">
        <v>790.0</v>
      </c>
      <c r="AR25" s="134">
        <v>2320.0</v>
      </c>
      <c r="AS25" s="134">
        <v>970.0</v>
      </c>
      <c r="AT25" s="22">
        <v>7740.0</v>
      </c>
      <c r="AU25" s="161">
        <v>3150.0</v>
      </c>
      <c r="AV25" s="90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8" t="s">
        <v>148</v>
      </c>
      <c r="BK25" s="1"/>
      <c r="BL25" s="1"/>
      <c r="BM25" s="1"/>
      <c r="BN25" s="1"/>
      <c r="BO25" s="1"/>
      <c r="BP25" s="2"/>
      <c r="BQ25" s="2"/>
      <c r="BR25" s="2"/>
      <c r="BS25" s="2"/>
      <c r="BT25" s="2"/>
      <c r="BU25" s="2"/>
      <c r="BV25" s="2"/>
      <c r="BW25" s="2"/>
      <c r="BX25" s="2"/>
      <c r="BY25" s="2"/>
    </row>
    <row r="26" ht="12.75" customHeight="1">
      <c r="A26" s="126">
        <f t="shared" si="2"/>
        <v>22</v>
      </c>
      <c r="B26" s="124"/>
      <c r="C26" s="124"/>
      <c r="D26" s="124"/>
      <c r="E26" s="213">
        <f t="shared" ref="E26:F26" si="21">E25+35</f>
        <v>955</v>
      </c>
      <c r="F26" s="213">
        <f t="shared" si="21"/>
        <v>780</v>
      </c>
      <c r="G26" s="8"/>
      <c r="H26" s="126">
        <f t="shared" si="4"/>
        <v>22</v>
      </c>
      <c r="I26" s="126"/>
      <c r="J26" s="124"/>
      <c r="K26" s="124"/>
      <c r="L26" s="213">
        <f t="shared" ref="L26:M26" si="22">L25+55</f>
        <v>1210</v>
      </c>
      <c r="M26" s="213">
        <f t="shared" si="22"/>
        <v>1210</v>
      </c>
      <c r="N26" s="8" t="str">
        <f>SUM(N5:N24)</f>
        <v>#REF!</v>
      </c>
      <c r="O26" s="142"/>
      <c r="P26" s="143">
        <v>76.0</v>
      </c>
      <c r="Q26" s="152">
        <v>6.0</v>
      </c>
      <c r="R26" s="152">
        <v>3.0</v>
      </c>
      <c r="S26" s="152">
        <v>3.0</v>
      </c>
      <c r="T26" s="152">
        <v>10.0</v>
      </c>
      <c r="U26" s="152">
        <v>10.0</v>
      </c>
      <c r="V26" s="152">
        <v>5.0</v>
      </c>
      <c r="W26" s="152">
        <v>5.0</v>
      </c>
      <c r="X26" s="152">
        <v>19.0</v>
      </c>
      <c r="Y26" s="152">
        <v>5.0</v>
      </c>
      <c r="Z26" s="152">
        <v>1715.0</v>
      </c>
      <c r="AA26" s="152">
        <v>905.0</v>
      </c>
      <c r="AB26" s="152">
        <v>955.0</v>
      </c>
      <c r="AC26" s="152">
        <v>475.0</v>
      </c>
      <c r="AD26" s="152">
        <v>1055.0</v>
      </c>
      <c r="AE26" s="152">
        <v>575.0</v>
      </c>
      <c r="AF26" s="152">
        <v>3335.0</v>
      </c>
      <c r="AG26" s="152">
        <v>1805.0</v>
      </c>
      <c r="AH26" s="134"/>
      <c r="AI26" s="153">
        <f t="shared" si="9"/>
        <v>76</v>
      </c>
      <c r="AJ26" s="134">
        <v>10.0</v>
      </c>
      <c r="AK26" s="134">
        <v>5.0</v>
      </c>
      <c r="AL26" s="134">
        <v>5.0</v>
      </c>
      <c r="AM26" s="134">
        <f t="shared" si="10"/>
        <v>19</v>
      </c>
      <c r="AN26" s="160">
        <v>4240.0</v>
      </c>
      <c r="AO26" s="161">
        <v>1665.0</v>
      </c>
      <c r="AP26" s="134">
        <v>2280.0</v>
      </c>
      <c r="AQ26" s="134">
        <v>85.0</v>
      </c>
      <c r="AR26" s="134">
        <v>2480.0</v>
      </c>
      <c r="AS26" s="134">
        <v>285.0</v>
      </c>
      <c r="AT26" s="22">
        <v>8160.0</v>
      </c>
      <c r="AU26" s="161">
        <v>3325.0</v>
      </c>
      <c r="AV26" s="90"/>
      <c r="AW26" s="9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8" t="s">
        <v>3</v>
      </c>
      <c r="BK26" s="8" t="s">
        <v>4</v>
      </c>
      <c r="BL26" s="1"/>
      <c r="BM26" s="1"/>
      <c r="BN26" s="1"/>
      <c r="BO26" s="1"/>
      <c r="BP26" s="1"/>
      <c r="BQ26" s="1"/>
      <c r="BR26" s="8"/>
      <c r="BS26" s="8"/>
      <c r="BT26" s="8"/>
      <c r="BU26" s="8"/>
      <c r="BV26" s="8"/>
      <c r="BW26" s="8"/>
      <c r="BX26" s="8"/>
      <c r="BY26" s="8"/>
    </row>
    <row r="27" ht="12.75" customHeight="1">
      <c r="A27" s="126">
        <f t="shared" si="2"/>
        <v>23</v>
      </c>
      <c r="B27" s="124"/>
      <c r="C27" s="124"/>
      <c r="D27" s="124"/>
      <c r="E27" s="213">
        <f t="shared" ref="E27:F27" si="23">E26+35</f>
        <v>990</v>
      </c>
      <c r="F27" s="213">
        <f t="shared" si="23"/>
        <v>815</v>
      </c>
      <c r="G27" s="8"/>
      <c r="H27" s="126">
        <f t="shared" si="4"/>
        <v>23</v>
      </c>
      <c r="I27" s="126"/>
      <c r="J27" s="124"/>
      <c r="K27" s="124"/>
      <c r="L27" s="213">
        <f t="shared" ref="L27:M27" si="24">L26+55</f>
        <v>1265</v>
      </c>
      <c r="M27" s="213">
        <f t="shared" si="24"/>
        <v>1265</v>
      </c>
      <c r="N27" s="1"/>
      <c r="O27" s="142"/>
      <c r="P27" s="143">
        <v>80.0</v>
      </c>
      <c r="Q27" s="152">
        <v>5.0</v>
      </c>
      <c r="R27" s="152">
        <v>3.0</v>
      </c>
      <c r="S27" s="152">
        <v>3.0</v>
      </c>
      <c r="T27" s="152">
        <v>10.0</v>
      </c>
      <c r="U27" s="152">
        <v>10.0</v>
      </c>
      <c r="V27" s="152">
        <v>5.0</v>
      </c>
      <c r="W27" s="152">
        <v>5.0</v>
      </c>
      <c r="X27" s="152">
        <v>20.0</v>
      </c>
      <c r="Y27" s="152">
        <v>5.0</v>
      </c>
      <c r="Z27" s="152">
        <v>1785.0</v>
      </c>
      <c r="AA27" s="152">
        <v>950.0</v>
      </c>
      <c r="AB27" s="152">
        <v>955.0</v>
      </c>
      <c r="AC27" s="152">
        <v>475.0</v>
      </c>
      <c r="AD27" s="152">
        <v>1055.0</v>
      </c>
      <c r="AE27" s="152">
        <v>575.0</v>
      </c>
      <c r="AF27" s="152">
        <v>3485.0</v>
      </c>
      <c r="AG27" s="152">
        <v>1900.0</v>
      </c>
      <c r="AH27" s="134"/>
      <c r="AI27" s="153">
        <f t="shared" si="9"/>
        <v>80</v>
      </c>
      <c r="AJ27" s="134">
        <v>10.0</v>
      </c>
      <c r="AK27" s="134">
        <v>5.0</v>
      </c>
      <c r="AL27" s="134">
        <v>5.0</v>
      </c>
      <c r="AM27" s="134">
        <f t="shared" si="10"/>
        <v>20</v>
      </c>
      <c r="AN27" s="160">
        <v>4380.0</v>
      </c>
      <c r="AO27" s="161">
        <v>1750.0</v>
      </c>
      <c r="AP27" s="160">
        <v>2280.0</v>
      </c>
      <c r="AQ27" s="161">
        <v>85.0</v>
      </c>
      <c r="AR27" s="134">
        <v>2480.0</v>
      </c>
      <c r="AS27" s="134">
        <v>285.0</v>
      </c>
      <c r="AT27" s="22">
        <v>8580.0</v>
      </c>
      <c r="AU27" s="161">
        <v>3500.0</v>
      </c>
      <c r="AV27" s="90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v>80.0</v>
      </c>
      <c r="BK27" s="1">
        <v>30.0</v>
      </c>
      <c r="BL27" s="1"/>
      <c r="BM27" s="1"/>
      <c r="BN27" s="1"/>
      <c r="BO27" s="1"/>
      <c r="BP27" s="1"/>
      <c r="BQ27" s="1"/>
      <c r="BR27" s="8"/>
      <c r="BS27" s="8"/>
      <c r="BT27" s="8"/>
      <c r="BU27" s="8"/>
      <c r="BV27" s="8"/>
      <c r="BW27" s="8"/>
      <c r="BX27" s="8"/>
      <c r="BY27" s="1"/>
    </row>
    <row r="28" ht="12.75" customHeight="1">
      <c r="A28" s="126">
        <f t="shared" si="2"/>
        <v>24</v>
      </c>
      <c r="B28" s="124"/>
      <c r="C28" s="124"/>
      <c r="D28" s="124"/>
      <c r="E28" s="213">
        <f t="shared" ref="E28:F28" si="25">E27+35</f>
        <v>1025</v>
      </c>
      <c r="F28" s="213">
        <f t="shared" si="25"/>
        <v>850</v>
      </c>
      <c r="G28" s="8"/>
      <c r="H28" s="126">
        <f t="shared" si="4"/>
        <v>24</v>
      </c>
      <c r="I28" s="126"/>
      <c r="J28" s="124"/>
      <c r="K28" s="124"/>
      <c r="L28" s="213">
        <f t="shared" ref="L28:M28" si="26">L27+55</f>
        <v>1320</v>
      </c>
      <c r="M28" s="213">
        <f t="shared" si="26"/>
        <v>1320</v>
      </c>
      <c r="N28" s="1"/>
      <c r="O28" s="142"/>
      <c r="P28" s="143">
        <v>84.0</v>
      </c>
      <c r="Q28" s="152">
        <v>6.0</v>
      </c>
      <c r="R28" s="152">
        <v>4.0</v>
      </c>
      <c r="S28" s="152">
        <v>4.0</v>
      </c>
      <c r="T28" s="152">
        <v>11.0</v>
      </c>
      <c r="U28" s="152">
        <v>11.0</v>
      </c>
      <c r="V28" s="152">
        <v>6.0</v>
      </c>
      <c r="W28" s="152">
        <v>6.0</v>
      </c>
      <c r="X28" s="152">
        <v>21.0</v>
      </c>
      <c r="Y28" s="152">
        <v>5.25</v>
      </c>
      <c r="Z28" s="152">
        <v>1885.0</v>
      </c>
      <c r="AA28" s="215">
        <v>1000.0</v>
      </c>
      <c r="AB28" s="152">
        <v>1035.0</v>
      </c>
      <c r="AC28" s="152">
        <v>525.0</v>
      </c>
      <c r="AD28" s="152">
        <v>1155.0</v>
      </c>
      <c r="AE28" s="152">
        <v>645.0</v>
      </c>
      <c r="AF28" s="152">
        <v>3675.0</v>
      </c>
      <c r="AG28" s="152">
        <v>1995.0</v>
      </c>
      <c r="AH28" s="134"/>
      <c r="AI28" s="153">
        <f t="shared" si="9"/>
        <v>84</v>
      </c>
      <c r="AJ28" s="134">
        <v>11.0</v>
      </c>
      <c r="AK28" s="134">
        <v>6.0</v>
      </c>
      <c r="AL28" s="134">
        <v>6.0</v>
      </c>
      <c r="AM28" s="134">
        <f t="shared" si="10"/>
        <v>21</v>
      </c>
      <c r="AN28" s="160">
        <v>4660.0</v>
      </c>
      <c r="AO28" s="161">
        <v>1840.0</v>
      </c>
      <c r="AP28" s="134">
        <v>2560.0</v>
      </c>
      <c r="AQ28" s="134">
        <v>965.0</v>
      </c>
      <c r="AR28" s="134">
        <v>2780.0</v>
      </c>
      <c r="AS28" s="134">
        <v>1185.0</v>
      </c>
      <c r="AT28" s="22">
        <v>9000.0</v>
      </c>
      <c r="AU28" s="161">
        <v>3675.0</v>
      </c>
      <c r="AV28" s="90"/>
      <c r="AW28" s="187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8"/>
      <c r="BS28" s="8"/>
      <c r="BT28" s="8"/>
      <c r="BU28" s="8"/>
      <c r="BV28" s="8"/>
      <c r="BW28" s="8"/>
      <c r="BX28" s="8"/>
      <c r="BY28" s="1"/>
    </row>
    <row r="29" ht="12.75" customHeight="1">
      <c r="A29" s="126">
        <f t="shared" si="2"/>
        <v>25</v>
      </c>
      <c r="B29" s="124"/>
      <c r="C29" s="124"/>
      <c r="D29" s="124"/>
      <c r="E29" s="213">
        <f t="shared" ref="E29:F29" si="27">E28+35</f>
        <v>1060</v>
      </c>
      <c r="F29" s="213">
        <f t="shared" si="27"/>
        <v>885</v>
      </c>
      <c r="G29" s="8"/>
      <c r="H29" s="126">
        <f t="shared" si="4"/>
        <v>25</v>
      </c>
      <c r="I29" s="126"/>
      <c r="J29" s="124"/>
      <c r="K29" s="124"/>
      <c r="L29" s="213">
        <f t="shared" ref="L29:M29" si="28">L28+55</f>
        <v>1375</v>
      </c>
      <c r="M29" s="213">
        <f t="shared" si="28"/>
        <v>1375</v>
      </c>
      <c r="N29" s="1"/>
      <c r="O29" s="1"/>
      <c r="P29" s="143">
        <v>88.0</v>
      </c>
      <c r="Q29" s="152">
        <v>6.0</v>
      </c>
      <c r="R29" s="152">
        <v>4.0</v>
      </c>
      <c r="S29" s="152">
        <v>4.0</v>
      </c>
      <c r="T29" s="152">
        <v>11.0</v>
      </c>
      <c r="U29" s="152">
        <v>11.0</v>
      </c>
      <c r="V29" s="152">
        <v>6.0</v>
      </c>
      <c r="W29" s="152">
        <v>6.0</v>
      </c>
      <c r="X29" s="152">
        <v>22.0</v>
      </c>
      <c r="Y29" s="152">
        <v>5.5</v>
      </c>
      <c r="Z29" s="152">
        <v>1975.0</v>
      </c>
      <c r="AA29" s="152">
        <v>1045.0</v>
      </c>
      <c r="AB29" s="152">
        <v>1035.0</v>
      </c>
      <c r="AC29" s="152">
        <v>525.0</v>
      </c>
      <c r="AD29" s="152">
        <v>1155.0</v>
      </c>
      <c r="AE29" s="152">
        <v>645.0</v>
      </c>
      <c r="AF29" s="152">
        <v>3825.0</v>
      </c>
      <c r="AG29" s="152">
        <v>2090.0</v>
      </c>
      <c r="AH29" s="134"/>
      <c r="AI29" s="153">
        <f t="shared" si="9"/>
        <v>88</v>
      </c>
      <c r="AJ29" s="134">
        <v>11.0</v>
      </c>
      <c r="AK29" s="134">
        <v>6.0</v>
      </c>
      <c r="AL29" s="134">
        <v>6.0</v>
      </c>
      <c r="AM29" s="134">
        <f t="shared" si="10"/>
        <v>22</v>
      </c>
      <c r="AN29" s="160">
        <v>4800.0</v>
      </c>
      <c r="AO29" s="161">
        <v>1925.0</v>
      </c>
      <c r="AP29" s="160">
        <v>2560.0</v>
      </c>
      <c r="AQ29" s="161">
        <v>965.0</v>
      </c>
      <c r="AR29" s="134">
        <v>2780.0</v>
      </c>
      <c r="AS29" s="134">
        <v>1185.0</v>
      </c>
      <c r="AT29" s="22">
        <v>9420.0</v>
      </c>
      <c r="AU29" s="161">
        <v>3850.0</v>
      </c>
      <c r="AV29" s="90"/>
      <c r="AW29" s="216"/>
      <c r="AX29" s="103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8"/>
      <c r="BS29" s="8"/>
      <c r="BT29" s="8"/>
      <c r="BU29" s="8"/>
      <c r="BV29" s="8"/>
      <c r="BW29" s="8"/>
      <c r="BX29" s="8"/>
      <c r="BY29" s="1"/>
    </row>
    <row r="30" ht="12.75" customHeight="1">
      <c r="A30" s="126">
        <f t="shared" si="2"/>
        <v>26</v>
      </c>
      <c r="B30" s="124"/>
      <c r="C30" s="124"/>
      <c r="D30" s="124"/>
      <c r="E30" s="213">
        <f t="shared" ref="E30:F30" si="29">E29+35</f>
        <v>1095</v>
      </c>
      <c r="F30" s="213">
        <f t="shared" si="29"/>
        <v>920</v>
      </c>
      <c r="G30" s="8"/>
      <c r="H30" s="126">
        <f t="shared" si="4"/>
        <v>26</v>
      </c>
      <c r="I30" s="126"/>
      <c r="J30" s="124"/>
      <c r="K30" s="124"/>
      <c r="L30" s="213">
        <f t="shared" ref="L30:M30" si="30">L29+55</f>
        <v>1430</v>
      </c>
      <c r="M30" s="213">
        <f t="shared" si="30"/>
        <v>1430</v>
      </c>
      <c r="N30" s="1"/>
      <c r="O30" s="1"/>
      <c r="P30" s="143">
        <v>92.0</v>
      </c>
      <c r="Q30" s="152">
        <v>7.0</v>
      </c>
      <c r="R30" s="152">
        <v>3.0</v>
      </c>
      <c r="S30" s="152">
        <v>3.0</v>
      </c>
      <c r="T30" s="152">
        <v>12.0</v>
      </c>
      <c r="U30" s="152">
        <v>12.0</v>
      </c>
      <c r="V30" s="152">
        <v>6.0</v>
      </c>
      <c r="W30" s="152">
        <v>6.0</v>
      </c>
      <c r="X30" s="152">
        <v>23.0</v>
      </c>
      <c r="Y30" s="152">
        <v>6.0</v>
      </c>
      <c r="Z30" s="152">
        <v>2055.0</v>
      </c>
      <c r="AA30" s="152">
        <v>1095.0</v>
      </c>
      <c r="AB30" s="152">
        <v>1105.0</v>
      </c>
      <c r="AC30" s="152">
        <v>570.0</v>
      </c>
      <c r="AD30" s="152">
        <v>1225.0</v>
      </c>
      <c r="AE30" s="152">
        <v>690.0</v>
      </c>
      <c r="AF30" s="152">
        <v>4015.0</v>
      </c>
      <c r="AG30" s="152">
        <v>2185.0</v>
      </c>
      <c r="AH30" s="134"/>
      <c r="AI30" s="153">
        <f t="shared" si="9"/>
        <v>92</v>
      </c>
      <c r="AJ30" s="134">
        <v>12.0</v>
      </c>
      <c r="AK30" s="134">
        <v>6.0</v>
      </c>
      <c r="AL30" s="134">
        <v>6.0</v>
      </c>
      <c r="AM30" s="134">
        <f t="shared" si="10"/>
        <v>23</v>
      </c>
      <c r="AN30" s="160">
        <v>5080.0</v>
      </c>
      <c r="AO30" s="161">
        <v>2015.0</v>
      </c>
      <c r="AP30" s="134">
        <v>2700.0</v>
      </c>
      <c r="AQ30" s="134">
        <v>1050.0</v>
      </c>
      <c r="AR30" s="134">
        <v>2940.0</v>
      </c>
      <c r="AS30" s="134">
        <v>1290.0</v>
      </c>
      <c r="AT30" s="22">
        <v>9840.0</v>
      </c>
      <c r="AU30" s="161">
        <v>4025.0</v>
      </c>
      <c r="AV30" s="90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8"/>
      <c r="BS30" s="8"/>
      <c r="BT30" s="8"/>
      <c r="BU30" s="8"/>
      <c r="BV30" s="8"/>
      <c r="BW30" s="8"/>
      <c r="BX30" s="8"/>
      <c r="BY30" s="1"/>
    </row>
    <row r="31" ht="15.75" customHeight="1">
      <c r="A31" s="126">
        <f t="shared" si="2"/>
        <v>27</v>
      </c>
      <c r="B31" s="124"/>
      <c r="C31" s="124"/>
      <c r="D31" s="124"/>
      <c r="E31" s="213">
        <f t="shared" ref="E31:F31" si="31">E30+35</f>
        <v>1130</v>
      </c>
      <c r="F31" s="213">
        <f t="shared" si="31"/>
        <v>955</v>
      </c>
      <c r="G31" s="8"/>
      <c r="H31" s="126">
        <f t="shared" si="4"/>
        <v>27</v>
      </c>
      <c r="I31" s="126"/>
      <c r="J31" s="124"/>
      <c r="K31" s="124"/>
      <c r="L31" s="213">
        <f t="shared" ref="L31:M31" si="32">L30+55</f>
        <v>1485</v>
      </c>
      <c r="M31" s="213">
        <f t="shared" si="32"/>
        <v>1485</v>
      </c>
      <c r="N31" s="1"/>
      <c r="O31" s="1"/>
      <c r="P31" s="143">
        <v>96.0</v>
      </c>
      <c r="Q31" s="152">
        <v>6.0</v>
      </c>
      <c r="R31" s="152">
        <v>3.0</v>
      </c>
      <c r="S31" s="152">
        <v>3.0</v>
      </c>
      <c r="T31" s="152">
        <v>12.0</v>
      </c>
      <c r="U31" s="152">
        <v>12.0</v>
      </c>
      <c r="V31" s="152">
        <v>6.0</v>
      </c>
      <c r="W31" s="152">
        <v>6.0</v>
      </c>
      <c r="X31" s="152">
        <v>24.0</v>
      </c>
      <c r="Y31" s="152">
        <v>6.0</v>
      </c>
      <c r="Z31" s="152">
        <v>2125.0</v>
      </c>
      <c r="AA31" s="152">
        <v>1140.0</v>
      </c>
      <c r="AB31" s="152">
        <v>1105.0</v>
      </c>
      <c r="AC31" s="152">
        <v>570.0</v>
      </c>
      <c r="AD31" s="152">
        <v>1225.0</v>
      </c>
      <c r="AE31" s="152">
        <v>690.0</v>
      </c>
      <c r="AF31" s="152">
        <v>4165.0</v>
      </c>
      <c r="AG31" s="152">
        <v>2280.0</v>
      </c>
      <c r="AH31" s="134"/>
      <c r="AI31" s="153">
        <f t="shared" si="9"/>
        <v>96</v>
      </c>
      <c r="AJ31" s="134">
        <v>12.0</v>
      </c>
      <c r="AK31" s="134">
        <v>6.0</v>
      </c>
      <c r="AL31" s="134">
        <v>6.0</v>
      </c>
      <c r="AM31" s="134">
        <f t="shared" si="10"/>
        <v>24</v>
      </c>
      <c r="AN31" s="160">
        <v>5220.0</v>
      </c>
      <c r="AO31" s="161">
        <v>2100.0</v>
      </c>
      <c r="AP31" s="160">
        <v>2700.0</v>
      </c>
      <c r="AQ31" s="161">
        <v>1050.0</v>
      </c>
      <c r="AR31" s="134">
        <v>2940.0</v>
      </c>
      <c r="AS31" s="134">
        <v>1290.0</v>
      </c>
      <c r="AT31" s="22">
        <v>10260.0</v>
      </c>
      <c r="AU31" s="161">
        <v>4200.0</v>
      </c>
      <c r="AV31" s="90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8"/>
      <c r="BS31" s="8"/>
      <c r="BT31" s="8"/>
      <c r="BU31" s="8"/>
      <c r="BV31" s="8"/>
      <c r="BW31" s="8"/>
      <c r="BX31" s="8"/>
      <c r="BY31" s="1"/>
    </row>
    <row r="32" ht="13.5" customHeight="1">
      <c r="A32" s="126">
        <f t="shared" si="2"/>
        <v>28</v>
      </c>
      <c r="B32" s="124"/>
      <c r="C32" s="124"/>
      <c r="D32" s="124"/>
      <c r="E32" s="213">
        <f t="shared" ref="E32:F32" si="33">E31+35</f>
        <v>1165</v>
      </c>
      <c r="F32" s="213">
        <f t="shared" si="33"/>
        <v>990</v>
      </c>
      <c r="G32" s="8"/>
      <c r="H32" s="126">
        <f t="shared" si="4"/>
        <v>28</v>
      </c>
      <c r="I32" s="126"/>
      <c r="J32" s="124"/>
      <c r="K32" s="124"/>
      <c r="L32" s="213">
        <f t="shared" ref="L32:M32" si="34">L31+55</f>
        <v>1540</v>
      </c>
      <c r="M32" s="213">
        <f t="shared" si="34"/>
        <v>1540</v>
      </c>
      <c r="N32" s="1"/>
      <c r="O32" s="1"/>
      <c r="P32" s="143">
        <v>100.0</v>
      </c>
      <c r="Q32" s="152">
        <v>7.0</v>
      </c>
      <c r="R32" s="152">
        <v>4.0</v>
      </c>
      <c r="S32" s="152">
        <v>4.0</v>
      </c>
      <c r="T32" s="152">
        <v>13.0</v>
      </c>
      <c r="U32" s="152">
        <v>13.0</v>
      </c>
      <c r="V32" s="152">
        <v>7.0</v>
      </c>
      <c r="W32" s="152">
        <v>7.0</v>
      </c>
      <c r="X32" s="152">
        <v>25.0</v>
      </c>
      <c r="Y32" s="152">
        <v>6.25</v>
      </c>
      <c r="Z32" s="152">
        <v>2225.0</v>
      </c>
      <c r="AA32" s="152">
        <v>1190.0</v>
      </c>
      <c r="AB32" s="152">
        <v>1205.0</v>
      </c>
      <c r="AC32" s="152">
        <v>620.0</v>
      </c>
      <c r="AD32" s="152">
        <v>1345.0</v>
      </c>
      <c r="AE32" s="152">
        <v>760.0</v>
      </c>
      <c r="AF32" s="152">
        <v>4355.0</v>
      </c>
      <c r="AG32" s="152">
        <v>2375.0</v>
      </c>
      <c r="AH32" s="134"/>
      <c r="AI32" s="153">
        <f t="shared" si="9"/>
        <v>100</v>
      </c>
      <c r="AJ32" s="134">
        <v>13.0</v>
      </c>
      <c r="AK32" s="134">
        <v>7.0</v>
      </c>
      <c r="AL32" s="134">
        <v>7.0</v>
      </c>
      <c r="AM32" s="134">
        <f t="shared" si="10"/>
        <v>25</v>
      </c>
      <c r="AN32" s="160">
        <v>5500.0</v>
      </c>
      <c r="AO32" s="161">
        <v>2190.0</v>
      </c>
      <c r="AP32" s="134">
        <v>2980.0</v>
      </c>
      <c r="AQ32" s="134">
        <v>1140.0</v>
      </c>
      <c r="AR32" s="134">
        <v>3240.0</v>
      </c>
      <c r="AS32" s="134">
        <v>1400.0</v>
      </c>
      <c r="AT32" s="22">
        <v>10680.0</v>
      </c>
      <c r="AU32" s="161">
        <v>4375.0</v>
      </c>
      <c r="AV32" s="90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8"/>
      <c r="BS32" s="8"/>
      <c r="BT32" s="8"/>
      <c r="BU32" s="8"/>
      <c r="BV32" s="8"/>
      <c r="BW32" s="8"/>
      <c r="BX32" s="8"/>
      <c r="BY32" s="1"/>
    </row>
    <row r="33" ht="12.75" customHeight="1">
      <c r="A33" s="126">
        <f t="shared" si="2"/>
        <v>29</v>
      </c>
      <c r="B33" s="124"/>
      <c r="C33" s="124"/>
      <c r="D33" s="124"/>
      <c r="E33" s="213">
        <f t="shared" ref="E33:F33" si="35">E32+35</f>
        <v>1200</v>
      </c>
      <c r="F33" s="213">
        <f t="shared" si="35"/>
        <v>1025</v>
      </c>
      <c r="G33" s="8"/>
      <c r="H33" s="126">
        <f t="shared" si="4"/>
        <v>29</v>
      </c>
      <c r="I33" s="126"/>
      <c r="J33" s="124"/>
      <c r="K33" s="124"/>
      <c r="L33" s="213">
        <f t="shared" ref="L33:M33" si="36">L32+55</f>
        <v>1595</v>
      </c>
      <c r="M33" s="213">
        <f t="shared" si="36"/>
        <v>1595</v>
      </c>
      <c r="N33" s="1"/>
      <c r="O33" s="1"/>
      <c r="P33" s="143">
        <v>104.0</v>
      </c>
      <c r="Q33" s="152">
        <v>7.0</v>
      </c>
      <c r="R33" s="152">
        <v>4.0</v>
      </c>
      <c r="S33" s="152">
        <v>4.0</v>
      </c>
      <c r="T33" s="152">
        <v>13.0</v>
      </c>
      <c r="U33" s="152">
        <v>13.0</v>
      </c>
      <c r="V33" s="152">
        <v>7.0</v>
      </c>
      <c r="W33" s="152">
        <v>7.0</v>
      </c>
      <c r="X33" s="152">
        <v>26.0</v>
      </c>
      <c r="Y33" s="152">
        <v>6.5</v>
      </c>
      <c r="Z33" s="152">
        <v>2315.0</v>
      </c>
      <c r="AA33" s="152">
        <v>1235.0</v>
      </c>
      <c r="AB33" s="152">
        <v>1205.0</v>
      </c>
      <c r="AC33" s="152">
        <v>620.0</v>
      </c>
      <c r="AD33" s="152">
        <v>1345.0</v>
      </c>
      <c r="AE33" s="152">
        <v>760.0</v>
      </c>
      <c r="AF33" s="217">
        <v>4505.0</v>
      </c>
      <c r="AG33" s="217">
        <v>2470.0</v>
      </c>
      <c r="AH33" s="134"/>
      <c r="AI33" s="218">
        <f t="shared" si="9"/>
        <v>104</v>
      </c>
      <c r="AJ33" s="219">
        <v>13.0</v>
      </c>
      <c r="AK33" s="134">
        <v>7.0</v>
      </c>
      <c r="AL33" s="134">
        <v>7.0</v>
      </c>
      <c r="AM33" s="134">
        <f t="shared" si="10"/>
        <v>26</v>
      </c>
      <c r="AN33" s="182">
        <v>5640.0</v>
      </c>
      <c r="AO33" s="161">
        <v>2275.0</v>
      </c>
      <c r="AP33" s="160">
        <v>2980.0</v>
      </c>
      <c r="AQ33" s="161">
        <v>1140.0</v>
      </c>
      <c r="AR33" s="134">
        <v>3240.0</v>
      </c>
      <c r="AS33" s="134">
        <v>1400.0</v>
      </c>
      <c r="AT33" s="22">
        <v>11100.0</v>
      </c>
      <c r="AU33" s="161">
        <v>4550.0</v>
      </c>
      <c r="AV33" s="90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8"/>
      <c r="BS33" s="8"/>
      <c r="BT33" s="8"/>
      <c r="BU33" s="8"/>
      <c r="BV33" s="8"/>
      <c r="BW33" s="8"/>
      <c r="BX33" s="8"/>
      <c r="BY33" s="1"/>
    </row>
    <row r="34" ht="12.75" customHeight="1">
      <c r="A34" s="126">
        <f t="shared" si="2"/>
        <v>30</v>
      </c>
      <c r="B34" s="124"/>
      <c r="C34" s="124"/>
      <c r="D34" s="124"/>
      <c r="E34" s="213">
        <f t="shared" ref="E34:F34" si="37">E33+35</f>
        <v>1235</v>
      </c>
      <c r="F34" s="213">
        <f t="shared" si="37"/>
        <v>1060</v>
      </c>
      <c r="G34" s="8"/>
      <c r="H34" s="126">
        <f t="shared" si="4"/>
        <v>30</v>
      </c>
      <c r="I34" s="126"/>
      <c r="J34" s="124"/>
      <c r="K34" s="124"/>
      <c r="L34" s="213">
        <f t="shared" ref="L34:M34" si="38">L33+55</f>
        <v>1650</v>
      </c>
      <c r="M34" s="213">
        <f t="shared" si="38"/>
        <v>1650</v>
      </c>
      <c r="N34" s="1"/>
      <c r="O34" s="1"/>
      <c r="P34" s="143">
        <v>108.0</v>
      </c>
      <c r="Q34" s="152">
        <v>8.0</v>
      </c>
      <c r="R34" s="152">
        <v>4.0</v>
      </c>
      <c r="S34" s="152">
        <v>4.0</v>
      </c>
      <c r="T34" s="152">
        <v>14.0</v>
      </c>
      <c r="U34" s="152">
        <v>14.0</v>
      </c>
      <c r="V34" s="152">
        <v>7.0</v>
      </c>
      <c r="W34" s="152">
        <v>7.0</v>
      </c>
      <c r="X34" s="152">
        <v>27.0</v>
      </c>
      <c r="Y34" s="152">
        <v>7.0</v>
      </c>
      <c r="Z34" s="152">
        <v>2395.0</v>
      </c>
      <c r="AA34" s="152">
        <v>1285.0</v>
      </c>
      <c r="AB34" s="152">
        <v>1295.0</v>
      </c>
      <c r="AC34" s="152">
        <v>665.0</v>
      </c>
      <c r="AD34" s="152">
        <v>1435.0</v>
      </c>
      <c r="AE34" s="152">
        <v>805.0</v>
      </c>
      <c r="AF34" s="217">
        <v>4695.0</v>
      </c>
      <c r="AG34" s="217">
        <v>2565.0</v>
      </c>
      <c r="AH34" s="134"/>
      <c r="AI34" s="153">
        <f t="shared" si="9"/>
        <v>108</v>
      </c>
      <c r="AJ34" s="22">
        <v>14.0</v>
      </c>
      <c r="AK34" s="134">
        <v>7.0</v>
      </c>
      <c r="AL34" s="134">
        <v>7.0</v>
      </c>
      <c r="AM34" s="134">
        <f t="shared" si="10"/>
        <v>27</v>
      </c>
      <c r="AN34" s="22">
        <v>5920.0</v>
      </c>
      <c r="AO34" s="161">
        <v>2365.0</v>
      </c>
      <c r="AP34" s="134">
        <v>3120.0</v>
      </c>
      <c r="AQ34" s="134">
        <v>1225.0</v>
      </c>
      <c r="AR34" s="134">
        <v>3400.0</v>
      </c>
      <c r="AS34" s="134">
        <v>1505.0</v>
      </c>
      <c r="AT34" s="22">
        <v>11520.0</v>
      </c>
      <c r="AU34" s="161">
        <v>4725.0</v>
      </c>
      <c r="AV34" s="90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8"/>
      <c r="BS34" s="8"/>
      <c r="BT34" s="8"/>
      <c r="BU34" s="8"/>
      <c r="BV34" s="8"/>
      <c r="BW34" s="8"/>
      <c r="BX34" s="8"/>
      <c r="BY34" s="1"/>
    </row>
    <row r="35" ht="12.75" customHeight="1">
      <c r="A35" s="126">
        <f t="shared" si="2"/>
        <v>31</v>
      </c>
      <c r="B35" s="124"/>
      <c r="C35" s="124"/>
      <c r="D35" s="124"/>
      <c r="E35" s="213">
        <f t="shared" ref="E35:F35" si="39">E34+35</f>
        <v>1270</v>
      </c>
      <c r="F35" s="213">
        <f t="shared" si="39"/>
        <v>1095</v>
      </c>
      <c r="G35" s="8"/>
      <c r="H35" s="126">
        <f t="shared" si="4"/>
        <v>31</v>
      </c>
      <c r="I35" s="126"/>
      <c r="J35" s="124"/>
      <c r="K35" s="124"/>
      <c r="L35" s="213">
        <f t="shared" ref="L35:M35" si="40">L34+55</f>
        <v>1705</v>
      </c>
      <c r="M35" s="213">
        <f t="shared" si="40"/>
        <v>1705</v>
      </c>
      <c r="N35" s="1"/>
      <c r="O35" s="1"/>
      <c r="P35" s="143">
        <v>112.0</v>
      </c>
      <c r="Q35" s="152">
        <v>7.0</v>
      </c>
      <c r="R35" s="152">
        <v>4.0</v>
      </c>
      <c r="S35" s="152">
        <v>4.0</v>
      </c>
      <c r="T35" s="152">
        <v>14.0</v>
      </c>
      <c r="U35" s="152">
        <v>14.0</v>
      </c>
      <c r="V35" s="152">
        <v>7.0</v>
      </c>
      <c r="W35" s="152">
        <v>7.0</v>
      </c>
      <c r="X35" s="152">
        <v>28.0</v>
      </c>
      <c r="Y35" s="152">
        <v>7.0</v>
      </c>
      <c r="Z35" s="152">
        <v>2465.0</v>
      </c>
      <c r="AA35" s="152">
        <v>1330.0</v>
      </c>
      <c r="AB35" s="152">
        <v>1295.0</v>
      </c>
      <c r="AC35" s="152">
        <v>665.0</v>
      </c>
      <c r="AD35" s="152">
        <v>1435.0</v>
      </c>
      <c r="AE35" s="152">
        <v>805.0</v>
      </c>
      <c r="AF35" s="217">
        <v>4845.0</v>
      </c>
      <c r="AG35" s="217">
        <v>2660.0</v>
      </c>
      <c r="AH35" s="134"/>
      <c r="AI35" s="153">
        <f t="shared" si="9"/>
        <v>112</v>
      </c>
      <c r="AJ35" s="22">
        <v>14.0</v>
      </c>
      <c r="AK35" s="134">
        <v>7.0</v>
      </c>
      <c r="AL35" s="134">
        <v>7.0</v>
      </c>
      <c r="AM35" s="134">
        <f t="shared" si="10"/>
        <v>28</v>
      </c>
      <c r="AN35" s="22">
        <v>6060.0</v>
      </c>
      <c r="AO35" s="161">
        <v>2450.0</v>
      </c>
      <c r="AP35" s="160">
        <v>3120.0</v>
      </c>
      <c r="AQ35" s="161">
        <v>1225.0</v>
      </c>
      <c r="AR35" s="134">
        <v>3400.0</v>
      </c>
      <c r="AS35" s="134">
        <v>1505.0</v>
      </c>
      <c r="AT35" s="22">
        <v>11940.0</v>
      </c>
      <c r="AU35" s="161">
        <v>4900.0</v>
      </c>
      <c r="AV35" s="90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8"/>
      <c r="BS35" s="8"/>
      <c r="BT35" s="8"/>
      <c r="BU35" s="8"/>
      <c r="BV35" s="8"/>
      <c r="BW35" s="8"/>
      <c r="BX35" s="8"/>
      <c r="BY35" s="1"/>
    </row>
    <row r="36" ht="12.75" customHeight="1">
      <c r="A36" s="126">
        <f t="shared" si="2"/>
        <v>32</v>
      </c>
      <c r="B36" s="124"/>
      <c r="C36" s="124"/>
      <c r="D36" s="124"/>
      <c r="E36" s="213">
        <f t="shared" ref="E36:F36" si="41">E35+35</f>
        <v>1305</v>
      </c>
      <c r="F36" s="213">
        <f t="shared" si="41"/>
        <v>1130</v>
      </c>
      <c r="G36" s="8"/>
      <c r="H36" s="126">
        <f t="shared" si="4"/>
        <v>32</v>
      </c>
      <c r="I36" s="126"/>
      <c r="J36" s="124"/>
      <c r="K36" s="124"/>
      <c r="L36" s="213">
        <f t="shared" ref="L36:M36" si="42">L35+55</f>
        <v>1760</v>
      </c>
      <c r="M36" s="213">
        <f t="shared" si="42"/>
        <v>1760</v>
      </c>
      <c r="N36" s="1"/>
      <c r="O36" s="1"/>
      <c r="P36" s="143">
        <v>116.0</v>
      </c>
      <c r="Q36" s="152">
        <v>8.0</v>
      </c>
      <c r="R36" s="152">
        <v>5.0</v>
      </c>
      <c r="S36" s="152">
        <v>5.0</v>
      </c>
      <c r="T36" s="152">
        <v>15.0</v>
      </c>
      <c r="U36" s="152">
        <v>15.0</v>
      </c>
      <c r="V36" s="152">
        <v>8.0</v>
      </c>
      <c r="W36" s="152">
        <v>8.0</v>
      </c>
      <c r="X36" s="152">
        <v>29.0</v>
      </c>
      <c r="Y36" s="152">
        <v>7.25</v>
      </c>
      <c r="Z36" s="152">
        <v>2565.0</v>
      </c>
      <c r="AA36" s="152">
        <v>1380.0</v>
      </c>
      <c r="AB36" s="152">
        <v>1375.0</v>
      </c>
      <c r="AC36" s="152">
        <v>715.0</v>
      </c>
      <c r="AD36" s="152">
        <v>1535.0</v>
      </c>
      <c r="AE36" s="152">
        <v>875.0</v>
      </c>
      <c r="AF36" s="217">
        <v>5035.0</v>
      </c>
      <c r="AG36" s="217">
        <v>2755.0</v>
      </c>
      <c r="AH36" s="22"/>
      <c r="AI36" s="153">
        <f t="shared" si="9"/>
        <v>116</v>
      </c>
      <c r="AJ36" s="22">
        <v>15.0</v>
      </c>
      <c r="AK36" s="134">
        <v>8.0</v>
      </c>
      <c r="AL36" s="134">
        <v>8.0</v>
      </c>
      <c r="AM36" s="134">
        <f t="shared" si="10"/>
        <v>29</v>
      </c>
      <c r="AN36" s="22">
        <v>6340.0</v>
      </c>
      <c r="AO36" s="161">
        <v>2540.0</v>
      </c>
      <c r="AP36" s="134">
        <v>3400.0</v>
      </c>
      <c r="AQ36" s="134">
        <v>1315.0</v>
      </c>
      <c r="AR36" s="134">
        <v>3700.0</v>
      </c>
      <c r="AS36" s="134">
        <v>1615.0</v>
      </c>
      <c r="AT36" s="22">
        <v>12360.0</v>
      </c>
      <c r="AU36" s="161">
        <v>5075.0</v>
      </c>
      <c r="AV36" s="90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8"/>
      <c r="BS36" s="8"/>
      <c r="BT36" s="8"/>
      <c r="BU36" s="8"/>
      <c r="BV36" s="8"/>
      <c r="BW36" s="8"/>
      <c r="BX36" s="8"/>
      <c r="BY36" s="1"/>
    </row>
    <row r="37" ht="12.75" customHeight="1">
      <c r="A37" s="126">
        <f t="shared" si="2"/>
        <v>33</v>
      </c>
      <c r="B37" s="124"/>
      <c r="C37" s="124"/>
      <c r="D37" s="124"/>
      <c r="E37" s="213">
        <f t="shared" ref="E37:F37" si="43">E36+35</f>
        <v>1340</v>
      </c>
      <c r="F37" s="213">
        <f t="shared" si="43"/>
        <v>1165</v>
      </c>
      <c r="G37" s="8"/>
      <c r="H37" s="126">
        <f t="shared" si="4"/>
        <v>33</v>
      </c>
      <c r="I37" s="126"/>
      <c r="J37" s="124"/>
      <c r="K37" s="124"/>
      <c r="L37" s="213">
        <f t="shared" ref="L37:M37" si="44">L36+55</f>
        <v>1815</v>
      </c>
      <c r="M37" s="213">
        <f t="shared" si="44"/>
        <v>1815</v>
      </c>
      <c r="N37" s="1"/>
      <c r="O37" s="1"/>
      <c r="P37" s="143">
        <v>120.0</v>
      </c>
      <c r="Q37" s="152">
        <v>8.0</v>
      </c>
      <c r="R37" s="152">
        <v>5.0</v>
      </c>
      <c r="S37" s="152">
        <v>5.0</v>
      </c>
      <c r="T37" s="152">
        <v>15.0</v>
      </c>
      <c r="U37" s="152">
        <v>15.0</v>
      </c>
      <c r="V37" s="152">
        <v>8.0</v>
      </c>
      <c r="W37" s="152">
        <v>8.0</v>
      </c>
      <c r="X37" s="152">
        <v>30.0</v>
      </c>
      <c r="Y37" s="152">
        <v>7.5</v>
      </c>
      <c r="Z37" s="152">
        <v>2655.0</v>
      </c>
      <c r="AA37" s="152">
        <v>1425.0</v>
      </c>
      <c r="AB37" s="152">
        <v>1375.0</v>
      </c>
      <c r="AC37" s="152">
        <v>715.0</v>
      </c>
      <c r="AD37" s="152">
        <v>1535.0</v>
      </c>
      <c r="AE37" s="152">
        <v>875.0</v>
      </c>
      <c r="AF37" s="217">
        <v>5185.0</v>
      </c>
      <c r="AG37" s="217">
        <v>2850.0</v>
      </c>
      <c r="AH37" s="134"/>
      <c r="AI37" s="153">
        <f t="shared" si="9"/>
        <v>120</v>
      </c>
      <c r="AJ37" s="22">
        <v>15.0</v>
      </c>
      <c r="AK37" s="134">
        <v>8.0</v>
      </c>
      <c r="AL37" s="134">
        <v>8.0</v>
      </c>
      <c r="AM37" s="134">
        <f t="shared" si="10"/>
        <v>30</v>
      </c>
      <c r="AN37" s="22">
        <v>6480.0</v>
      </c>
      <c r="AO37" s="161">
        <v>2625.0</v>
      </c>
      <c r="AP37" s="160">
        <v>3400.0</v>
      </c>
      <c r="AQ37" s="161">
        <v>1315.0</v>
      </c>
      <c r="AR37" s="134">
        <v>3700.0</v>
      </c>
      <c r="AS37" s="134">
        <v>1615.0</v>
      </c>
      <c r="AT37" s="22">
        <v>12780.0</v>
      </c>
      <c r="AU37" s="161">
        <v>5250.0</v>
      </c>
      <c r="AV37" s="90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8"/>
      <c r="BS37" s="8"/>
      <c r="BT37" s="8"/>
      <c r="BU37" s="8"/>
      <c r="BV37" s="8"/>
      <c r="BW37" s="8"/>
      <c r="BX37" s="8"/>
      <c r="BY37" s="1"/>
    </row>
    <row r="38" ht="12.75" customHeight="1">
      <c r="A38" s="126">
        <f t="shared" si="2"/>
        <v>34</v>
      </c>
      <c r="B38" s="124"/>
      <c r="C38" s="124"/>
      <c r="D38" s="124"/>
      <c r="E38" s="213">
        <f t="shared" ref="E38:F38" si="45">E37+35</f>
        <v>1375</v>
      </c>
      <c r="F38" s="213">
        <f t="shared" si="45"/>
        <v>1200</v>
      </c>
      <c r="G38" s="8"/>
      <c r="H38" s="126">
        <f t="shared" si="4"/>
        <v>34</v>
      </c>
      <c r="I38" s="126"/>
      <c r="J38" s="124"/>
      <c r="K38" s="124"/>
      <c r="L38" s="213">
        <f t="shared" ref="L38:M38" si="46">L37+55</f>
        <v>1870</v>
      </c>
      <c r="M38" s="213">
        <f t="shared" si="46"/>
        <v>1870</v>
      </c>
      <c r="N38" s="1"/>
      <c r="O38" s="1"/>
      <c r="P38" s="143">
        <v>124.0</v>
      </c>
      <c r="Q38" s="152">
        <v>9.0</v>
      </c>
      <c r="R38" s="152">
        <v>4.0</v>
      </c>
      <c r="S38" s="152">
        <v>4.0</v>
      </c>
      <c r="T38" s="152">
        <v>16.0</v>
      </c>
      <c r="U38" s="152">
        <v>16.0</v>
      </c>
      <c r="V38" s="152">
        <v>8.0</v>
      </c>
      <c r="W38" s="152">
        <v>8.0</v>
      </c>
      <c r="X38" s="152">
        <v>31.0</v>
      </c>
      <c r="Y38" s="152">
        <v>8.0</v>
      </c>
      <c r="Z38" s="152">
        <v>2735.0</v>
      </c>
      <c r="AA38" s="152">
        <v>1475.0</v>
      </c>
      <c r="AB38" s="152">
        <v>1445.0</v>
      </c>
      <c r="AC38" s="152">
        <v>760.0</v>
      </c>
      <c r="AD38" s="152">
        <v>1605.0</v>
      </c>
      <c r="AE38" s="152">
        <v>920.0</v>
      </c>
      <c r="AF38" s="217">
        <v>5375.0</v>
      </c>
      <c r="AG38" s="217">
        <v>2945.0</v>
      </c>
      <c r="AH38" s="134"/>
      <c r="AI38" s="153">
        <f t="shared" si="9"/>
        <v>124</v>
      </c>
      <c r="AJ38" s="22">
        <v>16.0</v>
      </c>
      <c r="AK38" s="134">
        <v>8.0</v>
      </c>
      <c r="AL38" s="134">
        <v>8.0</v>
      </c>
      <c r="AM38" s="134">
        <f t="shared" si="10"/>
        <v>31</v>
      </c>
      <c r="AN38" s="22">
        <v>6760.0</v>
      </c>
      <c r="AO38" s="161">
        <v>2715.0</v>
      </c>
      <c r="AP38" s="134">
        <v>3540.0</v>
      </c>
      <c r="AQ38" s="134">
        <v>1400.0</v>
      </c>
      <c r="AR38" s="134">
        <v>3860.0</v>
      </c>
      <c r="AS38" s="134">
        <v>1720.0</v>
      </c>
      <c r="AT38" s="22">
        <v>13200.0</v>
      </c>
      <c r="AU38" s="161">
        <v>5425.0</v>
      </c>
      <c r="AV38" s="90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8"/>
      <c r="BS38" s="8"/>
      <c r="BT38" s="8"/>
      <c r="BU38" s="8"/>
      <c r="BV38" s="8"/>
      <c r="BW38" s="8"/>
      <c r="BX38" s="8"/>
      <c r="BY38" s="1"/>
    </row>
    <row r="39" ht="12.75" customHeight="1">
      <c r="A39" s="126">
        <f t="shared" si="2"/>
        <v>35</v>
      </c>
      <c r="B39" s="124"/>
      <c r="C39" s="124"/>
      <c r="D39" s="124"/>
      <c r="E39" s="213">
        <f t="shared" ref="E39:F39" si="47">E38+35</f>
        <v>1410</v>
      </c>
      <c r="F39" s="213">
        <f t="shared" si="47"/>
        <v>1235</v>
      </c>
      <c r="G39" s="8"/>
      <c r="H39" s="126">
        <f t="shared" si="4"/>
        <v>35</v>
      </c>
      <c r="I39" s="126"/>
      <c r="J39" s="124"/>
      <c r="K39" s="124"/>
      <c r="L39" s="213">
        <f t="shared" ref="L39:M39" si="48">L38+55</f>
        <v>1925</v>
      </c>
      <c r="M39" s="213">
        <f t="shared" si="48"/>
        <v>1925</v>
      </c>
      <c r="N39" s="1"/>
      <c r="O39" s="1"/>
      <c r="P39" s="143">
        <v>128.0</v>
      </c>
      <c r="Q39" s="152">
        <v>8.0</v>
      </c>
      <c r="R39" s="152">
        <v>4.0</v>
      </c>
      <c r="S39" s="152">
        <v>4.0</v>
      </c>
      <c r="T39" s="152">
        <v>16.0</v>
      </c>
      <c r="U39" s="152">
        <v>16.0</v>
      </c>
      <c r="V39" s="152">
        <v>8.0</v>
      </c>
      <c r="W39" s="152">
        <v>8.0</v>
      </c>
      <c r="X39" s="152">
        <v>32.0</v>
      </c>
      <c r="Y39" s="152">
        <v>8.0</v>
      </c>
      <c r="Z39" s="152">
        <v>2805.0</v>
      </c>
      <c r="AA39" s="152">
        <v>1520.0</v>
      </c>
      <c r="AB39" s="152">
        <v>1445.0</v>
      </c>
      <c r="AC39" s="152">
        <v>760.0</v>
      </c>
      <c r="AD39" s="152">
        <v>1605.0</v>
      </c>
      <c r="AE39" s="152">
        <v>920.0</v>
      </c>
      <c r="AF39" s="217">
        <v>5525.0</v>
      </c>
      <c r="AG39" s="217">
        <v>3040.0</v>
      </c>
      <c r="AH39" s="134"/>
      <c r="AI39" s="153">
        <f t="shared" si="9"/>
        <v>128</v>
      </c>
      <c r="AJ39" s="22">
        <v>16.0</v>
      </c>
      <c r="AK39" s="134">
        <v>8.0</v>
      </c>
      <c r="AL39" s="134">
        <v>8.0</v>
      </c>
      <c r="AM39" s="134">
        <f t="shared" si="10"/>
        <v>32</v>
      </c>
      <c r="AN39" s="22">
        <v>6900.0</v>
      </c>
      <c r="AO39" s="161">
        <v>2800.0</v>
      </c>
      <c r="AP39" s="160">
        <v>3540.0</v>
      </c>
      <c r="AQ39" s="161">
        <v>1400.0</v>
      </c>
      <c r="AR39" s="134">
        <v>3860.0</v>
      </c>
      <c r="AS39" s="134">
        <v>1720.0</v>
      </c>
      <c r="AT39" s="22">
        <v>13620.0</v>
      </c>
      <c r="AU39" s="161">
        <v>5600.0</v>
      </c>
      <c r="AV39" s="90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8"/>
      <c r="BS39" s="8"/>
      <c r="BT39" s="8"/>
      <c r="BU39" s="8"/>
      <c r="BV39" s="8"/>
      <c r="BW39" s="8"/>
      <c r="BX39" s="8"/>
      <c r="BY39" s="1"/>
    </row>
    <row r="40" ht="12.75" customHeight="1">
      <c r="A40" s="126">
        <f t="shared" si="2"/>
        <v>36</v>
      </c>
      <c r="B40" s="124"/>
      <c r="C40" s="124"/>
      <c r="D40" s="124"/>
      <c r="E40" s="213">
        <f t="shared" ref="E40:F40" si="49">E39+35</f>
        <v>1445</v>
      </c>
      <c r="F40" s="213">
        <f t="shared" si="49"/>
        <v>1270</v>
      </c>
      <c r="G40" s="8"/>
      <c r="H40" s="126">
        <f t="shared" si="4"/>
        <v>36</v>
      </c>
      <c r="I40" s="126"/>
      <c r="J40" s="124"/>
      <c r="K40" s="124"/>
      <c r="L40" s="213">
        <f t="shared" ref="L40:M40" si="50">L39+55</f>
        <v>1980</v>
      </c>
      <c r="M40" s="213">
        <f t="shared" si="50"/>
        <v>1980</v>
      </c>
      <c r="N40" s="1"/>
      <c r="O40" s="1"/>
      <c r="P40" s="143">
        <v>132.0</v>
      </c>
      <c r="Q40" s="152">
        <v>9.0</v>
      </c>
      <c r="R40" s="152">
        <v>5.0</v>
      </c>
      <c r="S40" s="152">
        <v>5.0</v>
      </c>
      <c r="T40" s="152">
        <v>17.0</v>
      </c>
      <c r="U40" s="152">
        <v>17.0</v>
      </c>
      <c r="V40" s="152">
        <v>9.0</v>
      </c>
      <c r="W40" s="152">
        <v>9.0</v>
      </c>
      <c r="X40" s="152">
        <v>33.0</v>
      </c>
      <c r="Y40" s="152">
        <v>8.25</v>
      </c>
      <c r="Z40" s="152">
        <v>2905.0</v>
      </c>
      <c r="AA40" s="152">
        <v>1570.0</v>
      </c>
      <c r="AB40" s="152">
        <v>1545.0</v>
      </c>
      <c r="AC40" s="152">
        <v>810.0</v>
      </c>
      <c r="AD40" s="152">
        <v>1725.0</v>
      </c>
      <c r="AE40" s="152">
        <v>990.0</v>
      </c>
      <c r="AF40" s="217">
        <v>5715.0</v>
      </c>
      <c r="AG40" s="217">
        <v>3135.0</v>
      </c>
      <c r="AH40" s="134"/>
      <c r="AI40" s="153">
        <f t="shared" si="9"/>
        <v>132</v>
      </c>
      <c r="AJ40" s="22">
        <v>17.0</v>
      </c>
      <c r="AK40" s="134">
        <v>9.0</v>
      </c>
      <c r="AL40" s="134">
        <v>9.0</v>
      </c>
      <c r="AM40" s="134">
        <f t="shared" si="10"/>
        <v>33</v>
      </c>
      <c r="AN40" s="22">
        <v>7180.0</v>
      </c>
      <c r="AO40" s="161">
        <v>2890.0</v>
      </c>
      <c r="AP40" s="134">
        <v>3820.0</v>
      </c>
      <c r="AQ40" s="134">
        <v>1490.0</v>
      </c>
      <c r="AR40" s="134">
        <v>4160.0</v>
      </c>
      <c r="AS40" s="134">
        <v>1830.0</v>
      </c>
      <c r="AT40" s="22">
        <v>14040.0</v>
      </c>
      <c r="AU40" s="161">
        <v>5775.0</v>
      </c>
      <c r="AV40" s="90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8"/>
      <c r="BS40" s="8"/>
      <c r="BT40" s="8"/>
      <c r="BU40" s="8"/>
      <c r="BV40" s="8"/>
      <c r="BW40" s="8"/>
      <c r="BX40" s="8"/>
      <c r="BY40" s="1"/>
    </row>
    <row r="41" ht="12.75" customHeight="1">
      <c r="A41" s="126">
        <f t="shared" si="2"/>
        <v>37</v>
      </c>
      <c r="B41" s="124"/>
      <c r="C41" s="124"/>
      <c r="D41" s="124"/>
      <c r="E41" s="213">
        <f t="shared" ref="E41:F41" si="51">E40+35</f>
        <v>1480</v>
      </c>
      <c r="F41" s="213">
        <f t="shared" si="51"/>
        <v>1305</v>
      </c>
      <c r="G41" s="8"/>
      <c r="H41" s="126">
        <f t="shared" si="4"/>
        <v>37</v>
      </c>
      <c r="I41" s="126"/>
      <c r="J41" s="124"/>
      <c r="K41" s="124"/>
      <c r="L41" s="213">
        <f t="shared" ref="L41:M41" si="52">L40+55</f>
        <v>2035</v>
      </c>
      <c r="M41" s="213">
        <f t="shared" si="52"/>
        <v>2035</v>
      </c>
      <c r="N41" s="1"/>
      <c r="O41" s="1"/>
      <c r="P41" s="143">
        <v>136.0</v>
      </c>
      <c r="Q41" s="152">
        <v>9.0</v>
      </c>
      <c r="R41" s="152">
        <v>5.0</v>
      </c>
      <c r="S41" s="152">
        <v>5.0</v>
      </c>
      <c r="T41" s="152">
        <v>17.0</v>
      </c>
      <c r="U41" s="152">
        <v>17.0</v>
      </c>
      <c r="V41" s="152">
        <v>9.0</v>
      </c>
      <c r="W41" s="152">
        <v>9.0</v>
      </c>
      <c r="X41" s="152">
        <v>34.0</v>
      </c>
      <c r="Y41" s="152">
        <v>8.5</v>
      </c>
      <c r="Z41" s="152">
        <v>2995.0</v>
      </c>
      <c r="AA41" s="152">
        <v>1615.0</v>
      </c>
      <c r="AB41" s="152">
        <v>1545.0</v>
      </c>
      <c r="AC41" s="152">
        <v>810.0</v>
      </c>
      <c r="AD41" s="152">
        <v>1725.0</v>
      </c>
      <c r="AE41" s="152">
        <v>990.0</v>
      </c>
      <c r="AF41" s="217">
        <v>5865.0</v>
      </c>
      <c r="AG41" s="217">
        <v>3230.0</v>
      </c>
      <c r="AH41" s="134"/>
      <c r="AI41" s="153">
        <f t="shared" si="9"/>
        <v>136</v>
      </c>
      <c r="AJ41" s="22">
        <v>17.0</v>
      </c>
      <c r="AK41" s="134">
        <v>9.0</v>
      </c>
      <c r="AL41" s="134">
        <v>9.0</v>
      </c>
      <c r="AM41" s="134">
        <f t="shared" si="10"/>
        <v>34</v>
      </c>
      <c r="AN41" s="22">
        <v>7320.0</v>
      </c>
      <c r="AO41" s="161">
        <v>2975.0</v>
      </c>
      <c r="AP41" s="160">
        <v>3820.0</v>
      </c>
      <c r="AQ41" s="161">
        <v>1490.0</v>
      </c>
      <c r="AR41" s="134">
        <v>4160.0</v>
      </c>
      <c r="AS41" s="134">
        <v>1830.0</v>
      </c>
      <c r="AT41" s="22">
        <v>14460.0</v>
      </c>
      <c r="AU41" s="161">
        <v>5950.0</v>
      </c>
      <c r="AV41" s="90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8"/>
      <c r="BS41" s="8"/>
      <c r="BT41" s="8"/>
      <c r="BU41" s="8"/>
      <c r="BV41" s="8"/>
      <c r="BW41" s="8"/>
      <c r="BX41" s="8"/>
      <c r="BY41" s="1"/>
    </row>
    <row r="42" ht="12.75" customHeight="1">
      <c r="A42" s="126">
        <f t="shared" si="2"/>
        <v>38</v>
      </c>
      <c r="B42" s="124"/>
      <c r="C42" s="124"/>
      <c r="D42" s="124"/>
      <c r="E42" s="213">
        <f t="shared" ref="E42:F42" si="53">E41+35</f>
        <v>1515</v>
      </c>
      <c r="F42" s="213">
        <f t="shared" si="53"/>
        <v>1340</v>
      </c>
      <c r="G42" s="8"/>
      <c r="H42" s="126">
        <f t="shared" si="4"/>
        <v>38</v>
      </c>
      <c r="I42" s="126"/>
      <c r="J42" s="124"/>
      <c r="K42" s="124"/>
      <c r="L42" s="213">
        <f t="shared" ref="L42:M42" si="54">L41+55</f>
        <v>2090</v>
      </c>
      <c r="M42" s="213">
        <f t="shared" si="54"/>
        <v>2090</v>
      </c>
      <c r="N42" s="1"/>
      <c r="O42" s="1"/>
      <c r="P42" s="143">
        <v>140.0</v>
      </c>
      <c r="Q42" s="152">
        <v>10.0</v>
      </c>
      <c r="R42" s="152">
        <v>5.0</v>
      </c>
      <c r="S42" s="152">
        <v>5.0</v>
      </c>
      <c r="T42" s="152">
        <v>18.0</v>
      </c>
      <c r="U42" s="152">
        <v>18.0</v>
      </c>
      <c r="V42" s="152">
        <v>9.0</v>
      </c>
      <c r="W42" s="152">
        <v>9.0</v>
      </c>
      <c r="X42" s="152">
        <v>35.0</v>
      </c>
      <c r="Y42" s="152">
        <v>9.0</v>
      </c>
      <c r="Z42" s="152">
        <v>3075.0</v>
      </c>
      <c r="AA42" s="152">
        <v>1665.0</v>
      </c>
      <c r="AB42" s="152">
        <v>1635.0</v>
      </c>
      <c r="AC42" s="152">
        <v>855.0</v>
      </c>
      <c r="AD42" s="152">
        <v>1815.0</v>
      </c>
      <c r="AE42" s="152">
        <v>1035.0</v>
      </c>
      <c r="AF42" s="217">
        <v>6055.0</v>
      </c>
      <c r="AG42" s="217">
        <v>3325.0</v>
      </c>
      <c r="AH42" s="134"/>
      <c r="AI42" s="153">
        <f t="shared" si="9"/>
        <v>140</v>
      </c>
      <c r="AJ42" s="22">
        <v>18.0</v>
      </c>
      <c r="AK42" s="134">
        <v>9.0</v>
      </c>
      <c r="AL42" s="134">
        <v>9.0</v>
      </c>
      <c r="AM42" s="134">
        <f t="shared" si="10"/>
        <v>35</v>
      </c>
      <c r="AN42" s="22">
        <v>7600.0</v>
      </c>
      <c r="AO42" s="161">
        <v>3065.0</v>
      </c>
      <c r="AP42" s="134">
        <v>3960.0</v>
      </c>
      <c r="AQ42" s="134">
        <v>1575.0</v>
      </c>
      <c r="AR42" s="134">
        <v>4320.0</v>
      </c>
      <c r="AS42" s="134">
        <v>1935.0</v>
      </c>
      <c r="AT42" s="22">
        <v>14880.0</v>
      </c>
      <c r="AU42" s="161">
        <v>6125.0</v>
      </c>
      <c r="AV42" s="220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8"/>
      <c r="BS42" s="8"/>
      <c r="BT42" s="8"/>
      <c r="BU42" s="8"/>
      <c r="BV42" s="8"/>
      <c r="BW42" s="8"/>
      <c r="BX42" s="8"/>
      <c r="BY42" s="1"/>
    </row>
    <row r="43" ht="12.75" customHeight="1">
      <c r="A43" s="126">
        <f t="shared" si="2"/>
        <v>39</v>
      </c>
      <c r="B43" s="124"/>
      <c r="C43" s="124"/>
      <c r="D43" s="124"/>
      <c r="E43" s="213">
        <f t="shared" ref="E43:F43" si="55">E42+35</f>
        <v>1550</v>
      </c>
      <c r="F43" s="213">
        <f t="shared" si="55"/>
        <v>1375</v>
      </c>
      <c r="G43" s="8"/>
      <c r="H43" s="126">
        <f t="shared" si="4"/>
        <v>39</v>
      </c>
      <c r="I43" s="126"/>
      <c r="J43" s="124"/>
      <c r="K43" s="124"/>
      <c r="L43" s="213">
        <f t="shared" ref="L43:M43" si="56">L42+55</f>
        <v>2145</v>
      </c>
      <c r="M43" s="213">
        <f t="shared" si="56"/>
        <v>2145</v>
      </c>
      <c r="N43" s="1"/>
      <c r="O43" s="1"/>
      <c r="P43" s="143">
        <v>144.0</v>
      </c>
      <c r="Q43" s="152">
        <v>9.0</v>
      </c>
      <c r="R43" s="152">
        <v>5.0</v>
      </c>
      <c r="S43" s="152">
        <v>5.0</v>
      </c>
      <c r="T43" s="152">
        <v>18.0</v>
      </c>
      <c r="U43" s="152">
        <v>18.0</v>
      </c>
      <c r="V43" s="152">
        <v>9.0</v>
      </c>
      <c r="W43" s="152">
        <v>9.0</v>
      </c>
      <c r="X43" s="152">
        <v>36.0</v>
      </c>
      <c r="Y43" s="152">
        <v>9.0</v>
      </c>
      <c r="Z43" s="152">
        <v>3145.0</v>
      </c>
      <c r="AA43" s="152">
        <v>1710.0</v>
      </c>
      <c r="AB43" s="152">
        <v>1635.0</v>
      </c>
      <c r="AC43" s="152">
        <v>855.0</v>
      </c>
      <c r="AD43" s="152">
        <v>1815.0</v>
      </c>
      <c r="AE43" s="152">
        <v>1035.0</v>
      </c>
      <c r="AF43" s="217">
        <v>6205.0</v>
      </c>
      <c r="AG43" s="217">
        <v>3420.0</v>
      </c>
      <c r="AH43" s="134"/>
      <c r="AI43" s="153">
        <f t="shared" si="9"/>
        <v>144</v>
      </c>
      <c r="AJ43" s="22">
        <v>18.0</v>
      </c>
      <c r="AK43" s="134">
        <v>9.0</v>
      </c>
      <c r="AL43" s="134">
        <v>9.0</v>
      </c>
      <c r="AM43" s="134">
        <f t="shared" si="10"/>
        <v>36</v>
      </c>
      <c r="AN43" s="22">
        <v>7740.0</v>
      </c>
      <c r="AO43" s="161">
        <v>3150.0</v>
      </c>
      <c r="AP43" s="160">
        <v>3960.0</v>
      </c>
      <c r="AQ43" s="161">
        <v>1575.0</v>
      </c>
      <c r="AR43" s="134">
        <v>4320.0</v>
      </c>
      <c r="AS43" s="134">
        <v>1935.0</v>
      </c>
      <c r="AT43" s="22">
        <v>15300.0</v>
      </c>
      <c r="AU43" s="161">
        <v>6300.0</v>
      </c>
      <c r="AV43" s="220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8"/>
      <c r="BS43" s="8"/>
      <c r="BT43" s="8"/>
      <c r="BU43" s="8"/>
      <c r="BV43" s="8"/>
      <c r="BW43" s="8"/>
      <c r="BX43" s="8"/>
      <c r="BY43" s="1"/>
    </row>
    <row r="44" ht="12.75" customHeight="1">
      <c r="A44" s="126">
        <f t="shared" si="2"/>
        <v>40</v>
      </c>
      <c r="B44" s="124"/>
      <c r="C44" s="124"/>
      <c r="D44" s="124"/>
      <c r="E44" s="213">
        <f t="shared" ref="E44:F44" si="57">E43+35</f>
        <v>1585</v>
      </c>
      <c r="F44" s="213">
        <f t="shared" si="57"/>
        <v>1410</v>
      </c>
      <c r="G44" s="8"/>
      <c r="H44" s="126">
        <f t="shared" si="4"/>
        <v>40</v>
      </c>
      <c r="I44" s="126"/>
      <c r="J44" s="124"/>
      <c r="K44" s="124"/>
      <c r="L44" s="213">
        <f t="shared" ref="L44:M44" si="58">L43+55</f>
        <v>2200</v>
      </c>
      <c r="M44" s="213">
        <f t="shared" si="58"/>
        <v>2200</v>
      </c>
      <c r="N44" s="1"/>
      <c r="O44" s="142"/>
      <c r="P44" s="143">
        <v>148.0</v>
      </c>
      <c r="Q44" s="152">
        <v>10.0</v>
      </c>
      <c r="R44" s="152">
        <v>6.0</v>
      </c>
      <c r="S44" s="152">
        <v>6.0</v>
      </c>
      <c r="T44" s="152">
        <v>19.0</v>
      </c>
      <c r="U44" s="152">
        <v>19.0</v>
      </c>
      <c r="V44" s="152">
        <v>10.0</v>
      </c>
      <c r="W44" s="152">
        <v>10.0</v>
      </c>
      <c r="X44" s="152">
        <v>37.0</v>
      </c>
      <c r="Y44" s="152">
        <v>9.25</v>
      </c>
      <c r="Z44" s="152">
        <v>3245.0</v>
      </c>
      <c r="AA44" s="152">
        <v>1760.0</v>
      </c>
      <c r="AB44" s="152">
        <v>1715.0</v>
      </c>
      <c r="AC44" s="152">
        <v>905.0</v>
      </c>
      <c r="AD44" s="152">
        <v>1915.0</v>
      </c>
      <c r="AE44" s="152">
        <v>1105.0</v>
      </c>
      <c r="AF44" s="217">
        <v>6395.0</v>
      </c>
      <c r="AG44" s="217">
        <v>3515.0</v>
      </c>
      <c r="AH44" s="22"/>
      <c r="AI44" s="153">
        <f t="shared" si="9"/>
        <v>148</v>
      </c>
      <c r="AJ44" s="22">
        <v>19.0</v>
      </c>
      <c r="AK44" s="134">
        <v>10.0</v>
      </c>
      <c r="AL44" s="134">
        <v>10.0</v>
      </c>
      <c r="AM44" s="134">
        <f t="shared" si="10"/>
        <v>37</v>
      </c>
      <c r="AN44" s="22">
        <v>8020.0</v>
      </c>
      <c r="AO44" s="161">
        <v>3240.0</v>
      </c>
      <c r="AP44" s="134">
        <v>4240.0</v>
      </c>
      <c r="AQ44" s="134">
        <v>1665.0</v>
      </c>
      <c r="AR44" s="134">
        <v>4620.0</v>
      </c>
      <c r="AS44" s="134">
        <v>2045.0</v>
      </c>
      <c r="AT44" s="22">
        <v>15720.0</v>
      </c>
      <c r="AU44" s="161">
        <v>6475.0</v>
      </c>
      <c r="AV44" s="220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8"/>
      <c r="BS44" s="8"/>
      <c r="BT44" s="8"/>
      <c r="BU44" s="8"/>
      <c r="BV44" s="8"/>
      <c r="BW44" s="8"/>
      <c r="BX44" s="8"/>
      <c r="BY44" s="1"/>
    </row>
    <row r="45" ht="12.75" customHeight="1">
      <c r="A45" s="126">
        <f t="shared" si="2"/>
        <v>41</v>
      </c>
      <c r="B45" s="124"/>
      <c r="C45" s="124"/>
      <c r="D45" s="124"/>
      <c r="E45" s="213">
        <f t="shared" ref="E45:F45" si="59">E44+35</f>
        <v>1620</v>
      </c>
      <c r="F45" s="213">
        <f t="shared" si="59"/>
        <v>1445</v>
      </c>
      <c r="G45" s="8"/>
      <c r="H45" s="126">
        <f t="shared" si="4"/>
        <v>41</v>
      </c>
      <c r="I45" s="126"/>
      <c r="J45" s="124"/>
      <c r="K45" s="124"/>
      <c r="L45" s="213">
        <f t="shared" ref="L45:M45" si="60">L44+55</f>
        <v>2255</v>
      </c>
      <c r="M45" s="213">
        <f t="shared" si="60"/>
        <v>2255</v>
      </c>
      <c r="N45" s="1"/>
      <c r="O45" s="142"/>
      <c r="P45" s="143">
        <v>152.0</v>
      </c>
      <c r="Q45" s="152">
        <v>10.0</v>
      </c>
      <c r="R45" s="152">
        <v>6.0</v>
      </c>
      <c r="S45" s="152">
        <v>6.0</v>
      </c>
      <c r="T45" s="152">
        <v>19.0</v>
      </c>
      <c r="U45" s="152">
        <v>19.0</v>
      </c>
      <c r="V45" s="152">
        <v>10.0</v>
      </c>
      <c r="W45" s="152">
        <v>10.0</v>
      </c>
      <c r="X45" s="152">
        <v>38.0</v>
      </c>
      <c r="Y45" s="152">
        <v>9.5</v>
      </c>
      <c r="Z45" s="152">
        <v>3335.0</v>
      </c>
      <c r="AA45" s="152">
        <v>1805.0</v>
      </c>
      <c r="AB45" s="152">
        <v>1715.0</v>
      </c>
      <c r="AC45" s="152">
        <v>905.0</v>
      </c>
      <c r="AD45" s="152">
        <v>1915.0</v>
      </c>
      <c r="AE45" s="152">
        <v>1105.0</v>
      </c>
      <c r="AF45" s="217">
        <v>6545.0</v>
      </c>
      <c r="AG45" s="217">
        <v>3610.0</v>
      </c>
      <c r="AH45" s="134"/>
      <c r="AI45" s="153">
        <f t="shared" si="9"/>
        <v>152</v>
      </c>
      <c r="AJ45" s="22">
        <v>19.0</v>
      </c>
      <c r="AK45" s="134">
        <v>10.0</v>
      </c>
      <c r="AL45" s="134">
        <v>10.0</v>
      </c>
      <c r="AM45" s="134">
        <f t="shared" si="10"/>
        <v>38</v>
      </c>
      <c r="AN45" s="22">
        <v>8160.0</v>
      </c>
      <c r="AO45" s="161">
        <v>3325.0</v>
      </c>
      <c r="AP45" s="160">
        <v>4240.0</v>
      </c>
      <c r="AQ45" s="161">
        <v>1665.0</v>
      </c>
      <c r="AR45" s="134">
        <v>4620.0</v>
      </c>
      <c r="AS45" s="134">
        <v>2045.0</v>
      </c>
      <c r="AT45" s="22">
        <v>16140.0</v>
      </c>
      <c r="AU45" s="161">
        <v>6650.0</v>
      </c>
      <c r="AV45" s="220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8"/>
      <c r="BS45" s="8"/>
      <c r="BT45" s="8"/>
      <c r="BU45" s="8"/>
      <c r="BV45" s="8"/>
      <c r="BW45" s="8"/>
      <c r="BX45" s="8"/>
      <c r="BY45" s="1"/>
    </row>
    <row r="46" ht="12.75" customHeight="1">
      <c r="A46" s="126">
        <f t="shared" si="2"/>
        <v>42</v>
      </c>
      <c r="B46" s="124"/>
      <c r="C46" s="124"/>
      <c r="D46" s="124"/>
      <c r="E46" s="213">
        <f t="shared" ref="E46:F46" si="61">E45+35</f>
        <v>1655</v>
      </c>
      <c r="F46" s="213">
        <f t="shared" si="61"/>
        <v>1480</v>
      </c>
      <c r="G46" s="8"/>
      <c r="H46" s="126">
        <f t="shared" si="4"/>
        <v>42</v>
      </c>
      <c r="I46" s="126"/>
      <c r="J46" s="124"/>
      <c r="K46" s="124"/>
      <c r="L46" s="213">
        <f t="shared" ref="L46:M46" si="62">L45+55</f>
        <v>2310</v>
      </c>
      <c r="M46" s="213">
        <f t="shared" si="62"/>
        <v>2310</v>
      </c>
      <c r="N46" s="1"/>
      <c r="O46" s="142"/>
      <c r="P46" s="143">
        <v>156.0</v>
      </c>
      <c r="Q46" s="152">
        <v>11.0</v>
      </c>
      <c r="R46" s="152">
        <v>5.0</v>
      </c>
      <c r="S46" s="152">
        <v>5.0</v>
      </c>
      <c r="T46" s="152">
        <v>20.0</v>
      </c>
      <c r="U46" s="152">
        <v>20.0</v>
      </c>
      <c r="V46" s="152">
        <v>10.0</v>
      </c>
      <c r="W46" s="152">
        <v>10.0</v>
      </c>
      <c r="X46" s="152">
        <v>39.0</v>
      </c>
      <c r="Y46" s="152">
        <v>10.0</v>
      </c>
      <c r="Z46" s="152">
        <v>3415.0</v>
      </c>
      <c r="AA46" s="152">
        <v>1855.0</v>
      </c>
      <c r="AB46" s="152">
        <v>1785.0</v>
      </c>
      <c r="AC46" s="152">
        <v>950.0</v>
      </c>
      <c r="AD46" s="152">
        <v>1985.0</v>
      </c>
      <c r="AE46" s="152">
        <v>1150.0</v>
      </c>
      <c r="AF46" s="217">
        <v>6735.0</v>
      </c>
      <c r="AG46" s="217">
        <v>3705.0</v>
      </c>
      <c r="AH46" s="134"/>
      <c r="AI46" s="153">
        <f t="shared" si="9"/>
        <v>156</v>
      </c>
      <c r="AJ46" s="22">
        <v>20.0</v>
      </c>
      <c r="AK46" s="134">
        <v>10.0</v>
      </c>
      <c r="AL46" s="134">
        <v>10.0</v>
      </c>
      <c r="AM46" s="134">
        <f t="shared" si="10"/>
        <v>39</v>
      </c>
      <c r="AN46" s="22">
        <v>8440.0</v>
      </c>
      <c r="AO46" s="161">
        <v>3415.0</v>
      </c>
      <c r="AP46" s="134">
        <v>4380.0</v>
      </c>
      <c r="AQ46" s="134">
        <v>1750.0</v>
      </c>
      <c r="AR46" s="134">
        <v>4780.0</v>
      </c>
      <c r="AS46" s="134">
        <v>2150.0</v>
      </c>
      <c r="AT46" s="22">
        <v>16560.0</v>
      </c>
      <c r="AU46" s="161">
        <v>6825.0</v>
      </c>
      <c r="AV46" s="220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8"/>
      <c r="BS46" s="8"/>
      <c r="BT46" s="8"/>
      <c r="BU46" s="8"/>
      <c r="BV46" s="8"/>
      <c r="BW46" s="8"/>
      <c r="BX46" s="8"/>
      <c r="BY46" s="1"/>
    </row>
    <row r="47" ht="12.75" customHeight="1">
      <c r="A47" s="126">
        <f t="shared" si="2"/>
        <v>43</v>
      </c>
      <c r="B47" s="124"/>
      <c r="C47" s="124"/>
      <c r="D47" s="124"/>
      <c r="E47" s="213">
        <f t="shared" ref="E47:F47" si="63">E46+35</f>
        <v>1690</v>
      </c>
      <c r="F47" s="213">
        <f t="shared" si="63"/>
        <v>1515</v>
      </c>
      <c r="G47" s="8"/>
      <c r="H47" s="126">
        <f t="shared" si="4"/>
        <v>43</v>
      </c>
      <c r="I47" s="126"/>
      <c r="J47" s="124"/>
      <c r="K47" s="124"/>
      <c r="L47" s="213">
        <f t="shared" ref="L47:M47" si="64">L46+55</f>
        <v>2365</v>
      </c>
      <c r="M47" s="213">
        <f t="shared" si="64"/>
        <v>2365</v>
      </c>
      <c r="N47" s="1"/>
      <c r="O47" s="142"/>
      <c r="P47" s="143">
        <v>160.0</v>
      </c>
      <c r="Q47" s="152">
        <v>10.0</v>
      </c>
      <c r="R47" s="152">
        <v>5.0</v>
      </c>
      <c r="S47" s="152">
        <v>5.0</v>
      </c>
      <c r="T47" s="152">
        <v>20.0</v>
      </c>
      <c r="U47" s="152">
        <v>20.0</v>
      </c>
      <c r="V47" s="152">
        <v>10.0</v>
      </c>
      <c r="W47" s="152">
        <v>10.0</v>
      </c>
      <c r="X47" s="152">
        <v>40.0</v>
      </c>
      <c r="Y47" s="152">
        <v>10.0</v>
      </c>
      <c r="Z47" s="152">
        <v>3485.0</v>
      </c>
      <c r="AA47" s="152">
        <v>1900.0</v>
      </c>
      <c r="AB47" s="152">
        <v>1785.0</v>
      </c>
      <c r="AC47" s="152">
        <v>950.0</v>
      </c>
      <c r="AD47" s="152">
        <v>1985.0</v>
      </c>
      <c r="AE47" s="152">
        <v>1150.0</v>
      </c>
      <c r="AF47" s="217">
        <v>6885.0</v>
      </c>
      <c r="AG47" s="217">
        <v>3800.0</v>
      </c>
      <c r="AH47" s="134"/>
      <c r="AI47" s="153">
        <f t="shared" si="9"/>
        <v>160</v>
      </c>
      <c r="AJ47" s="22">
        <v>20.0</v>
      </c>
      <c r="AK47" s="134">
        <v>10.0</v>
      </c>
      <c r="AL47" s="134">
        <v>10.0</v>
      </c>
      <c r="AM47" s="134">
        <f t="shared" si="10"/>
        <v>40</v>
      </c>
      <c r="AN47" s="22">
        <v>8580.0</v>
      </c>
      <c r="AO47" s="161">
        <v>3500.0</v>
      </c>
      <c r="AP47" s="160">
        <v>4380.0</v>
      </c>
      <c r="AQ47" s="161">
        <v>1750.0</v>
      </c>
      <c r="AR47" s="134">
        <v>4780.0</v>
      </c>
      <c r="AS47" s="134">
        <v>2150.0</v>
      </c>
      <c r="AT47" s="22">
        <v>16980.0</v>
      </c>
      <c r="AU47" s="161">
        <v>7000.0</v>
      </c>
      <c r="AV47" s="220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8"/>
      <c r="BS47" s="8"/>
      <c r="BT47" s="8"/>
      <c r="BU47" s="8"/>
      <c r="BV47" s="8"/>
      <c r="BW47" s="8"/>
      <c r="BX47" s="8"/>
      <c r="BY47" s="1"/>
    </row>
    <row r="48" ht="12.75" customHeight="1">
      <c r="A48" s="126">
        <f t="shared" si="2"/>
        <v>44</v>
      </c>
      <c r="B48" s="124"/>
      <c r="C48" s="124"/>
      <c r="D48" s="124"/>
      <c r="E48" s="213">
        <f t="shared" ref="E48:F48" si="65">E47+35</f>
        <v>1725</v>
      </c>
      <c r="F48" s="213">
        <f t="shared" si="65"/>
        <v>1550</v>
      </c>
      <c r="G48" s="8"/>
      <c r="H48" s="126">
        <f t="shared" si="4"/>
        <v>44</v>
      </c>
      <c r="I48" s="126"/>
      <c r="J48" s="124"/>
      <c r="K48" s="124"/>
      <c r="L48" s="213">
        <f t="shared" ref="L48:M48" si="66">L47+55</f>
        <v>2420</v>
      </c>
      <c r="M48" s="213">
        <f t="shared" si="66"/>
        <v>2420</v>
      </c>
      <c r="N48" s="1"/>
      <c r="O48" s="142"/>
      <c r="P48" s="143">
        <v>164.0</v>
      </c>
      <c r="Q48" s="152">
        <v>11.0</v>
      </c>
      <c r="R48" s="152">
        <v>6.0</v>
      </c>
      <c r="S48" s="152">
        <v>6.0</v>
      </c>
      <c r="T48" s="152">
        <v>21.0</v>
      </c>
      <c r="U48" s="152">
        <v>21.0</v>
      </c>
      <c r="V48" s="152">
        <v>11.0</v>
      </c>
      <c r="W48" s="152">
        <v>11.0</v>
      </c>
      <c r="X48" s="152">
        <v>41.0</v>
      </c>
      <c r="Y48" s="152">
        <v>10.25</v>
      </c>
      <c r="Z48" s="152">
        <v>3585.0</v>
      </c>
      <c r="AA48" s="152">
        <v>1950.0</v>
      </c>
      <c r="AB48" s="152">
        <v>1885.0</v>
      </c>
      <c r="AC48" s="152">
        <v>100.0</v>
      </c>
      <c r="AD48" s="152">
        <v>2105.0</v>
      </c>
      <c r="AE48" s="152">
        <v>320.0</v>
      </c>
      <c r="AF48" s="217">
        <v>7075.0</v>
      </c>
      <c r="AG48" s="217">
        <v>3895.0</v>
      </c>
      <c r="AH48" s="134"/>
      <c r="AI48" s="153">
        <f t="shared" si="9"/>
        <v>164</v>
      </c>
      <c r="AJ48" s="22">
        <v>21.0</v>
      </c>
      <c r="AK48" s="134">
        <v>11.0</v>
      </c>
      <c r="AL48" s="134">
        <v>11.0</v>
      </c>
      <c r="AM48" s="134">
        <f t="shared" si="10"/>
        <v>41</v>
      </c>
      <c r="AN48" s="22">
        <v>8860.0</v>
      </c>
      <c r="AO48" s="161">
        <v>3590.0</v>
      </c>
      <c r="AP48" s="134">
        <v>4660.0</v>
      </c>
      <c r="AQ48" s="134">
        <v>1840.0</v>
      </c>
      <c r="AR48" s="134">
        <v>5080.0</v>
      </c>
      <c r="AS48" s="134">
        <v>2260.0</v>
      </c>
      <c r="AT48" s="22">
        <v>17400.0</v>
      </c>
      <c r="AU48" s="161">
        <v>7175.0</v>
      </c>
      <c r="AV48" s="220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8"/>
      <c r="BS48" s="8"/>
      <c r="BT48" s="8"/>
      <c r="BU48" s="8"/>
      <c r="BV48" s="8"/>
      <c r="BW48" s="8"/>
      <c r="BX48" s="8"/>
      <c r="BY48" s="1"/>
    </row>
    <row r="49" ht="12.75" customHeight="1">
      <c r="A49" s="126">
        <f t="shared" si="2"/>
        <v>45</v>
      </c>
      <c r="B49" s="124"/>
      <c r="C49" s="124"/>
      <c r="D49" s="124"/>
      <c r="E49" s="213">
        <f t="shared" ref="E49:F49" si="67">E48+35</f>
        <v>1760</v>
      </c>
      <c r="F49" s="213">
        <f t="shared" si="67"/>
        <v>1585</v>
      </c>
      <c r="G49" s="8"/>
      <c r="H49" s="126">
        <f t="shared" si="4"/>
        <v>45</v>
      </c>
      <c r="I49" s="126"/>
      <c r="J49" s="124"/>
      <c r="K49" s="124"/>
      <c r="L49" s="213">
        <f t="shared" ref="L49:M49" si="68">L48+55</f>
        <v>2475</v>
      </c>
      <c r="M49" s="213">
        <f t="shared" si="68"/>
        <v>2475</v>
      </c>
      <c r="N49" s="1"/>
      <c r="O49" s="142"/>
      <c r="P49" s="143">
        <v>168.0</v>
      </c>
      <c r="Q49" s="152">
        <v>11.0</v>
      </c>
      <c r="R49" s="152">
        <v>6.0</v>
      </c>
      <c r="S49" s="152">
        <v>6.0</v>
      </c>
      <c r="T49" s="152">
        <v>21.0</v>
      </c>
      <c r="U49" s="152">
        <v>21.0</v>
      </c>
      <c r="V49" s="152">
        <v>11.0</v>
      </c>
      <c r="W49" s="152">
        <v>11.0</v>
      </c>
      <c r="X49" s="152">
        <v>42.0</v>
      </c>
      <c r="Y49" s="152">
        <v>10.5</v>
      </c>
      <c r="Z49" s="152">
        <v>3675.0</v>
      </c>
      <c r="AA49" s="152">
        <v>1995.0</v>
      </c>
      <c r="AB49" s="152">
        <v>1885.0</v>
      </c>
      <c r="AC49" s="152">
        <v>100.0</v>
      </c>
      <c r="AD49" s="152">
        <v>2105.0</v>
      </c>
      <c r="AE49" s="152">
        <v>320.0</v>
      </c>
      <c r="AF49" s="217">
        <v>7225.0</v>
      </c>
      <c r="AG49" s="217">
        <v>3990.0</v>
      </c>
      <c r="AH49" s="134"/>
      <c r="AI49" s="153">
        <f t="shared" si="9"/>
        <v>168</v>
      </c>
      <c r="AJ49" s="22">
        <v>21.0</v>
      </c>
      <c r="AK49" s="134">
        <v>11.0</v>
      </c>
      <c r="AL49" s="134">
        <v>11.0</v>
      </c>
      <c r="AM49" s="134">
        <f t="shared" si="10"/>
        <v>42</v>
      </c>
      <c r="AN49" s="22">
        <v>9000.0</v>
      </c>
      <c r="AO49" s="161">
        <v>3675.0</v>
      </c>
      <c r="AP49" s="160">
        <v>4660.0</v>
      </c>
      <c r="AQ49" s="161">
        <v>1840.0</v>
      </c>
      <c r="AR49" s="134">
        <v>5080.0</v>
      </c>
      <c r="AS49" s="134">
        <v>2260.0</v>
      </c>
      <c r="AT49" s="22">
        <v>17820.0</v>
      </c>
      <c r="AU49" s="161">
        <v>7350.0</v>
      </c>
      <c r="AV49" s="220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8"/>
      <c r="BS49" s="8"/>
      <c r="BT49" s="8"/>
      <c r="BU49" s="8"/>
      <c r="BV49" s="8"/>
      <c r="BW49" s="8"/>
      <c r="BX49" s="8"/>
      <c r="BY49" s="1"/>
    </row>
    <row r="50" ht="12.75" customHeight="1">
      <c r="A50" s="126">
        <f t="shared" si="2"/>
        <v>46</v>
      </c>
      <c r="B50" s="124"/>
      <c r="C50" s="124"/>
      <c r="D50" s="124"/>
      <c r="E50" s="213">
        <f t="shared" ref="E50:F50" si="69">E49+35</f>
        <v>1795</v>
      </c>
      <c r="F50" s="213">
        <f t="shared" si="69"/>
        <v>1620</v>
      </c>
      <c r="G50" s="8"/>
      <c r="H50" s="126">
        <f t="shared" si="4"/>
        <v>46</v>
      </c>
      <c r="I50" s="126"/>
      <c r="J50" s="124"/>
      <c r="K50" s="124"/>
      <c r="L50" s="213">
        <f t="shared" ref="L50:M50" si="70">L49+55</f>
        <v>2530</v>
      </c>
      <c r="M50" s="213">
        <f t="shared" si="70"/>
        <v>2530</v>
      </c>
      <c r="N50" s="1"/>
      <c r="O50" s="142"/>
      <c r="P50" s="143">
        <v>172.0</v>
      </c>
      <c r="Q50" s="152">
        <v>12.0</v>
      </c>
      <c r="R50" s="152">
        <v>6.0</v>
      </c>
      <c r="S50" s="152">
        <v>6.0</v>
      </c>
      <c r="T50" s="152">
        <v>22.0</v>
      </c>
      <c r="U50" s="152">
        <v>22.0</v>
      </c>
      <c r="V50" s="152">
        <v>11.0</v>
      </c>
      <c r="W50" s="152">
        <v>11.0</v>
      </c>
      <c r="X50" s="152">
        <v>43.0</v>
      </c>
      <c r="Y50" s="152">
        <v>11.0</v>
      </c>
      <c r="Z50" s="152">
        <v>3755.0</v>
      </c>
      <c r="AA50" s="152">
        <v>2045.0</v>
      </c>
      <c r="AB50" s="152">
        <v>1975.0</v>
      </c>
      <c r="AC50" s="152">
        <v>1045.0</v>
      </c>
      <c r="AD50" s="152">
        <v>2195.0</v>
      </c>
      <c r="AE50" s="152">
        <v>1265.0</v>
      </c>
      <c r="AF50" s="217">
        <v>7415.0</v>
      </c>
      <c r="AG50" s="217">
        <v>4085.0</v>
      </c>
      <c r="AH50" s="134"/>
      <c r="AI50" s="153">
        <f t="shared" si="9"/>
        <v>172</v>
      </c>
      <c r="AJ50" s="22">
        <v>22.0</v>
      </c>
      <c r="AK50" s="134">
        <v>11.0</v>
      </c>
      <c r="AL50" s="134">
        <v>11.0</v>
      </c>
      <c r="AM50" s="134">
        <f t="shared" si="10"/>
        <v>43</v>
      </c>
      <c r="AN50" s="22">
        <v>9280.0</v>
      </c>
      <c r="AO50" s="161">
        <v>3765.0</v>
      </c>
      <c r="AP50" s="134">
        <v>4800.0</v>
      </c>
      <c r="AQ50" s="134">
        <v>1925.0</v>
      </c>
      <c r="AR50" s="134">
        <v>5240.0</v>
      </c>
      <c r="AS50" s="134">
        <v>2365.0</v>
      </c>
      <c r="AT50" s="22">
        <v>18240.0</v>
      </c>
      <c r="AU50" s="161">
        <v>7525.0</v>
      </c>
      <c r="AV50" s="220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8"/>
      <c r="BS50" s="8"/>
      <c r="BT50" s="8"/>
      <c r="BU50" s="8"/>
      <c r="BV50" s="8"/>
      <c r="BW50" s="8"/>
      <c r="BX50" s="8"/>
      <c r="BY50" s="1"/>
    </row>
    <row r="51" ht="12.75" customHeight="1">
      <c r="A51" s="126">
        <f t="shared" si="2"/>
        <v>47</v>
      </c>
      <c r="B51" s="124"/>
      <c r="C51" s="124"/>
      <c r="D51" s="124"/>
      <c r="E51" s="213">
        <f t="shared" ref="E51:F51" si="71">E50+35</f>
        <v>1830</v>
      </c>
      <c r="F51" s="213">
        <f t="shared" si="71"/>
        <v>1655</v>
      </c>
      <c r="G51" s="8"/>
      <c r="H51" s="126">
        <f t="shared" si="4"/>
        <v>47</v>
      </c>
      <c r="I51" s="126"/>
      <c r="J51" s="124"/>
      <c r="K51" s="124"/>
      <c r="L51" s="213">
        <f t="shared" ref="L51:M51" si="72">L50+55</f>
        <v>2585</v>
      </c>
      <c r="M51" s="213">
        <f t="shared" si="72"/>
        <v>2585</v>
      </c>
      <c r="N51" s="1"/>
      <c r="O51" s="142"/>
      <c r="P51" s="143">
        <v>176.0</v>
      </c>
      <c r="Q51" s="152">
        <v>11.0</v>
      </c>
      <c r="R51" s="152">
        <v>6.0</v>
      </c>
      <c r="S51" s="152">
        <v>6.0</v>
      </c>
      <c r="T51" s="152">
        <v>22.0</v>
      </c>
      <c r="U51" s="152">
        <v>22.0</v>
      </c>
      <c r="V51" s="152">
        <v>11.0</v>
      </c>
      <c r="W51" s="152">
        <v>11.0</v>
      </c>
      <c r="X51" s="152">
        <v>44.0</v>
      </c>
      <c r="Y51" s="152">
        <v>11.0</v>
      </c>
      <c r="Z51" s="152">
        <v>3825.0</v>
      </c>
      <c r="AA51" s="152">
        <v>2090.0</v>
      </c>
      <c r="AB51" s="152">
        <v>1975.0</v>
      </c>
      <c r="AC51" s="152">
        <v>1045.0</v>
      </c>
      <c r="AD51" s="152">
        <v>2195.0</v>
      </c>
      <c r="AE51" s="152">
        <v>1265.0</v>
      </c>
      <c r="AF51" s="217">
        <v>7565.0</v>
      </c>
      <c r="AG51" s="217">
        <v>4180.0</v>
      </c>
      <c r="AH51" s="134"/>
      <c r="AI51" s="153">
        <f t="shared" si="9"/>
        <v>176</v>
      </c>
      <c r="AJ51" s="22">
        <v>22.0</v>
      </c>
      <c r="AK51" s="134">
        <v>11.0</v>
      </c>
      <c r="AL51" s="134">
        <v>11.0</v>
      </c>
      <c r="AM51" s="134">
        <f t="shared" si="10"/>
        <v>44</v>
      </c>
      <c r="AN51" s="22">
        <v>9420.0</v>
      </c>
      <c r="AO51" s="161">
        <v>3850.0</v>
      </c>
      <c r="AP51" s="160">
        <v>4800.0</v>
      </c>
      <c r="AQ51" s="161">
        <v>1925.0</v>
      </c>
      <c r="AR51" s="134">
        <v>5240.0</v>
      </c>
      <c r="AS51" s="134">
        <v>2365.0</v>
      </c>
      <c r="AT51" s="22">
        <v>18660.0</v>
      </c>
      <c r="AU51" s="161">
        <v>7700.0</v>
      </c>
      <c r="AV51" s="220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8"/>
      <c r="BS51" s="8"/>
      <c r="BT51" s="8"/>
      <c r="BU51" s="8"/>
      <c r="BV51" s="8"/>
      <c r="BW51" s="8"/>
      <c r="BX51" s="8"/>
      <c r="BY51" s="1"/>
    </row>
    <row r="52" ht="12.75" customHeight="1">
      <c r="A52" s="126">
        <f t="shared" si="2"/>
        <v>48</v>
      </c>
      <c r="B52" s="124"/>
      <c r="C52" s="124"/>
      <c r="D52" s="124"/>
      <c r="E52" s="213">
        <f t="shared" ref="E52:F52" si="73">E51+35</f>
        <v>1865</v>
      </c>
      <c r="F52" s="213">
        <f t="shared" si="73"/>
        <v>1690</v>
      </c>
      <c r="G52" s="8"/>
      <c r="H52" s="126">
        <f t="shared" si="4"/>
        <v>48</v>
      </c>
      <c r="I52" s="126"/>
      <c r="J52" s="124"/>
      <c r="K52" s="124"/>
      <c r="L52" s="213">
        <f t="shared" ref="L52:M52" si="74">L51+55</f>
        <v>2640</v>
      </c>
      <c r="M52" s="213">
        <f t="shared" si="74"/>
        <v>2640</v>
      </c>
      <c r="N52" s="1"/>
      <c r="O52" s="142"/>
      <c r="P52" s="143">
        <v>180.0</v>
      </c>
      <c r="Q52" s="152">
        <v>12.0</v>
      </c>
      <c r="R52" s="152">
        <v>7.0</v>
      </c>
      <c r="S52" s="152">
        <v>7.0</v>
      </c>
      <c r="T52" s="152">
        <v>23.0</v>
      </c>
      <c r="U52" s="152">
        <v>23.0</v>
      </c>
      <c r="V52" s="152">
        <v>12.0</v>
      </c>
      <c r="W52" s="152">
        <v>12.0</v>
      </c>
      <c r="X52" s="152">
        <v>45.0</v>
      </c>
      <c r="Y52" s="152">
        <v>11.25</v>
      </c>
      <c r="Z52" s="152">
        <v>3925.0</v>
      </c>
      <c r="AA52" s="152">
        <v>2140.0</v>
      </c>
      <c r="AB52" s="152">
        <v>2055.0</v>
      </c>
      <c r="AC52" s="152">
        <v>1095.0</v>
      </c>
      <c r="AD52" s="152">
        <v>2295.0</v>
      </c>
      <c r="AE52" s="152">
        <v>1335.0</v>
      </c>
      <c r="AF52" s="217">
        <v>7755.0</v>
      </c>
      <c r="AG52" s="217">
        <v>4275.0</v>
      </c>
      <c r="AH52" s="134"/>
      <c r="AI52" s="153">
        <f t="shared" si="9"/>
        <v>180</v>
      </c>
      <c r="AJ52" s="22">
        <v>23.0</v>
      </c>
      <c r="AK52" s="134">
        <v>12.0</v>
      </c>
      <c r="AL52" s="134">
        <v>12.0</v>
      </c>
      <c r="AM52" s="134">
        <f t="shared" si="10"/>
        <v>45</v>
      </c>
      <c r="AN52" s="22">
        <v>9700.0</v>
      </c>
      <c r="AO52" s="161">
        <v>3940.0</v>
      </c>
      <c r="AP52" s="134">
        <v>5080.0</v>
      </c>
      <c r="AQ52" s="134">
        <v>2015.0</v>
      </c>
      <c r="AR52" s="134">
        <v>5540.0</v>
      </c>
      <c r="AS52" s="134">
        <v>2475.0</v>
      </c>
      <c r="AT52" s="22">
        <v>19080.0</v>
      </c>
      <c r="AU52" s="161">
        <v>7875.0</v>
      </c>
      <c r="AV52" s="220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8"/>
      <c r="BS52" s="8"/>
      <c r="BT52" s="8"/>
      <c r="BU52" s="8"/>
      <c r="BV52" s="8"/>
      <c r="BW52" s="8"/>
      <c r="BX52" s="8"/>
      <c r="BY52" s="1"/>
    </row>
    <row r="53" ht="12.75" customHeight="1">
      <c r="A53" s="126">
        <f t="shared" si="2"/>
        <v>49</v>
      </c>
      <c r="B53" s="124"/>
      <c r="C53" s="124"/>
      <c r="D53" s="124"/>
      <c r="E53" s="213">
        <f t="shared" ref="E53:F53" si="75">E52+35</f>
        <v>1900</v>
      </c>
      <c r="F53" s="213">
        <f t="shared" si="75"/>
        <v>1725</v>
      </c>
      <c r="G53" s="8"/>
      <c r="H53" s="126">
        <f t="shared" si="4"/>
        <v>49</v>
      </c>
      <c r="I53" s="126"/>
      <c r="J53" s="124"/>
      <c r="K53" s="124"/>
      <c r="L53" s="213">
        <f t="shared" ref="L53:M53" si="76">L52+55</f>
        <v>2695</v>
      </c>
      <c r="M53" s="213">
        <f t="shared" si="76"/>
        <v>2695</v>
      </c>
      <c r="N53" s="1"/>
      <c r="O53" s="142"/>
      <c r="P53" s="143">
        <v>184.0</v>
      </c>
      <c r="Q53" s="152">
        <v>12.0</v>
      </c>
      <c r="R53" s="152">
        <v>7.0</v>
      </c>
      <c r="S53" s="152">
        <v>7.0</v>
      </c>
      <c r="T53" s="152">
        <v>23.0</v>
      </c>
      <c r="U53" s="152">
        <v>23.0</v>
      </c>
      <c r="V53" s="152">
        <v>12.0</v>
      </c>
      <c r="W53" s="152">
        <v>12.0</v>
      </c>
      <c r="X53" s="152">
        <v>46.0</v>
      </c>
      <c r="Y53" s="152">
        <v>11.5</v>
      </c>
      <c r="Z53" s="152">
        <v>4015.0</v>
      </c>
      <c r="AA53" s="152">
        <v>2185.0</v>
      </c>
      <c r="AB53" s="152">
        <v>2055.0</v>
      </c>
      <c r="AC53" s="152">
        <v>1095.0</v>
      </c>
      <c r="AD53" s="152">
        <v>2295.0</v>
      </c>
      <c r="AE53" s="152">
        <v>1335.0</v>
      </c>
      <c r="AF53" s="217">
        <v>7905.0</v>
      </c>
      <c r="AG53" s="217">
        <v>4370.0</v>
      </c>
      <c r="AH53" s="134"/>
      <c r="AI53" s="153">
        <f t="shared" si="9"/>
        <v>184</v>
      </c>
      <c r="AJ53" s="22">
        <v>23.0</v>
      </c>
      <c r="AK53" s="134">
        <v>12.0</v>
      </c>
      <c r="AL53" s="134">
        <v>12.0</v>
      </c>
      <c r="AM53" s="134">
        <f t="shared" si="10"/>
        <v>46</v>
      </c>
      <c r="AN53" s="22">
        <v>9840.0</v>
      </c>
      <c r="AO53" s="161">
        <v>4025.0</v>
      </c>
      <c r="AP53" s="160">
        <v>5080.0</v>
      </c>
      <c r="AQ53" s="161">
        <v>2015.0</v>
      </c>
      <c r="AR53" s="134">
        <v>5540.0</v>
      </c>
      <c r="AS53" s="134">
        <v>2475.0</v>
      </c>
      <c r="AT53" s="22">
        <v>19500.0</v>
      </c>
      <c r="AU53" s="161">
        <v>8050.0</v>
      </c>
      <c r="AV53" s="220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8"/>
      <c r="BS53" s="8"/>
      <c r="BT53" s="8"/>
      <c r="BU53" s="8"/>
      <c r="BV53" s="8"/>
      <c r="BW53" s="8"/>
      <c r="BX53" s="8"/>
      <c r="BY53" s="1"/>
    </row>
    <row r="54" ht="14.25" customHeight="1">
      <c r="A54" s="126">
        <f t="shared" si="2"/>
        <v>50</v>
      </c>
      <c r="B54" s="124"/>
      <c r="C54" s="124"/>
      <c r="D54" s="124"/>
      <c r="E54" s="213">
        <f t="shared" ref="E54:F54" si="77">E53+35</f>
        <v>1935</v>
      </c>
      <c r="F54" s="213">
        <f t="shared" si="77"/>
        <v>1760</v>
      </c>
      <c r="G54" s="8"/>
      <c r="H54" s="126">
        <f t="shared" si="4"/>
        <v>50</v>
      </c>
      <c r="I54" s="126"/>
      <c r="J54" s="124"/>
      <c r="K54" s="124"/>
      <c r="L54" s="213">
        <f t="shared" ref="L54:M54" si="78">L53+55</f>
        <v>2750</v>
      </c>
      <c r="M54" s="213">
        <f t="shared" si="78"/>
        <v>2750</v>
      </c>
      <c r="N54" s="1"/>
      <c r="O54" s="142"/>
      <c r="P54" s="143">
        <v>188.0</v>
      </c>
      <c r="Q54" s="152">
        <v>13.0</v>
      </c>
      <c r="R54" s="152">
        <v>6.0</v>
      </c>
      <c r="S54" s="152">
        <v>6.0</v>
      </c>
      <c r="T54" s="152">
        <v>24.0</v>
      </c>
      <c r="U54" s="152">
        <v>24.0</v>
      </c>
      <c r="V54" s="152">
        <v>12.0</v>
      </c>
      <c r="W54" s="152">
        <v>12.0</v>
      </c>
      <c r="X54" s="152">
        <v>47.0</v>
      </c>
      <c r="Y54" s="152">
        <v>12.0</v>
      </c>
      <c r="Z54" s="152">
        <v>4095.0</v>
      </c>
      <c r="AA54" s="152">
        <v>2235.0</v>
      </c>
      <c r="AB54" s="152">
        <v>2125.0</v>
      </c>
      <c r="AC54" s="152">
        <v>1140.0</v>
      </c>
      <c r="AD54" s="152">
        <v>2365.0</v>
      </c>
      <c r="AE54" s="152">
        <v>1380.0</v>
      </c>
      <c r="AF54" s="217">
        <v>8095.0</v>
      </c>
      <c r="AG54" s="217">
        <v>4465.0</v>
      </c>
      <c r="AH54" s="134"/>
      <c r="AI54" s="221">
        <f t="shared" si="9"/>
        <v>188</v>
      </c>
      <c r="AJ54" s="222">
        <v>24.0</v>
      </c>
      <c r="AK54" s="223">
        <v>12.0</v>
      </c>
      <c r="AL54" s="223">
        <v>12.0</v>
      </c>
      <c r="AM54" s="223">
        <f t="shared" si="10"/>
        <v>47</v>
      </c>
      <c r="AN54" s="222">
        <v>10120.0</v>
      </c>
      <c r="AO54" s="224">
        <v>4115.0</v>
      </c>
      <c r="AP54" s="223">
        <v>5220.0</v>
      </c>
      <c r="AQ54" s="223">
        <v>2100.0</v>
      </c>
      <c r="AR54" s="223">
        <v>5700.0</v>
      </c>
      <c r="AS54" s="223">
        <v>2580.0</v>
      </c>
      <c r="AT54" s="222">
        <v>19920.0</v>
      </c>
      <c r="AU54" s="161">
        <v>8225.0</v>
      </c>
      <c r="AV54" s="220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8"/>
      <c r="BS54" s="8"/>
      <c r="BT54" s="8"/>
      <c r="BU54" s="8"/>
      <c r="BV54" s="8"/>
      <c r="BW54" s="8"/>
      <c r="BX54" s="8"/>
      <c r="BY54" s="1"/>
    </row>
    <row r="55" ht="12.75" customHeight="1">
      <c r="A55" s="126">
        <f t="shared" si="2"/>
        <v>51</v>
      </c>
      <c r="B55" s="124"/>
      <c r="C55" s="124"/>
      <c r="D55" s="124"/>
      <c r="E55" s="213">
        <f t="shared" ref="E55:F55" si="79">E54+35</f>
        <v>1970</v>
      </c>
      <c r="F55" s="213">
        <f t="shared" si="79"/>
        <v>1795</v>
      </c>
      <c r="G55" s="8"/>
      <c r="H55" s="126">
        <f t="shared" si="4"/>
        <v>51</v>
      </c>
      <c r="I55" s="126"/>
      <c r="J55" s="124"/>
      <c r="K55" s="124"/>
      <c r="L55" s="213">
        <f t="shared" ref="L55:M55" si="80">L54+55</f>
        <v>2805</v>
      </c>
      <c r="M55" s="213">
        <f t="shared" si="80"/>
        <v>2805</v>
      </c>
      <c r="N55" s="8"/>
      <c r="O55" s="142"/>
      <c r="P55" s="143">
        <v>192.0</v>
      </c>
      <c r="Q55" s="152">
        <v>12.0</v>
      </c>
      <c r="R55" s="152">
        <v>6.0</v>
      </c>
      <c r="S55" s="152">
        <v>6.0</v>
      </c>
      <c r="T55" s="152">
        <v>24.0</v>
      </c>
      <c r="U55" s="152">
        <v>24.0</v>
      </c>
      <c r="V55" s="152">
        <v>12.0</v>
      </c>
      <c r="W55" s="152">
        <v>12.0</v>
      </c>
      <c r="X55" s="152">
        <v>48.0</v>
      </c>
      <c r="Y55" s="152">
        <v>12.0</v>
      </c>
      <c r="Z55" s="152">
        <v>4165.0</v>
      </c>
      <c r="AA55" s="152">
        <v>2280.0</v>
      </c>
      <c r="AB55" s="152">
        <v>2125.0</v>
      </c>
      <c r="AC55" s="152">
        <v>1140.0</v>
      </c>
      <c r="AD55" s="152">
        <v>2365.0</v>
      </c>
      <c r="AE55" s="152">
        <v>1380.0</v>
      </c>
      <c r="AF55" s="217">
        <v>8245.0</v>
      </c>
      <c r="AG55" s="217">
        <v>4560.0</v>
      </c>
      <c r="AH55" s="134"/>
      <c r="AI55" s="221">
        <f t="shared" si="9"/>
        <v>192</v>
      </c>
      <c r="AJ55" s="222">
        <v>24.0</v>
      </c>
      <c r="AK55" s="223">
        <v>12.0</v>
      </c>
      <c r="AL55" s="223">
        <v>12.0</v>
      </c>
      <c r="AM55" s="223">
        <f t="shared" si="10"/>
        <v>48</v>
      </c>
      <c r="AN55" s="222">
        <v>10260.0</v>
      </c>
      <c r="AO55" s="224">
        <v>4200.0</v>
      </c>
      <c r="AP55" s="225">
        <v>5220.0</v>
      </c>
      <c r="AQ55" s="224">
        <v>2100.0</v>
      </c>
      <c r="AR55" s="223">
        <v>5700.0</v>
      </c>
      <c r="AS55" s="223">
        <v>2580.0</v>
      </c>
      <c r="AT55" s="222">
        <v>20340.0</v>
      </c>
      <c r="AU55" s="161">
        <v>8400.0</v>
      </c>
      <c r="AV55" s="220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</row>
    <row r="56" ht="12.75" customHeight="1">
      <c r="A56" s="126">
        <f t="shared" si="2"/>
        <v>52</v>
      </c>
      <c r="B56" s="124"/>
      <c r="C56" s="124"/>
      <c r="D56" s="124"/>
      <c r="E56" s="213">
        <f t="shared" ref="E56:F56" si="81">E55+35</f>
        <v>2005</v>
      </c>
      <c r="F56" s="213">
        <f t="shared" si="81"/>
        <v>1830</v>
      </c>
      <c r="G56" s="8"/>
      <c r="H56" s="126">
        <f t="shared" si="4"/>
        <v>52</v>
      </c>
      <c r="I56" s="126"/>
      <c r="J56" s="124"/>
      <c r="K56" s="124"/>
      <c r="L56" s="213">
        <f t="shared" ref="L56:M56" si="82">L55+55</f>
        <v>2860</v>
      </c>
      <c r="M56" s="213">
        <f t="shared" si="82"/>
        <v>2860</v>
      </c>
      <c r="N56" s="8"/>
      <c r="O56" s="142"/>
      <c r="P56" s="143">
        <v>196.0</v>
      </c>
      <c r="Q56" s="152">
        <v>13.0</v>
      </c>
      <c r="R56" s="152">
        <v>7.0</v>
      </c>
      <c r="S56" s="152">
        <v>7.0</v>
      </c>
      <c r="T56" s="152">
        <v>25.0</v>
      </c>
      <c r="U56" s="152">
        <v>25.0</v>
      </c>
      <c r="V56" s="152">
        <v>13.0</v>
      </c>
      <c r="W56" s="152">
        <v>13.0</v>
      </c>
      <c r="X56" s="152">
        <v>49.0</v>
      </c>
      <c r="Y56" s="152">
        <v>12.25</v>
      </c>
      <c r="Z56" s="152">
        <v>4265.0</v>
      </c>
      <c r="AA56" s="152">
        <v>2330.0</v>
      </c>
      <c r="AB56" s="152">
        <v>2225.0</v>
      </c>
      <c r="AC56" s="152">
        <v>1190.0</v>
      </c>
      <c r="AD56" s="152">
        <v>2485.0</v>
      </c>
      <c r="AE56" s="152">
        <v>1450.0</v>
      </c>
      <c r="AF56" s="217">
        <v>8435.0</v>
      </c>
      <c r="AG56" s="217">
        <v>4655.0</v>
      </c>
      <c r="AH56" s="134"/>
      <c r="AI56" s="153">
        <f t="shared" si="9"/>
        <v>196</v>
      </c>
      <c r="AJ56" s="22">
        <v>25.0</v>
      </c>
      <c r="AK56" s="134">
        <v>13.0</v>
      </c>
      <c r="AL56" s="134">
        <v>13.0</v>
      </c>
      <c r="AM56" s="134">
        <f t="shared" si="10"/>
        <v>49</v>
      </c>
      <c r="AN56" s="22">
        <v>10540.0</v>
      </c>
      <c r="AO56" s="161">
        <v>4290.0</v>
      </c>
      <c r="AP56" s="134">
        <v>5500.0</v>
      </c>
      <c r="AQ56" s="134">
        <v>2190.0</v>
      </c>
      <c r="AR56" s="134">
        <v>6000.0</v>
      </c>
      <c r="AS56" s="134">
        <v>2690.0</v>
      </c>
      <c r="AT56" s="22">
        <v>20760.0</v>
      </c>
      <c r="AU56" s="161">
        <v>8575.0</v>
      </c>
      <c r="AV56" s="220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</row>
    <row r="57" ht="13.5" customHeight="1">
      <c r="A57" s="126">
        <f t="shared" si="2"/>
        <v>53</v>
      </c>
      <c r="B57" s="124"/>
      <c r="C57" s="124"/>
      <c r="D57" s="124"/>
      <c r="E57" s="213">
        <f t="shared" ref="E57:F57" si="83">E56+35</f>
        <v>2040</v>
      </c>
      <c r="F57" s="213">
        <f t="shared" si="83"/>
        <v>1865</v>
      </c>
      <c r="G57" s="8"/>
      <c r="H57" s="126">
        <f t="shared" si="4"/>
        <v>53</v>
      </c>
      <c r="I57" s="126"/>
      <c r="J57" s="124"/>
      <c r="K57" s="124"/>
      <c r="L57" s="213">
        <f t="shared" ref="L57:M57" si="84">L56+55</f>
        <v>2915</v>
      </c>
      <c r="M57" s="213">
        <f t="shared" si="84"/>
        <v>2915</v>
      </c>
      <c r="N57" s="8"/>
      <c r="O57" s="142"/>
      <c r="P57" s="143">
        <v>200.0</v>
      </c>
      <c r="Q57" s="152">
        <v>13.0</v>
      </c>
      <c r="R57" s="152">
        <v>7.0</v>
      </c>
      <c r="S57" s="152">
        <v>7.0</v>
      </c>
      <c r="T57" s="152">
        <v>25.0</v>
      </c>
      <c r="U57" s="152">
        <v>25.0</v>
      </c>
      <c r="V57" s="152">
        <v>13.0</v>
      </c>
      <c r="W57" s="152">
        <v>13.0</v>
      </c>
      <c r="X57" s="152">
        <v>50.0</v>
      </c>
      <c r="Y57" s="152">
        <v>12.5</v>
      </c>
      <c r="Z57" s="152">
        <v>4355.0</v>
      </c>
      <c r="AA57" s="152">
        <v>2375.0</v>
      </c>
      <c r="AB57" s="152">
        <v>2225.0</v>
      </c>
      <c r="AC57" s="152">
        <v>1190.0</v>
      </c>
      <c r="AD57" s="152">
        <v>2485.0</v>
      </c>
      <c r="AE57" s="152">
        <v>1450.0</v>
      </c>
      <c r="AF57" s="217">
        <v>8585.0</v>
      </c>
      <c r="AG57" s="217">
        <v>4750.0</v>
      </c>
      <c r="AH57" s="134"/>
      <c r="AI57" s="153">
        <f t="shared" si="9"/>
        <v>200</v>
      </c>
      <c r="AJ57" s="22">
        <v>25.0</v>
      </c>
      <c r="AK57" s="134">
        <v>13.0</v>
      </c>
      <c r="AL57" s="134">
        <v>13.0</v>
      </c>
      <c r="AM57" s="134">
        <f t="shared" si="10"/>
        <v>50</v>
      </c>
      <c r="AN57" s="22">
        <v>10680.0</v>
      </c>
      <c r="AO57" s="161">
        <v>4375.0</v>
      </c>
      <c r="AP57" s="160">
        <v>5500.0</v>
      </c>
      <c r="AQ57" s="161">
        <v>2190.0</v>
      </c>
      <c r="AR57" s="134">
        <v>6000.0</v>
      </c>
      <c r="AS57" s="134">
        <v>2690.0</v>
      </c>
      <c r="AT57" s="22">
        <v>21180.0</v>
      </c>
      <c r="AU57" s="161">
        <v>8750.0</v>
      </c>
      <c r="AV57" s="220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</row>
    <row r="58" ht="12.75" customHeight="1">
      <c r="A58" s="126">
        <f t="shared" si="2"/>
        <v>54</v>
      </c>
      <c r="B58" s="124"/>
      <c r="C58" s="124"/>
      <c r="D58" s="124"/>
      <c r="E58" s="213">
        <f t="shared" ref="E58:F58" si="85">E57+35</f>
        <v>2075</v>
      </c>
      <c r="F58" s="213">
        <f t="shared" si="85"/>
        <v>1900</v>
      </c>
      <c r="G58" s="8"/>
      <c r="H58" s="126">
        <f t="shared" si="4"/>
        <v>54</v>
      </c>
      <c r="I58" s="126"/>
      <c r="J58" s="124"/>
      <c r="K58" s="124"/>
      <c r="L58" s="213">
        <f t="shared" ref="L58:M58" si="86">L57+55</f>
        <v>2970</v>
      </c>
      <c r="M58" s="213">
        <f t="shared" si="86"/>
        <v>2970</v>
      </c>
      <c r="N58" s="8"/>
      <c r="O58" s="142"/>
      <c r="P58" s="143">
        <v>204.0</v>
      </c>
      <c r="Q58" s="152">
        <v>14.0</v>
      </c>
      <c r="R58" s="152">
        <v>7.0</v>
      </c>
      <c r="S58" s="152">
        <v>7.0</v>
      </c>
      <c r="T58" s="152">
        <v>26.0</v>
      </c>
      <c r="U58" s="152">
        <v>26.0</v>
      </c>
      <c r="V58" s="152">
        <v>13.0</v>
      </c>
      <c r="W58" s="152">
        <v>13.0</v>
      </c>
      <c r="X58" s="152">
        <v>51.0</v>
      </c>
      <c r="Y58" s="217">
        <v>13.0</v>
      </c>
      <c r="Z58" s="217">
        <v>4435.0</v>
      </c>
      <c r="AA58" s="217">
        <v>2425.0</v>
      </c>
      <c r="AB58" s="152">
        <v>2315.0</v>
      </c>
      <c r="AC58" s="152">
        <v>1235.0</v>
      </c>
      <c r="AD58" s="152">
        <v>2575.0</v>
      </c>
      <c r="AE58" s="152">
        <v>1495.0</v>
      </c>
      <c r="AF58" s="134"/>
      <c r="AG58" s="134"/>
      <c r="AH58" s="134"/>
      <c r="AI58" s="153">
        <f t="shared" si="9"/>
        <v>204</v>
      </c>
      <c r="AJ58" s="22">
        <v>26.0</v>
      </c>
      <c r="AK58" s="134">
        <v>13.0</v>
      </c>
      <c r="AL58" s="134">
        <v>13.0</v>
      </c>
      <c r="AM58" s="134">
        <f t="shared" si="10"/>
        <v>51</v>
      </c>
      <c r="AN58" s="22">
        <v>10960.0</v>
      </c>
      <c r="AO58" s="161">
        <v>4465.0</v>
      </c>
      <c r="AP58" s="134">
        <v>5640.0</v>
      </c>
      <c r="AQ58" s="134">
        <v>2275.0</v>
      </c>
      <c r="AR58" s="134">
        <v>6160.0</v>
      </c>
      <c r="AS58" s="134">
        <v>2795.0</v>
      </c>
      <c r="AT58" s="22">
        <v>21600.0</v>
      </c>
      <c r="AU58" s="161">
        <v>8925.0</v>
      </c>
      <c r="AV58" s="220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 t="str">
        <f t="shared" ref="BQ58:BQ60" si="89">IF(#REF!&gt;1000,IF(#REF!&lt;2000,#REF!,((#REF!/1000)-1)*#REF!),0)</f>
        <v>#REF!</v>
      </c>
      <c r="BR58" s="8"/>
      <c r="BS58" s="8"/>
      <c r="BT58" s="8"/>
      <c r="BU58" s="8"/>
      <c r="BV58" s="8"/>
      <c r="BW58" s="8"/>
      <c r="BX58" s="8"/>
      <c r="BY58" s="8"/>
    </row>
    <row r="59" ht="12.75" customHeight="1">
      <c r="A59" s="126">
        <f t="shared" si="2"/>
        <v>55</v>
      </c>
      <c r="B59" s="124"/>
      <c r="C59" s="124"/>
      <c r="D59" s="124"/>
      <c r="E59" s="213">
        <f t="shared" ref="E59:F59" si="87">E58+35</f>
        <v>2110</v>
      </c>
      <c r="F59" s="213">
        <f t="shared" si="87"/>
        <v>1935</v>
      </c>
      <c r="G59" s="8"/>
      <c r="H59" s="126">
        <f t="shared" si="4"/>
        <v>55</v>
      </c>
      <c r="I59" s="126"/>
      <c r="J59" s="124"/>
      <c r="K59" s="124"/>
      <c r="L59" s="213">
        <f t="shared" ref="L59:M59" si="88">L58+55</f>
        <v>3025</v>
      </c>
      <c r="M59" s="213">
        <f t="shared" si="88"/>
        <v>3025</v>
      </c>
      <c r="N59" s="8"/>
      <c r="O59" s="142"/>
      <c r="P59" s="143">
        <v>208.0</v>
      </c>
      <c r="Q59" s="152">
        <v>13.0</v>
      </c>
      <c r="R59" s="152">
        <v>7.0</v>
      </c>
      <c r="S59" s="152">
        <v>7.0</v>
      </c>
      <c r="T59" s="152">
        <v>26.0</v>
      </c>
      <c r="U59" s="152">
        <v>26.0</v>
      </c>
      <c r="V59" s="152">
        <v>13.0</v>
      </c>
      <c r="W59" s="152">
        <v>13.0</v>
      </c>
      <c r="X59" s="152">
        <v>52.0</v>
      </c>
      <c r="Y59" s="217">
        <v>13.0</v>
      </c>
      <c r="Z59" s="217">
        <v>4505.0</v>
      </c>
      <c r="AA59" s="217">
        <v>2470.0</v>
      </c>
      <c r="AB59" s="152">
        <v>2315.0</v>
      </c>
      <c r="AC59" s="152">
        <v>1235.0</v>
      </c>
      <c r="AD59" s="152">
        <v>2575.0</v>
      </c>
      <c r="AE59" s="152">
        <v>1495.0</v>
      </c>
      <c r="AF59" s="134"/>
      <c r="AG59" s="134"/>
      <c r="AH59" s="134"/>
      <c r="AI59" s="153">
        <f t="shared" si="9"/>
        <v>208</v>
      </c>
      <c r="AJ59" s="22">
        <v>26.0</v>
      </c>
      <c r="AK59" s="134">
        <v>13.0</v>
      </c>
      <c r="AL59" s="134">
        <v>13.0</v>
      </c>
      <c r="AM59" s="134">
        <f t="shared" si="10"/>
        <v>52</v>
      </c>
      <c r="AN59" s="22">
        <v>11100.0</v>
      </c>
      <c r="AO59" s="161">
        <v>4550.0</v>
      </c>
      <c r="AP59" s="182">
        <v>5640.0</v>
      </c>
      <c r="AQ59" s="226">
        <v>2275.0</v>
      </c>
      <c r="AR59" s="134">
        <v>6160.0</v>
      </c>
      <c r="AS59" s="134">
        <v>2795.0</v>
      </c>
      <c r="AT59" s="22">
        <v>22020.0</v>
      </c>
      <c r="AU59" s="161">
        <v>9100.0</v>
      </c>
      <c r="AV59" s="220"/>
      <c r="AW59" s="227"/>
      <c r="AX59" s="227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 t="str">
        <f t="shared" si="89"/>
        <v>#REF!</v>
      </c>
      <c r="BR59" s="8"/>
      <c r="BS59" s="8"/>
      <c r="BT59" s="8"/>
      <c r="BU59" s="8"/>
      <c r="BV59" s="8"/>
      <c r="BW59" s="8"/>
      <c r="BX59" s="8"/>
      <c r="BY59" s="8"/>
    </row>
    <row r="60" ht="12.75" customHeight="1">
      <c r="A60" s="126">
        <f t="shared" si="2"/>
        <v>56</v>
      </c>
      <c r="B60" s="124"/>
      <c r="C60" s="124"/>
      <c r="D60" s="124"/>
      <c r="E60" s="213">
        <f t="shared" ref="E60:F60" si="90">E59+35</f>
        <v>2145</v>
      </c>
      <c r="F60" s="213">
        <f t="shared" si="90"/>
        <v>1970</v>
      </c>
      <c r="G60" s="8"/>
      <c r="H60" s="126">
        <f t="shared" si="4"/>
        <v>56</v>
      </c>
      <c r="I60" s="126"/>
      <c r="J60" s="124"/>
      <c r="K60" s="124"/>
      <c r="L60" s="213">
        <f t="shared" ref="L60:M60" si="91">L59+55</f>
        <v>3080</v>
      </c>
      <c r="M60" s="213">
        <f t="shared" si="91"/>
        <v>3080</v>
      </c>
      <c r="N60" s="8"/>
      <c r="O60" s="142"/>
      <c r="P60" s="143">
        <v>212.0</v>
      </c>
      <c r="Q60" s="152">
        <v>14.0</v>
      </c>
      <c r="R60" s="152">
        <v>8.0</v>
      </c>
      <c r="S60" s="152">
        <v>8.0</v>
      </c>
      <c r="T60" s="152">
        <v>27.0</v>
      </c>
      <c r="U60" s="152">
        <v>27.0</v>
      </c>
      <c r="V60" s="152">
        <v>14.0</v>
      </c>
      <c r="W60" s="152">
        <v>14.0</v>
      </c>
      <c r="X60" s="152">
        <v>53.0</v>
      </c>
      <c r="Y60" s="217">
        <v>13.25</v>
      </c>
      <c r="Z60" s="217">
        <v>4605.0</v>
      </c>
      <c r="AA60" s="217">
        <v>2520.0</v>
      </c>
      <c r="AB60" s="152">
        <v>2395.0</v>
      </c>
      <c r="AC60" s="152">
        <v>1285.0</v>
      </c>
      <c r="AD60" s="152">
        <v>2675.0</v>
      </c>
      <c r="AE60" s="152">
        <v>1565.0</v>
      </c>
      <c r="AF60" s="134"/>
      <c r="AG60" s="134"/>
      <c r="AH60" s="134"/>
      <c r="AI60" s="153">
        <f t="shared" si="9"/>
        <v>212</v>
      </c>
      <c r="AJ60" s="22">
        <v>27.0</v>
      </c>
      <c r="AK60" s="134">
        <v>14.0</v>
      </c>
      <c r="AL60" s="134">
        <v>14.0</v>
      </c>
      <c r="AM60" s="134">
        <f t="shared" si="10"/>
        <v>53</v>
      </c>
      <c r="AN60" s="22">
        <v>11380.0</v>
      </c>
      <c r="AO60" s="161">
        <v>4640.0</v>
      </c>
      <c r="AP60" s="134">
        <v>5920.0</v>
      </c>
      <c r="AQ60" s="134">
        <v>2365.0</v>
      </c>
      <c r="AR60" s="134">
        <v>6460.0</v>
      </c>
      <c r="AS60" s="134">
        <v>2905.0</v>
      </c>
      <c r="AT60" s="22">
        <v>22440.0</v>
      </c>
      <c r="AU60" s="161">
        <v>9275.0</v>
      </c>
      <c r="AV60" s="220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 t="str">
        <f t="shared" si="89"/>
        <v>#REF!</v>
      </c>
      <c r="BR60" s="8"/>
      <c r="BS60" s="8"/>
      <c r="BT60" s="8"/>
      <c r="BU60" s="8"/>
      <c r="BV60" s="8"/>
      <c r="BW60" s="8"/>
      <c r="BX60" s="8"/>
      <c r="BY60" s="8"/>
    </row>
    <row r="61" ht="12.75" customHeight="1">
      <c r="A61" s="126">
        <f t="shared" si="2"/>
        <v>57</v>
      </c>
      <c r="B61" s="124"/>
      <c r="C61" s="124"/>
      <c r="D61" s="124"/>
      <c r="E61" s="213">
        <f t="shared" ref="E61:F61" si="92">E60+35</f>
        <v>2180</v>
      </c>
      <c r="F61" s="213">
        <f t="shared" si="92"/>
        <v>2005</v>
      </c>
      <c r="G61" s="8"/>
      <c r="H61" s="126">
        <f t="shared" si="4"/>
        <v>57</v>
      </c>
      <c r="I61" s="126"/>
      <c r="J61" s="124"/>
      <c r="K61" s="124"/>
      <c r="L61" s="213">
        <f t="shared" ref="L61:M61" si="93">L60+55</f>
        <v>3135</v>
      </c>
      <c r="M61" s="213">
        <f t="shared" si="93"/>
        <v>3135</v>
      </c>
      <c r="N61" s="8"/>
      <c r="O61" s="142"/>
      <c r="P61" s="143">
        <v>216.0</v>
      </c>
      <c r="Q61" s="152">
        <v>14.0</v>
      </c>
      <c r="R61" s="152">
        <v>8.0</v>
      </c>
      <c r="S61" s="152">
        <v>8.0</v>
      </c>
      <c r="T61" s="152">
        <v>27.0</v>
      </c>
      <c r="U61" s="152">
        <v>27.0</v>
      </c>
      <c r="V61" s="152">
        <v>14.0</v>
      </c>
      <c r="W61" s="152">
        <v>14.0</v>
      </c>
      <c r="X61" s="152">
        <v>54.0</v>
      </c>
      <c r="Y61" s="217">
        <v>13.5</v>
      </c>
      <c r="Z61" s="217">
        <v>4695.0</v>
      </c>
      <c r="AA61" s="217">
        <v>2565.0</v>
      </c>
      <c r="AB61" s="152">
        <v>2395.0</v>
      </c>
      <c r="AC61" s="152">
        <v>1285.0</v>
      </c>
      <c r="AD61" s="152">
        <v>2675.0</v>
      </c>
      <c r="AE61" s="152">
        <v>1565.0</v>
      </c>
      <c r="AF61" s="134"/>
      <c r="AG61" s="134"/>
      <c r="AH61" s="134"/>
      <c r="AI61" s="153">
        <f t="shared" si="9"/>
        <v>216</v>
      </c>
      <c r="AJ61" s="22">
        <v>27.0</v>
      </c>
      <c r="AK61" s="134">
        <v>14.0</v>
      </c>
      <c r="AL61" s="134">
        <v>14.0</v>
      </c>
      <c r="AM61" s="134">
        <f t="shared" si="10"/>
        <v>54</v>
      </c>
      <c r="AN61" s="22">
        <v>11520.0</v>
      </c>
      <c r="AO61" s="161">
        <v>4725.0</v>
      </c>
      <c r="AP61" s="22">
        <v>5920.0</v>
      </c>
      <c r="AQ61" s="22">
        <v>2365.0</v>
      </c>
      <c r="AR61" s="134">
        <v>6460.0</v>
      </c>
      <c r="AS61" s="134">
        <v>2905.0</v>
      </c>
      <c r="AT61" s="22">
        <v>22860.0</v>
      </c>
      <c r="AU61" s="161">
        <v>9450.0</v>
      </c>
      <c r="AV61" s="220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</row>
    <row r="62" ht="12.75" customHeight="1">
      <c r="A62" s="126">
        <f t="shared" si="2"/>
        <v>58</v>
      </c>
      <c r="B62" s="124"/>
      <c r="C62" s="124"/>
      <c r="D62" s="124"/>
      <c r="E62" s="213">
        <f t="shared" ref="E62:F62" si="94">E61+35</f>
        <v>2215</v>
      </c>
      <c r="F62" s="213">
        <f t="shared" si="94"/>
        <v>2040</v>
      </c>
      <c r="G62" s="8"/>
      <c r="H62" s="126">
        <f t="shared" si="4"/>
        <v>58</v>
      </c>
      <c r="I62" s="126"/>
      <c r="J62" s="124"/>
      <c r="K62" s="124"/>
      <c r="L62" s="213">
        <f t="shared" ref="L62:M62" si="95">L61+55</f>
        <v>3190</v>
      </c>
      <c r="M62" s="213">
        <f t="shared" si="95"/>
        <v>3190</v>
      </c>
      <c r="N62" s="8"/>
      <c r="O62" s="142"/>
      <c r="P62" s="143">
        <v>220.0</v>
      </c>
      <c r="Q62" s="152">
        <v>15.0</v>
      </c>
      <c r="R62" s="152">
        <v>7.0</v>
      </c>
      <c r="S62" s="152">
        <v>7.0</v>
      </c>
      <c r="T62" s="152">
        <v>28.0</v>
      </c>
      <c r="U62" s="152">
        <v>28.0</v>
      </c>
      <c r="V62" s="152">
        <v>14.0</v>
      </c>
      <c r="W62" s="152">
        <v>14.0</v>
      </c>
      <c r="X62" s="152">
        <v>55.0</v>
      </c>
      <c r="Y62" s="217">
        <v>14.0</v>
      </c>
      <c r="Z62" s="217">
        <v>4775.0</v>
      </c>
      <c r="AA62" s="217">
        <v>2615.0</v>
      </c>
      <c r="AB62" s="152">
        <v>2465.0</v>
      </c>
      <c r="AC62" s="152">
        <v>1330.0</v>
      </c>
      <c r="AD62" s="152">
        <v>2745.0</v>
      </c>
      <c r="AE62" s="152">
        <v>1610.0</v>
      </c>
      <c r="AF62" s="134"/>
      <c r="AG62" s="134"/>
      <c r="AH62" s="134"/>
      <c r="AI62" s="153">
        <f t="shared" si="9"/>
        <v>220</v>
      </c>
      <c r="AJ62" s="22">
        <v>28.0</v>
      </c>
      <c r="AK62" s="134">
        <v>14.0</v>
      </c>
      <c r="AL62" s="134">
        <v>14.0</v>
      </c>
      <c r="AM62" s="134">
        <f t="shared" si="10"/>
        <v>55</v>
      </c>
      <c r="AN62" s="22">
        <v>11800.0</v>
      </c>
      <c r="AO62" s="161">
        <v>4815.0</v>
      </c>
      <c r="AP62" s="134">
        <v>6060.0</v>
      </c>
      <c r="AQ62" s="134">
        <v>2450.0</v>
      </c>
      <c r="AR62" s="134">
        <v>6620.0</v>
      </c>
      <c r="AS62" s="134">
        <v>3010.0</v>
      </c>
      <c r="AT62" s="22">
        <v>23280.0</v>
      </c>
      <c r="AU62" s="161">
        <v>9625.0</v>
      </c>
      <c r="AV62" s="220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</row>
    <row r="63" ht="12.75" customHeight="1">
      <c r="A63" s="126">
        <f t="shared" si="2"/>
        <v>59</v>
      </c>
      <c r="B63" s="124"/>
      <c r="C63" s="124"/>
      <c r="D63" s="124"/>
      <c r="E63" s="213">
        <f t="shared" ref="E63:F63" si="96">E62+35</f>
        <v>2250</v>
      </c>
      <c r="F63" s="213">
        <f t="shared" si="96"/>
        <v>2075</v>
      </c>
      <c r="G63" s="8"/>
      <c r="H63" s="126">
        <f t="shared" si="4"/>
        <v>59</v>
      </c>
      <c r="I63" s="126"/>
      <c r="J63" s="124"/>
      <c r="K63" s="124"/>
      <c r="L63" s="213">
        <f t="shared" ref="L63:M63" si="97">L62+55</f>
        <v>3245</v>
      </c>
      <c r="M63" s="213">
        <f t="shared" si="97"/>
        <v>3245</v>
      </c>
      <c r="N63" s="8"/>
      <c r="O63" s="142"/>
      <c r="P63" s="143">
        <v>224.0</v>
      </c>
      <c r="Q63" s="152">
        <v>14.0</v>
      </c>
      <c r="R63" s="152">
        <v>7.0</v>
      </c>
      <c r="S63" s="152">
        <v>7.0</v>
      </c>
      <c r="T63" s="152">
        <v>28.0</v>
      </c>
      <c r="U63" s="152">
        <v>28.0</v>
      </c>
      <c r="V63" s="152">
        <v>14.0</v>
      </c>
      <c r="W63" s="152">
        <v>14.0</v>
      </c>
      <c r="X63" s="152">
        <v>56.0</v>
      </c>
      <c r="Y63" s="217">
        <v>14.0</v>
      </c>
      <c r="Z63" s="217">
        <v>4845.0</v>
      </c>
      <c r="AA63" s="217">
        <v>2660.0</v>
      </c>
      <c r="AB63" s="152">
        <v>2465.0</v>
      </c>
      <c r="AC63" s="152">
        <v>1330.0</v>
      </c>
      <c r="AD63" s="152">
        <v>2745.0</v>
      </c>
      <c r="AE63" s="152">
        <v>1610.0</v>
      </c>
      <c r="AF63" s="134"/>
      <c r="AG63" s="134"/>
      <c r="AH63" s="134"/>
      <c r="AI63" s="153">
        <f t="shared" si="9"/>
        <v>224</v>
      </c>
      <c r="AJ63" s="22">
        <v>28.0</v>
      </c>
      <c r="AK63" s="134">
        <v>14.0</v>
      </c>
      <c r="AL63" s="134">
        <v>14.0</v>
      </c>
      <c r="AM63" s="134">
        <f t="shared" si="10"/>
        <v>56</v>
      </c>
      <c r="AN63" s="22">
        <v>11940.0</v>
      </c>
      <c r="AO63" s="161">
        <v>4900.0</v>
      </c>
      <c r="AP63" s="22">
        <v>6060.0</v>
      </c>
      <c r="AQ63" s="226">
        <v>2450.0</v>
      </c>
      <c r="AR63" s="134">
        <v>6620.0</v>
      </c>
      <c r="AS63" s="134">
        <v>3010.0</v>
      </c>
      <c r="AT63" s="22">
        <v>23700.0</v>
      </c>
      <c r="AU63" s="161">
        <v>9800.0</v>
      </c>
      <c r="AV63" s="220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</row>
    <row r="64" ht="12.75" customHeight="1">
      <c r="A64" s="126">
        <f t="shared" si="2"/>
        <v>60</v>
      </c>
      <c r="B64" s="124"/>
      <c r="C64" s="124"/>
      <c r="D64" s="124"/>
      <c r="E64" s="213">
        <f t="shared" ref="E64:F64" si="98">E63+35</f>
        <v>2285</v>
      </c>
      <c r="F64" s="213">
        <f t="shared" si="98"/>
        <v>2110</v>
      </c>
      <c r="G64" s="8"/>
      <c r="H64" s="126">
        <f t="shared" si="4"/>
        <v>60</v>
      </c>
      <c r="I64" s="126"/>
      <c r="J64" s="124"/>
      <c r="K64" s="124"/>
      <c r="L64" s="213">
        <f t="shared" ref="L64:M64" si="99">L63+55</f>
        <v>3300</v>
      </c>
      <c r="M64" s="213">
        <f t="shared" si="99"/>
        <v>3300</v>
      </c>
      <c r="N64" s="8"/>
      <c r="O64" s="142"/>
      <c r="P64" s="143">
        <v>228.0</v>
      </c>
      <c r="Q64" s="152">
        <v>15.0</v>
      </c>
      <c r="R64" s="152">
        <v>8.0</v>
      </c>
      <c r="S64" s="152">
        <v>8.0</v>
      </c>
      <c r="T64" s="152">
        <v>29.0</v>
      </c>
      <c r="U64" s="152">
        <v>29.0</v>
      </c>
      <c r="V64" s="152">
        <v>15.0</v>
      </c>
      <c r="W64" s="152">
        <v>15.0</v>
      </c>
      <c r="X64" s="152">
        <v>57.0</v>
      </c>
      <c r="Y64" s="217">
        <v>14.25</v>
      </c>
      <c r="Z64" s="217">
        <v>4945.0</v>
      </c>
      <c r="AA64" s="217">
        <v>2710.0</v>
      </c>
      <c r="AB64" s="152">
        <v>2565.0</v>
      </c>
      <c r="AC64" s="152">
        <v>1380.0</v>
      </c>
      <c r="AD64" s="152">
        <v>2865.0</v>
      </c>
      <c r="AE64" s="152">
        <v>1680.0</v>
      </c>
      <c r="AF64" s="134"/>
      <c r="AG64" s="134"/>
      <c r="AH64" s="134"/>
      <c r="AI64" s="153">
        <f t="shared" si="9"/>
        <v>228</v>
      </c>
      <c r="AJ64" s="22">
        <v>29.0</v>
      </c>
      <c r="AK64" s="134">
        <v>15.0</v>
      </c>
      <c r="AL64" s="134">
        <v>15.0</v>
      </c>
      <c r="AM64" s="134">
        <f t="shared" si="10"/>
        <v>57</v>
      </c>
      <c r="AN64" s="22">
        <v>12220.0</v>
      </c>
      <c r="AO64" s="161">
        <v>4990.0</v>
      </c>
      <c r="AP64" s="134">
        <v>6340.0</v>
      </c>
      <c r="AQ64" s="134">
        <v>2540.0</v>
      </c>
      <c r="AR64" s="134">
        <v>6920.0</v>
      </c>
      <c r="AS64" s="134">
        <v>3120.0</v>
      </c>
      <c r="AT64" s="22">
        <v>24120.0</v>
      </c>
      <c r="AU64" s="161">
        <v>9975.0</v>
      </c>
      <c r="AV64" s="220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</row>
    <row r="65" ht="12.75" customHeight="1">
      <c r="A65" s="126">
        <f t="shared" si="2"/>
        <v>61</v>
      </c>
      <c r="B65" s="124"/>
      <c r="C65" s="124"/>
      <c r="D65" s="124"/>
      <c r="E65" s="213">
        <f t="shared" ref="E65:F65" si="100">E64+35</f>
        <v>2320</v>
      </c>
      <c r="F65" s="213">
        <f t="shared" si="100"/>
        <v>2145</v>
      </c>
      <c r="G65" s="8"/>
      <c r="H65" s="126">
        <f t="shared" si="4"/>
        <v>61</v>
      </c>
      <c r="I65" s="126"/>
      <c r="J65" s="124"/>
      <c r="K65" s="124"/>
      <c r="L65" s="213">
        <f t="shared" ref="L65:M65" si="101">L64+55</f>
        <v>3355</v>
      </c>
      <c r="M65" s="213">
        <f t="shared" si="101"/>
        <v>3355</v>
      </c>
      <c r="N65" s="8"/>
      <c r="O65" s="142"/>
      <c r="P65" s="143">
        <v>232.0</v>
      </c>
      <c r="Q65" s="152">
        <v>15.0</v>
      </c>
      <c r="R65" s="152">
        <v>8.0</v>
      </c>
      <c r="S65" s="152">
        <v>8.0</v>
      </c>
      <c r="T65" s="152">
        <v>29.0</v>
      </c>
      <c r="U65" s="152">
        <v>29.0</v>
      </c>
      <c r="V65" s="152">
        <v>15.0</v>
      </c>
      <c r="W65" s="152">
        <v>15.0</v>
      </c>
      <c r="X65" s="152">
        <v>58.0</v>
      </c>
      <c r="Y65" s="217">
        <v>14.5</v>
      </c>
      <c r="Z65" s="217">
        <v>5035.0</v>
      </c>
      <c r="AA65" s="217">
        <v>2755.0</v>
      </c>
      <c r="AB65" s="152">
        <v>2565.0</v>
      </c>
      <c r="AC65" s="152">
        <v>1380.0</v>
      </c>
      <c r="AD65" s="152">
        <v>2865.0</v>
      </c>
      <c r="AE65" s="152">
        <v>1680.0</v>
      </c>
      <c r="AF65" s="134"/>
      <c r="AG65" s="134"/>
      <c r="AH65" s="134"/>
      <c r="AI65" s="153">
        <f t="shared" si="9"/>
        <v>232</v>
      </c>
      <c r="AJ65" s="22">
        <v>29.0</v>
      </c>
      <c r="AK65" s="134">
        <v>15.0</v>
      </c>
      <c r="AL65" s="134">
        <v>15.0</v>
      </c>
      <c r="AM65" s="134">
        <f t="shared" si="10"/>
        <v>58</v>
      </c>
      <c r="AN65" s="22">
        <v>12360.0</v>
      </c>
      <c r="AO65" s="161">
        <v>5075.0</v>
      </c>
      <c r="AP65" s="22">
        <v>6340.0</v>
      </c>
      <c r="AQ65" s="22">
        <v>2540.0</v>
      </c>
      <c r="AR65" s="134">
        <v>6920.0</v>
      </c>
      <c r="AS65" s="134">
        <v>3120.0</v>
      </c>
      <c r="AT65" s="22">
        <v>24540.0</v>
      </c>
      <c r="AU65" s="161">
        <v>10150.0</v>
      </c>
      <c r="AV65" s="220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</row>
    <row r="66" ht="12.75" customHeight="1">
      <c r="A66" s="126">
        <f t="shared" si="2"/>
        <v>62</v>
      </c>
      <c r="B66" s="124"/>
      <c r="C66" s="124"/>
      <c r="D66" s="124"/>
      <c r="E66" s="213">
        <f t="shared" ref="E66:F66" si="102">E65+35</f>
        <v>2355</v>
      </c>
      <c r="F66" s="213">
        <f t="shared" si="102"/>
        <v>2180</v>
      </c>
      <c r="G66" s="8"/>
      <c r="H66" s="126">
        <f t="shared" si="4"/>
        <v>62</v>
      </c>
      <c r="I66" s="126"/>
      <c r="J66" s="124"/>
      <c r="K66" s="124"/>
      <c r="L66" s="213">
        <f t="shared" ref="L66:M66" si="103">L65+55</f>
        <v>3410</v>
      </c>
      <c r="M66" s="213">
        <f t="shared" si="103"/>
        <v>3410</v>
      </c>
      <c r="N66" s="8"/>
      <c r="O66" s="142"/>
      <c r="P66" s="143">
        <v>236.0</v>
      </c>
      <c r="Q66" s="152">
        <v>16.0</v>
      </c>
      <c r="R66" s="152">
        <v>8.0</v>
      </c>
      <c r="S66" s="152">
        <v>8.0</v>
      </c>
      <c r="T66" s="152">
        <v>30.0</v>
      </c>
      <c r="U66" s="152">
        <v>30.0</v>
      </c>
      <c r="V66" s="152">
        <v>15.0</v>
      </c>
      <c r="W66" s="152">
        <v>15.0</v>
      </c>
      <c r="X66" s="152">
        <v>59.0</v>
      </c>
      <c r="Y66" s="217">
        <v>15.0</v>
      </c>
      <c r="Z66" s="217">
        <v>5115.0</v>
      </c>
      <c r="AA66" s="217">
        <v>2805.0</v>
      </c>
      <c r="AB66" s="152">
        <v>2655.0</v>
      </c>
      <c r="AC66" s="152">
        <v>1425.0</v>
      </c>
      <c r="AD66" s="152">
        <v>2955.0</v>
      </c>
      <c r="AE66" s="152">
        <v>1725.0</v>
      </c>
      <c r="AF66" s="134"/>
      <c r="AG66" s="134"/>
      <c r="AH66" s="134"/>
      <c r="AI66" s="153">
        <f t="shared" si="9"/>
        <v>236</v>
      </c>
      <c r="AJ66" s="22">
        <v>30.0</v>
      </c>
      <c r="AK66" s="134">
        <v>15.0</v>
      </c>
      <c r="AL66" s="134">
        <v>15.0</v>
      </c>
      <c r="AM66" s="134">
        <f t="shared" si="10"/>
        <v>59</v>
      </c>
      <c r="AN66" s="22">
        <v>12640.0</v>
      </c>
      <c r="AO66" s="161">
        <v>5165.0</v>
      </c>
      <c r="AP66" s="134">
        <v>6480.0</v>
      </c>
      <c r="AQ66" s="134">
        <v>2625.0</v>
      </c>
      <c r="AR66" s="134">
        <v>7080.0</v>
      </c>
      <c r="AS66" s="134">
        <v>3225.0</v>
      </c>
      <c r="AT66" s="22">
        <v>24960.0</v>
      </c>
      <c r="AU66" s="161">
        <v>10325.0</v>
      </c>
      <c r="AV66" s="220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</row>
    <row r="67" ht="12.75" customHeight="1">
      <c r="A67" s="126">
        <f t="shared" si="2"/>
        <v>63</v>
      </c>
      <c r="B67" s="124"/>
      <c r="C67" s="124"/>
      <c r="D67" s="124"/>
      <c r="E67" s="213">
        <f t="shared" ref="E67:F67" si="104">E66+35</f>
        <v>2390</v>
      </c>
      <c r="F67" s="213">
        <f t="shared" si="104"/>
        <v>2215</v>
      </c>
      <c r="G67" s="8"/>
      <c r="H67" s="126">
        <f t="shared" si="4"/>
        <v>63</v>
      </c>
      <c r="I67" s="126"/>
      <c r="J67" s="124"/>
      <c r="K67" s="124"/>
      <c r="L67" s="213">
        <f t="shared" ref="L67:M67" si="105">L66+55</f>
        <v>3465</v>
      </c>
      <c r="M67" s="213">
        <f t="shared" si="105"/>
        <v>3465</v>
      </c>
      <c r="N67" s="8"/>
      <c r="O67" s="142"/>
      <c r="P67" s="143">
        <v>240.0</v>
      </c>
      <c r="Q67" s="152">
        <v>15.0</v>
      </c>
      <c r="R67" s="152">
        <v>8.0</v>
      </c>
      <c r="S67" s="152">
        <v>8.0</v>
      </c>
      <c r="T67" s="152">
        <v>30.0</v>
      </c>
      <c r="U67" s="152">
        <v>30.0</v>
      </c>
      <c r="V67" s="152">
        <v>15.0</v>
      </c>
      <c r="W67" s="152">
        <v>15.0</v>
      </c>
      <c r="X67" s="152">
        <v>60.0</v>
      </c>
      <c r="Y67" s="217">
        <v>15.0</v>
      </c>
      <c r="Z67" s="217">
        <v>5185.0</v>
      </c>
      <c r="AA67" s="217">
        <v>2850.0</v>
      </c>
      <c r="AB67" s="152">
        <v>2655.0</v>
      </c>
      <c r="AC67" s="152">
        <v>1425.0</v>
      </c>
      <c r="AD67" s="152">
        <v>2955.0</v>
      </c>
      <c r="AE67" s="152">
        <v>1725.0</v>
      </c>
      <c r="AF67" s="134"/>
      <c r="AG67" s="134"/>
      <c r="AH67" s="134"/>
      <c r="AI67" s="153">
        <f t="shared" si="9"/>
        <v>240</v>
      </c>
      <c r="AJ67" s="22">
        <v>30.0</v>
      </c>
      <c r="AK67" s="134">
        <v>15.0</v>
      </c>
      <c r="AL67" s="134">
        <v>15.0</v>
      </c>
      <c r="AM67" s="134">
        <f t="shared" si="10"/>
        <v>60</v>
      </c>
      <c r="AN67" s="22">
        <v>12780.0</v>
      </c>
      <c r="AO67" s="161">
        <v>5250.0</v>
      </c>
      <c r="AP67" s="22">
        <v>6480.0</v>
      </c>
      <c r="AQ67" s="226">
        <v>2625.0</v>
      </c>
      <c r="AR67" s="134">
        <v>7080.0</v>
      </c>
      <c r="AS67" s="134">
        <v>3225.0</v>
      </c>
      <c r="AT67" s="22">
        <v>25380.0</v>
      </c>
      <c r="AU67" s="161">
        <v>10500.0</v>
      </c>
      <c r="AV67" s="90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</row>
    <row r="68" ht="12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8"/>
      <c r="O68" s="142"/>
      <c r="P68" s="143">
        <v>244.0</v>
      </c>
      <c r="Q68" s="152">
        <v>16.0</v>
      </c>
      <c r="R68" s="152">
        <v>9.0</v>
      </c>
      <c r="S68" s="152">
        <v>9.0</v>
      </c>
      <c r="T68" s="152">
        <v>31.0</v>
      </c>
      <c r="U68" s="152">
        <v>31.0</v>
      </c>
      <c r="V68" s="152">
        <v>16.0</v>
      </c>
      <c r="W68" s="152">
        <v>16.0</v>
      </c>
      <c r="X68" s="152">
        <v>61.0</v>
      </c>
      <c r="Y68" s="217">
        <v>15.25</v>
      </c>
      <c r="Z68" s="217">
        <v>5285.0</v>
      </c>
      <c r="AA68" s="217">
        <v>2900.0</v>
      </c>
      <c r="AB68" s="152">
        <v>2735.0</v>
      </c>
      <c r="AC68" s="152">
        <v>1475.0</v>
      </c>
      <c r="AD68" s="152">
        <v>3055.0</v>
      </c>
      <c r="AE68" s="152">
        <v>1795.0</v>
      </c>
      <c r="AF68" s="134"/>
      <c r="AG68" s="134"/>
      <c r="AH68" s="22"/>
      <c r="AI68" s="153">
        <f t="shared" si="9"/>
        <v>244</v>
      </c>
      <c r="AJ68" s="22">
        <v>31.0</v>
      </c>
      <c r="AK68" s="134">
        <v>16.0</v>
      </c>
      <c r="AL68" s="134">
        <v>16.0</v>
      </c>
      <c r="AM68" s="134">
        <f t="shared" si="10"/>
        <v>61</v>
      </c>
      <c r="AN68" s="22">
        <v>13060.0</v>
      </c>
      <c r="AO68" s="161">
        <v>5340.0</v>
      </c>
      <c r="AP68" s="134">
        <v>6760.0</v>
      </c>
      <c r="AQ68" s="134">
        <v>2715.0</v>
      </c>
      <c r="AR68" s="134">
        <v>7380.0</v>
      </c>
      <c r="AS68" s="134">
        <v>3335.0</v>
      </c>
      <c r="AT68" s="22">
        <v>25800.0</v>
      </c>
      <c r="AU68" s="161">
        <v>10675.0</v>
      </c>
      <c r="AV68" s="90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</row>
    <row r="69" ht="12.75" customHeight="1">
      <c r="A69" s="1"/>
      <c r="B69" s="228" t="s">
        <v>149</v>
      </c>
      <c r="C69" s="229"/>
      <c r="D69" s="229"/>
      <c r="E69" s="230"/>
      <c r="F69" s="8" t="s">
        <v>150</v>
      </c>
      <c r="G69" s="1"/>
      <c r="H69" s="1"/>
      <c r="I69" s="1"/>
      <c r="J69" s="1"/>
      <c r="K69" s="1"/>
      <c r="L69" s="1"/>
      <c r="M69" s="1"/>
      <c r="N69" s="8"/>
      <c r="O69" s="142"/>
      <c r="P69" s="143">
        <v>248.0</v>
      </c>
      <c r="Q69" s="152">
        <v>16.0</v>
      </c>
      <c r="R69" s="152">
        <v>9.0</v>
      </c>
      <c r="S69" s="152">
        <v>9.0</v>
      </c>
      <c r="T69" s="152">
        <v>31.0</v>
      </c>
      <c r="U69" s="152">
        <v>31.0</v>
      </c>
      <c r="V69" s="152">
        <v>16.0</v>
      </c>
      <c r="W69" s="152">
        <v>16.0</v>
      </c>
      <c r="X69" s="152">
        <v>62.0</v>
      </c>
      <c r="Y69" s="217">
        <v>15.5</v>
      </c>
      <c r="Z69" s="217">
        <v>5375.0</v>
      </c>
      <c r="AA69" s="217">
        <v>2945.0</v>
      </c>
      <c r="AB69" s="152">
        <v>2735.0</v>
      </c>
      <c r="AC69" s="152">
        <v>1475.0</v>
      </c>
      <c r="AD69" s="152">
        <v>3055.0</v>
      </c>
      <c r="AE69" s="152">
        <v>1795.0</v>
      </c>
      <c r="AF69" s="134"/>
      <c r="AG69" s="134"/>
      <c r="AH69" s="134"/>
      <c r="AI69" s="153">
        <f t="shared" si="9"/>
        <v>248</v>
      </c>
      <c r="AJ69" s="22">
        <v>31.0</v>
      </c>
      <c r="AK69" s="134">
        <v>16.0</v>
      </c>
      <c r="AL69" s="134">
        <v>16.0</v>
      </c>
      <c r="AM69" s="134">
        <f t="shared" si="10"/>
        <v>62</v>
      </c>
      <c r="AN69" s="22">
        <v>13200.0</v>
      </c>
      <c r="AO69" s="161">
        <v>5425.0</v>
      </c>
      <c r="AP69" s="22">
        <v>6760.0</v>
      </c>
      <c r="AQ69" s="22">
        <v>2715.0</v>
      </c>
      <c r="AR69" s="134">
        <v>7380.0</v>
      </c>
      <c r="AS69" s="134">
        <v>3335.0</v>
      </c>
      <c r="AT69" s="22">
        <v>26220.0</v>
      </c>
      <c r="AU69" s="161">
        <v>10850.0</v>
      </c>
      <c r="AV69" s="90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</row>
    <row r="70" ht="12.75" customHeight="1">
      <c r="A70" s="1"/>
      <c r="B70" s="3" t="s">
        <v>151</v>
      </c>
      <c r="C70" s="5"/>
      <c r="D70" s="3" t="s">
        <v>152</v>
      </c>
      <c r="E70" s="5"/>
      <c r="F70" s="8" t="s">
        <v>151</v>
      </c>
      <c r="G70" s="1"/>
      <c r="H70" s="8" t="s">
        <v>152</v>
      </c>
      <c r="I70" s="8" t="s">
        <v>153</v>
      </c>
      <c r="J70" s="8" t="s">
        <v>154</v>
      </c>
      <c r="K70" s="1"/>
      <c r="L70" s="1"/>
      <c r="M70" s="1"/>
      <c r="N70" s="8"/>
      <c r="O70" s="142"/>
      <c r="P70" s="143">
        <v>252.0</v>
      </c>
      <c r="Q70" s="152">
        <v>17.0</v>
      </c>
      <c r="R70" s="152">
        <v>8.0</v>
      </c>
      <c r="S70" s="152">
        <v>8.0</v>
      </c>
      <c r="T70" s="152">
        <v>32.0</v>
      </c>
      <c r="U70" s="152">
        <v>32.0</v>
      </c>
      <c r="V70" s="152">
        <v>16.0</v>
      </c>
      <c r="W70" s="152">
        <v>16.0</v>
      </c>
      <c r="X70" s="152">
        <v>63.0</v>
      </c>
      <c r="Y70" s="217">
        <v>16.0</v>
      </c>
      <c r="Z70" s="217">
        <v>5455.0</v>
      </c>
      <c r="AA70" s="217">
        <v>2995.0</v>
      </c>
      <c r="AB70" s="152">
        <v>2805.0</v>
      </c>
      <c r="AC70" s="152">
        <v>1520.0</v>
      </c>
      <c r="AD70" s="152">
        <v>3125.0</v>
      </c>
      <c r="AE70" s="152">
        <v>1840.0</v>
      </c>
      <c r="AF70" s="134"/>
      <c r="AG70" s="134"/>
      <c r="AH70" s="134"/>
      <c r="AI70" s="153">
        <f t="shared" si="9"/>
        <v>252</v>
      </c>
      <c r="AJ70" s="22">
        <v>32.0</v>
      </c>
      <c r="AK70" s="134">
        <v>16.0</v>
      </c>
      <c r="AL70" s="134">
        <v>16.0</v>
      </c>
      <c r="AM70" s="134">
        <f t="shared" si="10"/>
        <v>63</v>
      </c>
      <c r="AN70" s="22">
        <v>13480.0</v>
      </c>
      <c r="AO70" s="161">
        <v>5515.0</v>
      </c>
      <c r="AP70" s="134">
        <v>6900.0</v>
      </c>
      <c r="AQ70" s="134">
        <v>2800.0</v>
      </c>
      <c r="AR70" s="134">
        <v>7540.0</v>
      </c>
      <c r="AS70" s="134">
        <v>3440.0</v>
      </c>
      <c r="AT70" s="134"/>
      <c r="AU70" s="134"/>
      <c r="AV70" s="90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</row>
    <row r="71" ht="12.75" customHeight="1">
      <c r="A71" s="8" t="s">
        <v>155</v>
      </c>
      <c r="B71" s="19" t="s">
        <v>40</v>
      </c>
      <c r="C71" s="19" t="s">
        <v>156</v>
      </c>
      <c r="D71" s="19" t="s">
        <v>40</v>
      </c>
      <c r="E71" s="19" t="s">
        <v>156</v>
      </c>
      <c r="F71" s="9" t="s">
        <v>102</v>
      </c>
      <c r="G71" s="9" t="s">
        <v>157</v>
      </c>
      <c r="H71" s="1"/>
      <c r="I71" s="1"/>
      <c r="J71" s="8" t="s">
        <v>40</v>
      </c>
      <c r="K71" s="8" t="s">
        <v>5</v>
      </c>
      <c r="L71" s="1"/>
      <c r="M71" s="1"/>
      <c r="N71" s="8"/>
      <c r="O71" s="142"/>
      <c r="P71" s="143">
        <v>256.0</v>
      </c>
      <c r="Q71" s="152">
        <v>16.0</v>
      </c>
      <c r="R71" s="152">
        <v>8.0</v>
      </c>
      <c r="S71" s="152">
        <v>8.0</v>
      </c>
      <c r="T71" s="152">
        <v>32.0</v>
      </c>
      <c r="U71" s="152">
        <v>32.0</v>
      </c>
      <c r="V71" s="152">
        <v>16.0</v>
      </c>
      <c r="W71" s="152">
        <v>16.0</v>
      </c>
      <c r="X71" s="152">
        <v>64.0</v>
      </c>
      <c r="Y71" s="217">
        <v>16.0</v>
      </c>
      <c r="Z71" s="217">
        <v>5525.0</v>
      </c>
      <c r="AA71" s="217">
        <v>3040.0</v>
      </c>
      <c r="AB71" s="152">
        <v>2805.0</v>
      </c>
      <c r="AC71" s="152">
        <v>1520.0</v>
      </c>
      <c r="AD71" s="152">
        <v>3125.0</v>
      </c>
      <c r="AE71" s="152">
        <v>1840.0</v>
      </c>
      <c r="AF71" s="134"/>
      <c r="AG71" s="134"/>
      <c r="AH71" s="134"/>
      <c r="AI71" s="153">
        <f t="shared" si="9"/>
        <v>256</v>
      </c>
      <c r="AJ71" s="22">
        <v>32.0</v>
      </c>
      <c r="AK71" s="134">
        <v>16.0</v>
      </c>
      <c r="AL71" s="134">
        <v>16.0</v>
      </c>
      <c r="AM71" s="134">
        <f t="shared" si="10"/>
        <v>64</v>
      </c>
      <c r="AN71" s="22">
        <v>13620.0</v>
      </c>
      <c r="AO71" s="161">
        <v>5600.0</v>
      </c>
      <c r="AP71" s="22">
        <v>6900.0</v>
      </c>
      <c r="AQ71" s="226">
        <v>2800.0</v>
      </c>
      <c r="AR71" s="134">
        <v>7540.0</v>
      </c>
      <c r="AS71" s="134">
        <v>3440.0</v>
      </c>
      <c r="AT71" s="134"/>
      <c r="AU71" s="134"/>
      <c r="AV71" s="90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227"/>
      <c r="BK71" s="227"/>
      <c r="BL71" s="227"/>
      <c r="BM71" s="227"/>
      <c r="BN71" s="227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</row>
    <row r="72" ht="12.75" customHeight="1">
      <c r="A72" s="8" t="s">
        <v>105</v>
      </c>
      <c r="B72" s="19">
        <v>13.0</v>
      </c>
      <c r="C72" s="19">
        <v>14.0</v>
      </c>
      <c r="D72" s="19">
        <v>8.0</v>
      </c>
      <c r="E72" s="19">
        <v>9.0</v>
      </c>
      <c r="F72" s="9">
        <v>3.0</v>
      </c>
      <c r="G72" s="9">
        <v>7.0</v>
      </c>
      <c r="H72" s="9">
        <v>3.0</v>
      </c>
      <c r="I72" s="231">
        <v>4.0</v>
      </c>
      <c r="J72" s="9">
        <v>5.0</v>
      </c>
      <c r="K72" s="9">
        <v>6.0</v>
      </c>
      <c r="L72" s="1"/>
      <c r="M72" s="1"/>
      <c r="N72" s="8"/>
      <c r="O72" s="142"/>
      <c r="P72" s="143">
        <v>260.0</v>
      </c>
      <c r="Q72" s="152">
        <v>17.0</v>
      </c>
      <c r="R72" s="152">
        <v>9.0</v>
      </c>
      <c r="S72" s="152">
        <v>9.0</v>
      </c>
      <c r="T72" s="152">
        <v>33.0</v>
      </c>
      <c r="U72" s="152">
        <v>33.0</v>
      </c>
      <c r="V72" s="152">
        <v>17.0</v>
      </c>
      <c r="W72" s="152">
        <v>17.0</v>
      </c>
      <c r="X72" s="152">
        <v>65.0</v>
      </c>
      <c r="Y72" s="217">
        <v>16.25</v>
      </c>
      <c r="Z72" s="217">
        <v>5625.0</v>
      </c>
      <c r="AA72" s="217">
        <v>3090.0</v>
      </c>
      <c r="AB72" s="152">
        <v>2905.0</v>
      </c>
      <c r="AC72" s="152">
        <v>1570.0</v>
      </c>
      <c r="AD72" s="152">
        <v>3245.0</v>
      </c>
      <c r="AE72" s="152">
        <v>1910.0</v>
      </c>
      <c r="AF72" s="134"/>
      <c r="AG72" s="134"/>
      <c r="AH72" s="134"/>
      <c r="AI72" s="153">
        <f t="shared" si="9"/>
        <v>260</v>
      </c>
      <c r="AJ72" s="22">
        <v>33.0</v>
      </c>
      <c r="AK72" s="134">
        <v>17.0</v>
      </c>
      <c r="AL72" s="134">
        <v>17.0</v>
      </c>
      <c r="AM72" s="134">
        <f t="shared" si="10"/>
        <v>65</v>
      </c>
      <c r="AN72" s="22">
        <v>13900.0</v>
      </c>
      <c r="AO72" s="161">
        <v>5690.0</v>
      </c>
      <c r="AP72" s="134">
        <v>7180.0</v>
      </c>
      <c r="AQ72" s="134">
        <v>2890.0</v>
      </c>
      <c r="AR72" s="134">
        <v>7840.0</v>
      </c>
      <c r="AS72" s="134">
        <v>3550.0</v>
      </c>
      <c r="AT72" s="134"/>
      <c r="AU72" s="134"/>
      <c r="AV72" s="90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</row>
    <row r="73" ht="12.75" customHeight="1">
      <c r="A73" s="8" t="s">
        <v>106</v>
      </c>
      <c r="B73" s="19">
        <v>15.0</v>
      </c>
      <c r="C73" s="19">
        <v>16.0</v>
      </c>
      <c r="D73" s="19">
        <v>10.0</v>
      </c>
      <c r="E73" s="19">
        <v>11.0</v>
      </c>
      <c r="F73" s="9">
        <v>4.0</v>
      </c>
      <c r="G73" s="9">
        <v>8.0</v>
      </c>
      <c r="H73" s="9">
        <v>4.0</v>
      </c>
      <c r="I73" s="231">
        <v>4.0</v>
      </c>
      <c r="J73" s="9">
        <v>5.0</v>
      </c>
      <c r="K73" s="9">
        <v>6.0</v>
      </c>
      <c r="L73" s="1"/>
      <c r="M73" s="1"/>
      <c r="N73" s="8"/>
      <c r="O73" s="142"/>
      <c r="P73" s="143">
        <v>264.0</v>
      </c>
      <c r="Q73" s="152">
        <v>17.0</v>
      </c>
      <c r="R73" s="152">
        <v>9.0</v>
      </c>
      <c r="S73" s="152">
        <v>9.0</v>
      </c>
      <c r="T73" s="152">
        <v>33.0</v>
      </c>
      <c r="U73" s="152">
        <v>33.0</v>
      </c>
      <c r="V73" s="152">
        <v>17.0</v>
      </c>
      <c r="W73" s="152">
        <v>17.0</v>
      </c>
      <c r="X73" s="152">
        <v>66.0</v>
      </c>
      <c r="Y73" s="217">
        <v>16.5</v>
      </c>
      <c r="Z73" s="217">
        <v>5715.0</v>
      </c>
      <c r="AA73" s="217">
        <v>3135.0</v>
      </c>
      <c r="AB73" s="152">
        <v>2905.0</v>
      </c>
      <c r="AC73" s="152">
        <v>1570.0</v>
      </c>
      <c r="AD73" s="152">
        <v>3245.0</v>
      </c>
      <c r="AE73" s="152">
        <v>1910.0</v>
      </c>
      <c r="AF73" s="134"/>
      <c r="AG73" s="134"/>
      <c r="AH73" s="134"/>
      <c r="AI73" s="153">
        <f t="shared" si="9"/>
        <v>264</v>
      </c>
      <c r="AJ73" s="22">
        <v>33.0</v>
      </c>
      <c r="AK73" s="134">
        <v>17.0</v>
      </c>
      <c r="AL73" s="134">
        <v>17.0</v>
      </c>
      <c r="AM73" s="134">
        <f t="shared" si="10"/>
        <v>66</v>
      </c>
      <c r="AN73" s="22">
        <v>14040.0</v>
      </c>
      <c r="AO73" s="161">
        <v>5775.0</v>
      </c>
      <c r="AP73" s="22">
        <v>7180.0</v>
      </c>
      <c r="AQ73" s="22">
        <v>2890.0</v>
      </c>
      <c r="AR73" s="134">
        <v>7840.0</v>
      </c>
      <c r="AS73" s="134">
        <v>3550.0</v>
      </c>
      <c r="AT73" s="134"/>
      <c r="AU73" s="134"/>
      <c r="AV73" s="90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</row>
    <row r="74" ht="12.75" customHeight="1">
      <c r="A74" s="1" t="s">
        <v>74</v>
      </c>
      <c r="B74" s="19">
        <v>11.0</v>
      </c>
      <c r="C74" s="19">
        <v>12.0</v>
      </c>
      <c r="D74" s="19">
        <v>6.0</v>
      </c>
      <c r="E74" s="19">
        <v>7.0</v>
      </c>
      <c r="F74" s="9">
        <v>2.0</v>
      </c>
      <c r="G74" s="9">
        <v>6.0</v>
      </c>
      <c r="H74" s="9">
        <v>2.0</v>
      </c>
      <c r="I74" s="231">
        <v>4.0</v>
      </c>
      <c r="J74" s="9">
        <v>5.0</v>
      </c>
      <c r="K74" s="9">
        <v>6.0</v>
      </c>
      <c r="L74" s="1"/>
      <c r="M74" s="1"/>
      <c r="N74" s="8"/>
      <c r="O74" s="142"/>
      <c r="P74" s="143">
        <v>268.0</v>
      </c>
      <c r="Q74" s="152">
        <v>18.0</v>
      </c>
      <c r="R74" s="152">
        <v>9.0</v>
      </c>
      <c r="S74" s="152">
        <v>9.0</v>
      </c>
      <c r="T74" s="152">
        <v>34.0</v>
      </c>
      <c r="U74" s="152">
        <v>34.0</v>
      </c>
      <c r="V74" s="152">
        <v>17.0</v>
      </c>
      <c r="W74" s="152">
        <v>17.0</v>
      </c>
      <c r="X74" s="152">
        <v>67.0</v>
      </c>
      <c r="Y74" s="217">
        <v>17.0</v>
      </c>
      <c r="Z74" s="217">
        <v>5795.0</v>
      </c>
      <c r="AA74" s="217">
        <v>3185.0</v>
      </c>
      <c r="AB74" s="152">
        <v>2995.0</v>
      </c>
      <c r="AC74" s="152">
        <v>1615.0</v>
      </c>
      <c r="AD74" s="152">
        <v>3335.0</v>
      </c>
      <c r="AE74" s="152">
        <v>1955.0</v>
      </c>
      <c r="AF74" s="134"/>
      <c r="AG74" s="134"/>
      <c r="AH74" s="134"/>
      <c r="AI74" s="153">
        <f t="shared" si="9"/>
        <v>268</v>
      </c>
      <c r="AJ74" s="22">
        <v>34.0</v>
      </c>
      <c r="AK74" s="134">
        <v>17.0</v>
      </c>
      <c r="AL74" s="134">
        <v>17.0</v>
      </c>
      <c r="AM74" s="134">
        <f t="shared" si="10"/>
        <v>67</v>
      </c>
      <c r="AN74" s="22">
        <v>14320.0</v>
      </c>
      <c r="AO74" s="161">
        <v>5865.0</v>
      </c>
      <c r="AP74" s="134">
        <v>7320.0</v>
      </c>
      <c r="AQ74" s="134">
        <v>2975.0</v>
      </c>
      <c r="AR74" s="134">
        <v>8000.0</v>
      </c>
      <c r="AS74" s="134">
        <v>3655.0</v>
      </c>
      <c r="AT74" s="134"/>
      <c r="AU74" s="134"/>
      <c r="AV74" s="90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</row>
    <row r="75" ht="12.75" customHeight="1">
      <c r="A75" s="1" t="s">
        <v>87</v>
      </c>
      <c r="B75" s="7">
        <v>17.0</v>
      </c>
      <c r="C75" s="9">
        <v>18.0</v>
      </c>
      <c r="D75" s="7">
        <v>12.0</v>
      </c>
      <c r="E75" s="9">
        <v>13.0</v>
      </c>
      <c r="F75" s="8">
        <v>5.0</v>
      </c>
      <c r="G75" s="8">
        <v>9.0</v>
      </c>
      <c r="H75" s="8">
        <v>5.0</v>
      </c>
      <c r="I75" s="8">
        <v>4.0</v>
      </c>
      <c r="J75" s="8">
        <v>8.0</v>
      </c>
      <c r="K75" s="8">
        <v>9.0</v>
      </c>
      <c r="L75" s="1"/>
      <c r="M75" s="1"/>
      <c r="N75" s="8"/>
      <c r="O75" s="142"/>
      <c r="P75" s="143">
        <v>272.0</v>
      </c>
      <c r="Q75" s="152">
        <v>17.0</v>
      </c>
      <c r="R75" s="152">
        <v>9.0</v>
      </c>
      <c r="S75" s="152">
        <v>9.0</v>
      </c>
      <c r="T75" s="152">
        <v>34.0</v>
      </c>
      <c r="U75" s="152">
        <v>34.0</v>
      </c>
      <c r="V75" s="152">
        <v>17.0</v>
      </c>
      <c r="W75" s="152">
        <v>17.0</v>
      </c>
      <c r="X75" s="152">
        <v>68.0</v>
      </c>
      <c r="Y75" s="217">
        <v>17.0</v>
      </c>
      <c r="Z75" s="217">
        <v>5865.0</v>
      </c>
      <c r="AA75" s="217">
        <v>3230.0</v>
      </c>
      <c r="AB75" s="152">
        <v>2995.0</v>
      </c>
      <c r="AC75" s="152">
        <v>1615.0</v>
      </c>
      <c r="AD75" s="152">
        <v>3335.0</v>
      </c>
      <c r="AE75" s="152">
        <v>1955.0</v>
      </c>
      <c r="AF75" s="134"/>
      <c r="AG75" s="134"/>
      <c r="AH75" s="134"/>
      <c r="AI75" s="153">
        <f t="shared" si="9"/>
        <v>272</v>
      </c>
      <c r="AJ75" s="22">
        <v>34.0</v>
      </c>
      <c r="AK75" s="134">
        <v>17.0</v>
      </c>
      <c r="AL75" s="134">
        <v>17.0</v>
      </c>
      <c r="AM75" s="134">
        <f t="shared" si="10"/>
        <v>68</v>
      </c>
      <c r="AN75" s="22">
        <v>14460.0</v>
      </c>
      <c r="AO75" s="161">
        <v>5950.0</v>
      </c>
      <c r="AP75" s="22">
        <v>7320.0</v>
      </c>
      <c r="AQ75" s="226">
        <v>2975.0</v>
      </c>
      <c r="AR75" s="134">
        <v>8000.0</v>
      </c>
      <c r="AS75" s="134">
        <v>3655.0</v>
      </c>
      <c r="AT75" s="134"/>
      <c r="AU75" s="134"/>
      <c r="AV75" s="90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</row>
    <row r="76" ht="12.75" customHeight="1">
      <c r="A76" s="1" t="s">
        <v>88</v>
      </c>
      <c r="B76" s="1"/>
      <c r="C76" s="1"/>
      <c r="D76" s="8"/>
      <c r="E76" s="1"/>
      <c r="F76" s="1"/>
      <c r="G76" s="1"/>
      <c r="H76" s="1"/>
      <c r="I76" s="1"/>
      <c r="J76" s="1"/>
      <c r="K76" s="1"/>
      <c r="L76" s="1"/>
      <c r="M76" s="1"/>
      <c r="N76" s="8"/>
      <c r="O76" s="142"/>
      <c r="P76" s="143">
        <v>276.0</v>
      </c>
      <c r="Q76" s="152">
        <v>18.0</v>
      </c>
      <c r="R76" s="152">
        <v>10.0</v>
      </c>
      <c r="S76" s="152">
        <v>10.0</v>
      </c>
      <c r="T76" s="152">
        <v>35.0</v>
      </c>
      <c r="U76" s="152">
        <v>35.0</v>
      </c>
      <c r="V76" s="152">
        <v>18.0</v>
      </c>
      <c r="W76" s="152">
        <v>18.0</v>
      </c>
      <c r="X76" s="152">
        <v>69.0</v>
      </c>
      <c r="Y76" s="217">
        <v>17.25</v>
      </c>
      <c r="Z76" s="217">
        <v>5965.0</v>
      </c>
      <c r="AA76" s="217">
        <v>3280.0</v>
      </c>
      <c r="AB76" s="152">
        <v>3075.0</v>
      </c>
      <c r="AC76" s="152">
        <v>1665.0</v>
      </c>
      <c r="AD76" s="152">
        <v>3435.0</v>
      </c>
      <c r="AE76" s="152">
        <v>2025.0</v>
      </c>
      <c r="AF76" s="134"/>
      <c r="AG76" s="134"/>
      <c r="AH76" s="22"/>
      <c r="AI76" s="153">
        <f t="shared" si="9"/>
        <v>276</v>
      </c>
      <c r="AJ76" s="22">
        <v>35.0</v>
      </c>
      <c r="AK76" s="134">
        <v>18.0</v>
      </c>
      <c r="AL76" s="134">
        <v>18.0</v>
      </c>
      <c r="AM76" s="134">
        <f t="shared" si="10"/>
        <v>69</v>
      </c>
      <c r="AN76" s="22">
        <v>14740.0</v>
      </c>
      <c r="AO76" s="161">
        <v>6040.0</v>
      </c>
      <c r="AP76" s="134">
        <v>7600.0</v>
      </c>
      <c r="AQ76" s="134">
        <v>3065.0</v>
      </c>
      <c r="AR76" s="134">
        <v>8300.0</v>
      </c>
      <c r="AS76" s="134">
        <v>3765.0</v>
      </c>
      <c r="AT76" s="134"/>
      <c r="AU76" s="134"/>
      <c r="AV76" s="90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</row>
    <row r="77" ht="12.75" customHeight="1">
      <c r="A77" s="1" t="s">
        <v>143</v>
      </c>
      <c r="B77" s="1"/>
      <c r="C77" s="1"/>
      <c r="D77" s="8"/>
      <c r="E77" s="1"/>
      <c r="F77" s="1"/>
      <c r="G77" s="1"/>
      <c r="H77" s="1"/>
      <c r="I77" s="1"/>
      <c r="J77" s="1"/>
      <c r="K77" s="1"/>
      <c r="L77" s="1"/>
      <c r="M77" s="1"/>
      <c r="N77" s="8"/>
      <c r="O77" s="142"/>
      <c r="P77" s="143">
        <v>280.0</v>
      </c>
      <c r="Q77" s="152">
        <v>18.0</v>
      </c>
      <c r="R77" s="152">
        <v>10.0</v>
      </c>
      <c r="S77" s="152">
        <v>10.0</v>
      </c>
      <c r="T77" s="152">
        <v>35.0</v>
      </c>
      <c r="U77" s="152">
        <v>35.0</v>
      </c>
      <c r="V77" s="152">
        <v>18.0</v>
      </c>
      <c r="W77" s="152">
        <v>18.0</v>
      </c>
      <c r="X77" s="152">
        <v>70.0</v>
      </c>
      <c r="Y77" s="217">
        <v>17.5</v>
      </c>
      <c r="Z77" s="217">
        <v>6055.0</v>
      </c>
      <c r="AA77" s="217">
        <v>3325.0</v>
      </c>
      <c r="AB77" s="152">
        <v>3075.0</v>
      </c>
      <c r="AC77" s="152">
        <v>1665.0</v>
      </c>
      <c r="AD77" s="152">
        <v>3435.0</v>
      </c>
      <c r="AE77" s="152">
        <v>2025.0</v>
      </c>
      <c r="AF77" s="134"/>
      <c r="AG77" s="134"/>
      <c r="AH77" s="134"/>
      <c r="AI77" s="153">
        <f t="shared" si="9"/>
        <v>280</v>
      </c>
      <c r="AJ77" s="22">
        <v>35.0</v>
      </c>
      <c r="AK77" s="134">
        <v>18.0</v>
      </c>
      <c r="AL77" s="134">
        <v>18.0</v>
      </c>
      <c r="AM77" s="134">
        <f t="shared" si="10"/>
        <v>70</v>
      </c>
      <c r="AN77" s="22">
        <v>14880.0</v>
      </c>
      <c r="AO77" s="161">
        <v>6125.0</v>
      </c>
      <c r="AP77" s="22">
        <v>7600.0</v>
      </c>
      <c r="AQ77" s="22">
        <v>3065.0</v>
      </c>
      <c r="AR77" s="134">
        <v>8300.0</v>
      </c>
      <c r="AS77" s="134">
        <v>3765.0</v>
      </c>
      <c r="AT77" s="134"/>
      <c r="AU77" s="134"/>
      <c r="AV77" s="90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</row>
    <row r="78" ht="12.75" customHeight="1">
      <c r="A78" s="1"/>
      <c r="B78" s="1"/>
      <c r="C78" s="1"/>
      <c r="D78" s="8"/>
      <c r="E78" s="1"/>
      <c r="F78" s="1"/>
      <c r="G78" s="1"/>
      <c r="H78" s="1"/>
      <c r="I78" s="1"/>
      <c r="J78" s="1"/>
      <c r="K78" s="1"/>
      <c r="L78" s="1"/>
      <c r="M78" s="1"/>
      <c r="N78" s="8"/>
      <c r="O78" s="142"/>
      <c r="P78" s="143">
        <v>284.0</v>
      </c>
      <c r="Q78" s="152">
        <v>19.0</v>
      </c>
      <c r="R78" s="152">
        <v>9.0</v>
      </c>
      <c r="S78" s="152">
        <v>9.0</v>
      </c>
      <c r="T78" s="152">
        <v>36.0</v>
      </c>
      <c r="U78" s="152">
        <v>36.0</v>
      </c>
      <c r="V78" s="152">
        <v>18.0</v>
      </c>
      <c r="W78" s="152">
        <v>18.0</v>
      </c>
      <c r="X78" s="152">
        <v>71.0</v>
      </c>
      <c r="Y78" s="217">
        <v>18.0</v>
      </c>
      <c r="Z78" s="217">
        <v>6135.0</v>
      </c>
      <c r="AA78" s="217">
        <v>3375.0</v>
      </c>
      <c r="AB78" s="152">
        <v>3145.0</v>
      </c>
      <c r="AC78" s="152">
        <v>1710.0</v>
      </c>
      <c r="AD78" s="152">
        <v>3505.0</v>
      </c>
      <c r="AE78" s="152">
        <v>2070.0</v>
      </c>
      <c r="AF78" s="134"/>
      <c r="AG78" s="134"/>
      <c r="AH78" s="134"/>
      <c r="AI78" s="153">
        <f t="shared" si="9"/>
        <v>284</v>
      </c>
      <c r="AJ78" s="22">
        <v>36.0</v>
      </c>
      <c r="AK78" s="134">
        <v>18.0</v>
      </c>
      <c r="AL78" s="134">
        <v>18.0</v>
      </c>
      <c r="AM78" s="134">
        <f t="shared" si="10"/>
        <v>71</v>
      </c>
      <c r="AN78" s="22">
        <v>15160.0</v>
      </c>
      <c r="AO78" s="161">
        <v>6215.0</v>
      </c>
      <c r="AP78" s="134">
        <v>7740.0</v>
      </c>
      <c r="AQ78" s="134">
        <v>3150.0</v>
      </c>
      <c r="AR78" s="134">
        <v>8460.0</v>
      </c>
      <c r="AS78" s="134">
        <v>3870.0</v>
      </c>
      <c r="AT78" s="134"/>
      <c r="AU78" s="134"/>
      <c r="AV78" s="90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</row>
    <row r="79" ht="12.75" customHeight="1">
      <c r="A79" s="1"/>
      <c r="B79" s="1"/>
      <c r="C79" s="1"/>
      <c r="D79" s="8"/>
      <c r="E79" s="1"/>
      <c r="F79" s="1"/>
      <c r="G79" s="1"/>
      <c r="H79" s="1"/>
      <c r="I79" s="1"/>
      <c r="J79" s="1"/>
      <c r="K79" s="1"/>
      <c r="L79" s="1"/>
      <c r="M79" s="1"/>
      <c r="N79" s="8"/>
      <c r="O79" s="142"/>
      <c r="P79" s="143">
        <v>288.0</v>
      </c>
      <c r="Q79" s="152">
        <v>18.0</v>
      </c>
      <c r="R79" s="152">
        <v>9.0</v>
      </c>
      <c r="S79" s="152">
        <v>9.0</v>
      </c>
      <c r="T79" s="152">
        <v>36.0</v>
      </c>
      <c r="U79" s="152">
        <v>36.0</v>
      </c>
      <c r="V79" s="152">
        <v>18.0</v>
      </c>
      <c r="W79" s="152">
        <v>18.0</v>
      </c>
      <c r="X79" s="152">
        <v>72.0</v>
      </c>
      <c r="Y79" s="217">
        <v>18.0</v>
      </c>
      <c r="Z79" s="217">
        <v>6205.0</v>
      </c>
      <c r="AA79" s="217">
        <v>3420.0</v>
      </c>
      <c r="AB79" s="152">
        <v>3145.0</v>
      </c>
      <c r="AC79" s="152">
        <v>1710.0</v>
      </c>
      <c r="AD79" s="152">
        <v>3505.0</v>
      </c>
      <c r="AE79" s="152">
        <v>2070.0</v>
      </c>
      <c r="AF79" s="134"/>
      <c r="AG79" s="134"/>
      <c r="AH79" s="134"/>
      <c r="AI79" s="153">
        <f t="shared" si="9"/>
        <v>288</v>
      </c>
      <c r="AJ79" s="22">
        <v>36.0</v>
      </c>
      <c r="AK79" s="134">
        <v>18.0</v>
      </c>
      <c r="AL79" s="134">
        <v>18.0</v>
      </c>
      <c r="AM79" s="134">
        <f t="shared" si="10"/>
        <v>72</v>
      </c>
      <c r="AN79" s="22">
        <v>15300.0</v>
      </c>
      <c r="AO79" s="161">
        <v>6300.0</v>
      </c>
      <c r="AP79" s="22">
        <v>7740.0</v>
      </c>
      <c r="AQ79" s="226">
        <v>3150.0</v>
      </c>
      <c r="AR79" s="134">
        <v>8460.0</v>
      </c>
      <c r="AS79" s="134">
        <v>3870.0</v>
      </c>
      <c r="AT79" s="134"/>
      <c r="AU79" s="134"/>
      <c r="AV79" s="90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</row>
    <row r="80" ht="12.75" customHeight="1">
      <c r="A80" s="1"/>
      <c r="B80" s="1"/>
      <c r="C80" s="1"/>
      <c r="D80" s="8"/>
      <c r="E80" s="1"/>
      <c r="F80" s="1"/>
      <c r="G80" s="1"/>
      <c r="H80" s="1"/>
      <c r="I80" s="1"/>
      <c r="J80" s="1"/>
      <c r="K80" s="1"/>
      <c r="L80" s="1"/>
      <c r="M80" s="1"/>
      <c r="N80" s="8"/>
      <c r="O80" s="142"/>
      <c r="P80" s="143">
        <v>292.0</v>
      </c>
      <c r="Q80" s="152">
        <v>19.0</v>
      </c>
      <c r="R80" s="152">
        <v>10.0</v>
      </c>
      <c r="S80" s="152">
        <v>10.0</v>
      </c>
      <c r="T80" s="152">
        <v>37.0</v>
      </c>
      <c r="U80" s="152">
        <v>37.0</v>
      </c>
      <c r="V80" s="152">
        <v>19.0</v>
      </c>
      <c r="W80" s="152">
        <v>19.0</v>
      </c>
      <c r="X80" s="152">
        <v>73.0</v>
      </c>
      <c r="Y80" s="217">
        <v>18.25</v>
      </c>
      <c r="Z80" s="217">
        <v>6305.0</v>
      </c>
      <c r="AA80" s="217">
        <v>3470.0</v>
      </c>
      <c r="AB80" s="152">
        <v>3245.0</v>
      </c>
      <c r="AC80" s="152">
        <v>1760.0</v>
      </c>
      <c r="AD80" s="152">
        <v>3625.0</v>
      </c>
      <c r="AE80" s="152">
        <v>2140.0</v>
      </c>
      <c r="AF80" s="134"/>
      <c r="AG80" s="134"/>
      <c r="AH80" s="134"/>
      <c r="AI80" s="153">
        <f t="shared" si="9"/>
        <v>292</v>
      </c>
      <c r="AJ80" s="22">
        <v>37.0</v>
      </c>
      <c r="AK80" s="134">
        <v>19.0</v>
      </c>
      <c r="AL80" s="134">
        <v>19.0</v>
      </c>
      <c r="AM80" s="134">
        <f t="shared" si="10"/>
        <v>73</v>
      </c>
      <c r="AN80" s="22">
        <v>15580.0</v>
      </c>
      <c r="AO80" s="161">
        <v>6390.0</v>
      </c>
      <c r="AP80" s="134">
        <v>8020.0</v>
      </c>
      <c r="AQ80" s="134">
        <v>3240.0</v>
      </c>
      <c r="AR80" s="134">
        <v>8760.0</v>
      </c>
      <c r="AS80" s="134">
        <v>3980.0</v>
      </c>
      <c r="AT80" s="134"/>
      <c r="AU80" s="134"/>
      <c r="AV80" s="90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</row>
    <row r="81" ht="12.75" customHeight="1">
      <c r="A81" s="8" t="s">
        <v>158</v>
      </c>
      <c r="B81" s="1"/>
      <c r="C81" s="1"/>
      <c r="D81" s="8"/>
      <c r="E81" s="1"/>
      <c r="F81" s="103"/>
      <c r="G81" s="103"/>
      <c r="H81" s="104"/>
      <c r="I81" s="1"/>
      <c r="J81" s="1"/>
      <c r="K81" s="1"/>
      <c r="L81" s="1"/>
      <c r="M81" s="1"/>
      <c r="N81" s="8"/>
      <c r="O81" s="142"/>
      <c r="P81" s="143">
        <v>296.0</v>
      </c>
      <c r="Q81" s="152">
        <v>19.0</v>
      </c>
      <c r="R81" s="152">
        <v>10.0</v>
      </c>
      <c r="S81" s="152">
        <v>10.0</v>
      </c>
      <c r="T81" s="152">
        <v>37.0</v>
      </c>
      <c r="U81" s="152">
        <v>37.0</v>
      </c>
      <c r="V81" s="152">
        <v>19.0</v>
      </c>
      <c r="W81" s="152">
        <v>19.0</v>
      </c>
      <c r="X81" s="152">
        <v>74.0</v>
      </c>
      <c r="Y81" s="217">
        <v>18.5</v>
      </c>
      <c r="Z81" s="217">
        <v>6395.0</v>
      </c>
      <c r="AA81" s="217">
        <v>3515.0</v>
      </c>
      <c r="AB81" s="152">
        <v>3245.0</v>
      </c>
      <c r="AC81" s="152">
        <v>1760.0</v>
      </c>
      <c r="AD81" s="152">
        <v>3625.0</v>
      </c>
      <c r="AE81" s="152">
        <v>2140.0</v>
      </c>
      <c r="AF81" s="134"/>
      <c r="AG81" s="134"/>
      <c r="AH81" s="134"/>
      <c r="AI81" s="153">
        <f t="shared" si="9"/>
        <v>296</v>
      </c>
      <c r="AJ81" s="22">
        <v>37.0</v>
      </c>
      <c r="AK81" s="134">
        <v>19.0</v>
      </c>
      <c r="AL81" s="134">
        <v>19.0</v>
      </c>
      <c r="AM81" s="134">
        <f t="shared" si="10"/>
        <v>74</v>
      </c>
      <c r="AN81" s="22">
        <v>15720.0</v>
      </c>
      <c r="AO81" s="161">
        <v>6475.0</v>
      </c>
      <c r="AP81" s="22">
        <v>8020.0</v>
      </c>
      <c r="AQ81" s="22">
        <v>3240.0</v>
      </c>
      <c r="AR81" s="134">
        <v>8760.0</v>
      </c>
      <c r="AS81" s="134">
        <v>3980.0</v>
      </c>
      <c r="AT81" s="134"/>
      <c r="AU81" s="134"/>
      <c r="AV81" s="90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</row>
    <row r="82" ht="12.75" customHeight="1">
      <c r="A82" s="8" t="s">
        <v>159</v>
      </c>
      <c r="B82" s="1"/>
      <c r="C82" s="1"/>
      <c r="D82" s="8"/>
      <c r="E82" s="1"/>
      <c r="F82" s="1"/>
      <c r="G82" s="1"/>
      <c r="H82" s="1"/>
      <c r="I82" s="1"/>
      <c r="J82" s="1"/>
      <c r="K82" s="1"/>
      <c r="L82" s="1"/>
      <c r="M82" s="1"/>
      <c r="N82" s="8"/>
      <c r="O82" s="142"/>
      <c r="P82" s="143">
        <v>300.0</v>
      </c>
      <c r="Q82" s="152">
        <v>20.0</v>
      </c>
      <c r="R82" s="152">
        <v>10.0</v>
      </c>
      <c r="S82" s="152">
        <v>10.0</v>
      </c>
      <c r="T82" s="152">
        <v>38.0</v>
      </c>
      <c r="U82" s="152">
        <v>38.0</v>
      </c>
      <c r="V82" s="152">
        <v>19.0</v>
      </c>
      <c r="W82" s="152">
        <v>19.0</v>
      </c>
      <c r="X82" s="152">
        <v>75.0</v>
      </c>
      <c r="Y82" s="217">
        <v>19.0</v>
      </c>
      <c r="Z82" s="217">
        <v>6475.0</v>
      </c>
      <c r="AA82" s="217">
        <v>3565.0</v>
      </c>
      <c r="AB82" s="152">
        <v>3335.0</v>
      </c>
      <c r="AC82" s="152">
        <v>1805.0</v>
      </c>
      <c r="AD82" s="152">
        <v>3715.0</v>
      </c>
      <c r="AE82" s="152">
        <v>2185.0</v>
      </c>
      <c r="AF82" s="134"/>
      <c r="AG82" s="134"/>
      <c r="AH82" s="134"/>
      <c r="AI82" s="153">
        <f t="shared" si="9"/>
        <v>300</v>
      </c>
      <c r="AJ82" s="22">
        <v>38.0</v>
      </c>
      <c r="AK82" s="134">
        <v>19.0</v>
      </c>
      <c r="AL82" s="134">
        <v>19.0</v>
      </c>
      <c r="AM82" s="134">
        <f t="shared" si="10"/>
        <v>75</v>
      </c>
      <c r="AN82" s="22">
        <v>16000.0</v>
      </c>
      <c r="AO82" s="161">
        <v>6565.0</v>
      </c>
      <c r="AP82" s="134">
        <v>8160.0</v>
      </c>
      <c r="AQ82" s="134">
        <v>3325.0</v>
      </c>
      <c r="AR82" s="134">
        <v>8920.0</v>
      </c>
      <c r="AS82" s="134">
        <v>4085.0</v>
      </c>
      <c r="AT82" s="134"/>
      <c r="AU82" s="134"/>
      <c r="AV82" s="90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</row>
    <row r="83" ht="12.75" customHeight="1">
      <c r="A83" s="1"/>
      <c r="B83" s="1"/>
      <c r="C83" s="1"/>
      <c r="D83" s="8"/>
      <c r="E83" s="1"/>
      <c r="F83" s="1"/>
      <c r="G83" s="1"/>
      <c r="H83" s="1"/>
      <c r="I83" s="1"/>
      <c r="J83" s="1"/>
      <c r="K83" s="1"/>
      <c r="L83" s="1"/>
      <c r="M83" s="1"/>
      <c r="N83" s="8"/>
      <c r="O83" s="142"/>
      <c r="P83" s="143">
        <v>304.0</v>
      </c>
      <c r="Q83" s="152">
        <v>19.0</v>
      </c>
      <c r="R83" s="152">
        <v>10.0</v>
      </c>
      <c r="S83" s="152">
        <v>10.0</v>
      </c>
      <c r="T83" s="152">
        <v>38.0</v>
      </c>
      <c r="U83" s="152">
        <v>38.0</v>
      </c>
      <c r="V83" s="152">
        <v>19.0</v>
      </c>
      <c r="W83" s="152">
        <v>19.0</v>
      </c>
      <c r="X83" s="152">
        <v>76.0</v>
      </c>
      <c r="Y83" s="217">
        <v>19.0</v>
      </c>
      <c r="Z83" s="217">
        <v>6545.0</v>
      </c>
      <c r="AA83" s="217">
        <v>3610.0</v>
      </c>
      <c r="AB83" s="152">
        <v>3335.0</v>
      </c>
      <c r="AC83" s="152">
        <v>1805.0</v>
      </c>
      <c r="AD83" s="152">
        <v>3715.0</v>
      </c>
      <c r="AE83" s="152">
        <v>2185.0</v>
      </c>
      <c r="AF83" s="134"/>
      <c r="AG83" s="134"/>
      <c r="AH83" s="134"/>
      <c r="AI83" s="153">
        <f t="shared" si="9"/>
        <v>304</v>
      </c>
      <c r="AJ83" s="22">
        <v>38.0</v>
      </c>
      <c r="AK83" s="134">
        <v>19.0</v>
      </c>
      <c r="AL83" s="134">
        <v>19.0</v>
      </c>
      <c r="AM83" s="134">
        <f t="shared" si="10"/>
        <v>76</v>
      </c>
      <c r="AN83" s="22">
        <v>16140.0</v>
      </c>
      <c r="AO83" s="161">
        <v>6650.0</v>
      </c>
      <c r="AP83" s="22">
        <v>8160.0</v>
      </c>
      <c r="AQ83" s="226">
        <v>3325.0</v>
      </c>
      <c r="AR83" s="134">
        <v>8920.0</v>
      </c>
      <c r="AS83" s="134">
        <v>4085.0</v>
      </c>
      <c r="AT83" s="134"/>
      <c r="AU83" s="134"/>
      <c r="AV83" s="90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</row>
    <row r="84" ht="12.75" customHeight="1">
      <c r="A84" s="8" t="s">
        <v>160</v>
      </c>
      <c r="B84" s="1"/>
      <c r="C84" s="1"/>
      <c r="D84" s="8"/>
      <c r="E84" s="1"/>
      <c r="F84" s="1"/>
      <c r="G84" s="1"/>
      <c r="H84" s="1"/>
      <c r="I84" s="1"/>
      <c r="J84" s="1"/>
      <c r="K84" s="1"/>
      <c r="L84" s="1"/>
      <c r="M84" s="1"/>
      <c r="N84" s="8"/>
      <c r="O84" s="142"/>
      <c r="P84" s="143">
        <v>308.0</v>
      </c>
      <c r="Q84" s="152">
        <v>20.0</v>
      </c>
      <c r="R84" s="152">
        <v>11.0</v>
      </c>
      <c r="S84" s="152">
        <v>11.0</v>
      </c>
      <c r="T84" s="152">
        <v>39.0</v>
      </c>
      <c r="U84" s="152">
        <v>39.0</v>
      </c>
      <c r="V84" s="152">
        <v>20.0</v>
      </c>
      <c r="W84" s="152">
        <v>20.0</v>
      </c>
      <c r="X84" s="152">
        <v>77.0</v>
      </c>
      <c r="Y84" s="217">
        <v>19.25</v>
      </c>
      <c r="Z84" s="217">
        <v>6645.0</v>
      </c>
      <c r="AA84" s="217">
        <v>3660.0</v>
      </c>
      <c r="AB84" s="152">
        <v>3415.0</v>
      </c>
      <c r="AC84" s="152">
        <v>1855.0</v>
      </c>
      <c r="AD84" s="152">
        <v>3815.0</v>
      </c>
      <c r="AE84" s="152">
        <v>2255.0</v>
      </c>
      <c r="AF84" s="134"/>
      <c r="AG84" s="134"/>
      <c r="AH84" s="134"/>
      <c r="AI84" s="153">
        <f t="shared" si="9"/>
        <v>308</v>
      </c>
      <c r="AJ84" s="22">
        <v>39.0</v>
      </c>
      <c r="AK84" s="134">
        <v>20.0</v>
      </c>
      <c r="AL84" s="134">
        <v>20.0</v>
      </c>
      <c r="AM84" s="134">
        <f t="shared" si="10"/>
        <v>77</v>
      </c>
      <c r="AN84" s="22">
        <v>16420.0</v>
      </c>
      <c r="AO84" s="161">
        <v>6740.0</v>
      </c>
      <c r="AP84" s="134">
        <v>8440.0</v>
      </c>
      <c r="AQ84" s="134">
        <v>3415.0</v>
      </c>
      <c r="AR84" s="134">
        <v>9220.0</v>
      </c>
      <c r="AS84" s="134">
        <v>4195.0</v>
      </c>
      <c r="AT84" s="134"/>
      <c r="AU84" s="134"/>
      <c r="AV84" s="90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</row>
    <row r="85" ht="12.75" customHeight="1">
      <c r="A85" s="8" t="s">
        <v>161</v>
      </c>
      <c r="B85" s="1"/>
      <c r="C85" s="1"/>
      <c r="D85" s="8"/>
      <c r="E85" s="1"/>
      <c r="F85" s="1"/>
      <c r="G85" s="1"/>
      <c r="H85" s="1"/>
      <c r="I85" s="1"/>
      <c r="J85" s="1"/>
      <c r="K85" s="1"/>
      <c r="L85" s="1"/>
      <c r="M85" s="1"/>
      <c r="N85" s="8"/>
      <c r="O85" s="142"/>
      <c r="P85" s="143">
        <v>312.0</v>
      </c>
      <c r="Q85" s="152">
        <v>20.0</v>
      </c>
      <c r="R85" s="152">
        <v>11.0</v>
      </c>
      <c r="S85" s="152">
        <v>11.0</v>
      </c>
      <c r="T85" s="152">
        <v>39.0</v>
      </c>
      <c r="U85" s="152">
        <v>39.0</v>
      </c>
      <c r="V85" s="152">
        <v>20.0</v>
      </c>
      <c r="W85" s="152">
        <v>20.0</v>
      </c>
      <c r="X85" s="152">
        <v>78.0</v>
      </c>
      <c r="Y85" s="217">
        <v>19.5</v>
      </c>
      <c r="Z85" s="217">
        <v>6735.0</v>
      </c>
      <c r="AA85" s="217">
        <v>3705.0</v>
      </c>
      <c r="AB85" s="152">
        <v>3415.0</v>
      </c>
      <c r="AC85" s="152">
        <v>1855.0</v>
      </c>
      <c r="AD85" s="152">
        <v>3815.0</v>
      </c>
      <c r="AE85" s="152">
        <v>2255.0</v>
      </c>
      <c r="AF85" s="134"/>
      <c r="AG85" s="134"/>
      <c r="AH85" s="134"/>
      <c r="AI85" s="153">
        <f t="shared" si="9"/>
        <v>312</v>
      </c>
      <c r="AJ85" s="22">
        <v>39.0</v>
      </c>
      <c r="AK85" s="134">
        <v>20.0</v>
      </c>
      <c r="AL85" s="134">
        <v>20.0</v>
      </c>
      <c r="AM85" s="134">
        <f t="shared" si="10"/>
        <v>78</v>
      </c>
      <c r="AN85" s="22">
        <v>16560.0</v>
      </c>
      <c r="AO85" s="161">
        <v>6825.0</v>
      </c>
      <c r="AP85" s="22">
        <v>8440.0</v>
      </c>
      <c r="AQ85" s="22">
        <v>3415.0</v>
      </c>
      <c r="AR85" s="134">
        <v>9220.0</v>
      </c>
      <c r="AS85" s="134">
        <v>4195.0</v>
      </c>
      <c r="AT85" s="134"/>
      <c r="AU85" s="134"/>
      <c r="AV85" s="90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</row>
    <row r="86" ht="12.75" customHeight="1">
      <c r="A86" s="1"/>
      <c r="B86" s="1"/>
      <c r="C86" s="1"/>
      <c r="D86" s="8"/>
      <c r="E86" s="1"/>
      <c r="F86" s="1"/>
      <c r="G86" s="1"/>
      <c r="H86" s="1"/>
      <c r="I86" s="1"/>
      <c r="J86" s="1"/>
      <c r="K86" s="1"/>
      <c r="L86" s="1"/>
      <c r="M86" s="8"/>
      <c r="N86" s="8"/>
      <c r="O86" s="142"/>
      <c r="P86" s="143">
        <v>316.0</v>
      </c>
      <c r="Q86" s="152">
        <v>21.0</v>
      </c>
      <c r="R86" s="152">
        <v>10.0</v>
      </c>
      <c r="S86" s="152">
        <v>10.0</v>
      </c>
      <c r="T86" s="152">
        <v>40.0</v>
      </c>
      <c r="U86" s="152">
        <v>40.0</v>
      </c>
      <c r="V86" s="152">
        <v>20.0</v>
      </c>
      <c r="W86" s="152">
        <v>20.0</v>
      </c>
      <c r="X86" s="152">
        <v>79.0</v>
      </c>
      <c r="Y86" s="217">
        <v>20.0</v>
      </c>
      <c r="Z86" s="217">
        <v>6815.0</v>
      </c>
      <c r="AA86" s="217">
        <v>3755.0</v>
      </c>
      <c r="AB86" s="152">
        <v>3485.0</v>
      </c>
      <c r="AC86" s="152">
        <v>1900.0</v>
      </c>
      <c r="AD86" s="152">
        <v>3885.0</v>
      </c>
      <c r="AE86" s="152">
        <v>2300.0</v>
      </c>
      <c r="AF86" s="134"/>
      <c r="AG86" s="134"/>
      <c r="AH86" s="134"/>
      <c r="AI86" s="153">
        <f t="shared" si="9"/>
        <v>316</v>
      </c>
      <c r="AJ86" s="22">
        <v>40.0</v>
      </c>
      <c r="AK86" s="134">
        <v>20.0</v>
      </c>
      <c r="AL86" s="134">
        <v>20.0</v>
      </c>
      <c r="AM86" s="134">
        <f t="shared" si="10"/>
        <v>79</v>
      </c>
      <c r="AN86" s="22">
        <v>16840.0</v>
      </c>
      <c r="AO86" s="161">
        <v>6915.0</v>
      </c>
      <c r="AP86" s="134">
        <v>8580.0</v>
      </c>
      <c r="AQ86" s="134">
        <v>3500.0</v>
      </c>
      <c r="AR86" s="134">
        <v>9380.0</v>
      </c>
      <c r="AS86" s="134">
        <v>4300.0</v>
      </c>
      <c r="AT86" s="134"/>
      <c r="AU86" s="134"/>
      <c r="AV86" s="90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</row>
    <row r="87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8"/>
      <c r="N87" s="8"/>
      <c r="O87" s="142"/>
      <c r="P87" s="143">
        <v>320.0</v>
      </c>
      <c r="Q87" s="152">
        <v>20.0</v>
      </c>
      <c r="R87" s="152">
        <v>10.0</v>
      </c>
      <c r="S87" s="152">
        <v>10.0</v>
      </c>
      <c r="T87" s="152">
        <v>40.0</v>
      </c>
      <c r="U87" s="152">
        <v>40.0</v>
      </c>
      <c r="V87" s="152">
        <v>20.0</v>
      </c>
      <c r="W87" s="152">
        <v>20.0</v>
      </c>
      <c r="X87" s="152">
        <v>80.0</v>
      </c>
      <c r="Y87" s="217">
        <v>20.0</v>
      </c>
      <c r="Z87" s="217">
        <v>6885.0</v>
      </c>
      <c r="AA87" s="217">
        <v>3800.0</v>
      </c>
      <c r="AB87" s="152">
        <v>3485.0</v>
      </c>
      <c r="AC87" s="152">
        <v>1900.0</v>
      </c>
      <c r="AD87" s="152">
        <v>3885.0</v>
      </c>
      <c r="AE87" s="152">
        <v>2300.0</v>
      </c>
      <c r="AF87" s="134"/>
      <c r="AG87" s="134"/>
      <c r="AH87" s="134"/>
      <c r="AI87" s="153">
        <f t="shared" si="9"/>
        <v>320</v>
      </c>
      <c r="AJ87" s="22">
        <v>40.0</v>
      </c>
      <c r="AK87" s="134">
        <v>20.0</v>
      </c>
      <c r="AL87" s="134">
        <v>20.0</v>
      </c>
      <c r="AM87" s="134">
        <f t="shared" si="10"/>
        <v>80</v>
      </c>
      <c r="AN87" s="22">
        <v>16980.0</v>
      </c>
      <c r="AO87" s="161">
        <v>7000.0</v>
      </c>
      <c r="AP87" s="22">
        <v>8580.0</v>
      </c>
      <c r="AQ87" s="226">
        <v>3500.0</v>
      </c>
      <c r="AR87" s="134">
        <v>9380.0</v>
      </c>
      <c r="AS87" s="134">
        <v>4300.0</v>
      </c>
      <c r="AT87" s="134"/>
      <c r="AU87" s="134"/>
      <c r="AV87" s="90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</row>
    <row r="88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8"/>
      <c r="N88" s="8"/>
      <c r="O88" s="142"/>
      <c r="P88" s="143">
        <v>324.0</v>
      </c>
      <c r="Q88" s="152">
        <v>21.0</v>
      </c>
      <c r="R88" s="152">
        <v>11.0</v>
      </c>
      <c r="S88" s="152">
        <v>11.0</v>
      </c>
      <c r="T88" s="152">
        <v>41.0</v>
      </c>
      <c r="U88" s="152">
        <v>41.0</v>
      </c>
      <c r="V88" s="152">
        <v>21.0</v>
      </c>
      <c r="W88" s="152">
        <v>21.0</v>
      </c>
      <c r="X88" s="152">
        <v>81.0</v>
      </c>
      <c r="Y88" s="217">
        <v>20.25</v>
      </c>
      <c r="Z88" s="217">
        <v>6985.0</v>
      </c>
      <c r="AA88" s="217">
        <v>3850.0</v>
      </c>
      <c r="AB88" s="152">
        <v>3585.0</v>
      </c>
      <c r="AC88" s="152">
        <v>1950.0</v>
      </c>
      <c r="AD88" s="152">
        <v>4005.0</v>
      </c>
      <c r="AE88" s="152">
        <v>2370.0</v>
      </c>
      <c r="AF88" s="134"/>
      <c r="AG88" s="134"/>
      <c r="AH88" s="134"/>
      <c r="AI88" s="153">
        <f t="shared" si="9"/>
        <v>324</v>
      </c>
      <c r="AJ88" s="22">
        <v>41.0</v>
      </c>
      <c r="AK88" s="134">
        <v>21.0</v>
      </c>
      <c r="AL88" s="134">
        <v>21.0</v>
      </c>
      <c r="AM88" s="134">
        <f t="shared" si="10"/>
        <v>81</v>
      </c>
      <c r="AN88" s="22">
        <v>17260.0</v>
      </c>
      <c r="AO88" s="161">
        <v>7090.0</v>
      </c>
      <c r="AP88" s="134">
        <v>8860.0</v>
      </c>
      <c r="AQ88" s="134">
        <v>3590.0</v>
      </c>
      <c r="AR88" s="134">
        <v>9680.0</v>
      </c>
      <c r="AS88" s="134">
        <v>4410.0</v>
      </c>
      <c r="AT88" s="134"/>
      <c r="AU88" s="134"/>
      <c r="AV88" s="90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</row>
    <row r="89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8"/>
      <c r="N89" s="8"/>
      <c r="O89" s="142"/>
      <c r="P89" s="143">
        <v>328.0</v>
      </c>
      <c r="Q89" s="152">
        <v>21.0</v>
      </c>
      <c r="R89" s="152">
        <v>11.0</v>
      </c>
      <c r="S89" s="152">
        <v>11.0</v>
      </c>
      <c r="T89" s="152">
        <v>41.0</v>
      </c>
      <c r="U89" s="152">
        <v>41.0</v>
      </c>
      <c r="V89" s="152">
        <v>21.0</v>
      </c>
      <c r="W89" s="152">
        <v>21.0</v>
      </c>
      <c r="X89" s="152">
        <v>82.0</v>
      </c>
      <c r="Y89" s="217">
        <v>20.5</v>
      </c>
      <c r="Z89" s="217">
        <v>7075.0</v>
      </c>
      <c r="AA89" s="217">
        <v>3895.0</v>
      </c>
      <c r="AB89" s="152">
        <v>3585.0</v>
      </c>
      <c r="AC89" s="152">
        <v>1950.0</v>
      </c>
      <c r="AD89" s="152">
        <v>4005.0</v>
      </c>
      <c r="AE89" s="152">
        <v>2370.0</v>
      </c>
      <c r="AF89" s="134"/>
      <c r="AG89" s="134"/>
      <c r="AH89" s="134"/>
      <c r="AI89" s="153">
        <f t="shared" si="9"/>
        <v>328</v>
      </c>
      <c r="AJ89" s="22">
        <v>41.0</v>
      </c>
      <c r="AK89" s="134">
        <v>21.0</v>
      </c>
      <c r="AL89" s="134">
        <v>21.0</v>
      </c>
      <c r="AM89" s="134">
        <f t="shared" si="10"/>
        <v>82</v>
      </c>
      <c r="AN89" s="22">
        <v>17400.0</v>
      </c>
      <c r="AO89" s="161">
        <v>7175.0</v>
      </c>
      <c r="AP89" s="22">
        <v>8860.0</v>
      </c>
      <c r="AQ89" s="22">
        <v>3590.0</v>
      </c>
      <c r="AR89" s="134">
        <v>9680.0</v>
      </c>
      <c r="AS89" s="134">
        <v>4410.0</v>
      </c>
      <c r="AT89" s="134"/>
      <c r="AU89" s="134"/>
      <c r="AV89" s="90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</row>
    <row r="90" ht="12.75" customHeight="1">
      <c r="A90" s="1"/>
      <c r="B90" s="1"/>
      <c r="C90" s="22"/>
      <c r="D90" s="22"/>
      <c r="E90" s="22"/>
      <c r="F90" s="22"/>
      <c r="G90" s="22"/>
      <c r="H90" s="1"/>
      <c r="I90" s="1"/>
      <c r="J90" s="1"/>
      <c r="K90" s="1"/>
      <c r="L90" s="1"/>
      <c r="M90" s="8"/>
      <c r="N90" s="8"/>
      <c r="O90" s="142"/>
      <c r="P90" s="143">
        <v>332.0</v>
      </c>
      <c r="Q90" s="152">
        <v>22.0</v>
      </c>
      <c r="R90" s="152">
        <v>11.0</v>
      </c>
      <c r="S90" s="152">
        <v>11.0</v>
      </c>
      <c r="T90" s="152">
        <v>42.0</v>
      </c>
      <c r="U90" s="152">
        <v>42.0</v>
      </c>
      <c r="V90" s="152">
        <v>21.0</v>
      </c>
      <c r="W90" s="152">
        <v>21.0</v>
      </c>
      <c r="X90" s="152">
        <v>83.0</v>
      </c>
      <c r="Y90" s="217">
        <v>21.0</v>
      </c>
      <c r="Z90" s="217">
        <v>7155.0</v>
      </c>
      <c r="AA90" s="217">
        <v>3945.0</v>
      </c>
      <c r="AB90" s="152">
        <v>3675.0</v>
      </c>
      <c r="AC90" s="152">
        <v>1995.0</v>
      </c>
      <c r="AD90" s="152">
        <v>4095.0</v>
      </c>
      <c r="AE90" s="152">
        <v>2415.0</v>
      </c>
      <c r="AF90" s="134"/>
      <c r="AG90" s="134"/>
      <c r="AH90" s="134"/>
      <c r="AI90" s="153">
        <f t="shared" si="9"/>
        <v>332</v>
      </c>
      <c r="AJ90" s="22">
        <v>42.0</v>
      </c>
      <c r="AK90" s="134">
        <v>21.0</v>
      </c>
      <c r="AL90" s="134">
        <v>21.0</v>
      </c>
      <c r="AM90" s="134">
        <f t="shared" si="10"/>
        <v>83</v>
      </c>
      <c r="AN90" s="22">
        <v>17680.0</v>
      </c>
      <c r="AO90" s="161">
        <v>7265.0</v>
      </c>
      <c r="AP90" s="134">
        <v>9000.0</v>
      </c>
      <c r="AQ90" s="134">
        <v>3675.0</v>
      </c>
      <c r="AR90" s="134">
        <v>9840.0</v>
      </c>
      <c r="AS90" s="134">
        <v>4515.0</v>
      </c>
      <c r="AT90" s="134"/>
      <c r="AU90" s="134"/>
      <c r="AV90" s="90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</row>
    <row r="91" ht="12.75" customHeight="1">
      <c r="A91" s="1"/>
      <c r="B91" s="1"/>
      <c r="C91" s="22" t="s">
        <v>153</v>
      </c>
      <c r="D91" s="22"/>
      <c r="E91" s="22" t="s">
        <v>162</v>
      </c>
      <c r="F91" s="22"/>
      <c r="G91" s="22"/>
      <c r="H91" s="22"/>
      <c r="I91" s="1"/>
      <c r="J91" s="1"/>
      <c r="K91" s="1"/>
      <c r="L91" s="1"/>
      <c r="M91" s="8"/>
      <c r="N91" s="8"/>
      <c r="O91" s="142"/>
      <c r="P91" s="143">
        <v>336.0</v>
      </c>
      <c r="Q91" s="152">
        <v>21.0</v>
      </c>
      <c r="R91" s="152">
        <v>11.0</v>
      </c>
      <c r="S91" s="152">
        <v>11.0</v>
      </c>
      <c r="T91" s="152">
        <v>42.0</v>
      </c>
      <c r="U91" s="152">
        <v>42.0</v>
      </c>
      <c r="V91" s="152">
        <v>21.0</v>
      </c>
      <c r="W91" s="152">
        <v>21.0</v>
      </c>
      <c r="X91" s="152">
        <v>84.0</v>
      </c>
      <c r="Y91" s="217">
        <v>21.0</v>
      </c>
      <c r="Z91" s="217">
        <v>7225.0</v>
      </c>
      <c r="AA91" s="217">
        <v>3990.0</v>
      </c>
      <c r="AB91" s="152">
        <v>3675.0</v>
      </c>
      <c r="AC91" s="152">
        <v>1995.0</v>
      </c>
      <c r="AD91" s="152">
        <v>4095.0</v>
      </c>
      <c r="AE91" s="152">
        <v>2415.0</v>
      </c>
      <c r="AF91" s="134"/>
      <c r="AG91" s="134"/>
      <c r="AH91" s="134"/>
      <c r="AI91" s="153">
        <f t="shared" si="9"/>
        <v>336</v>
      </c>
      <c r="AJ91" s="22">
        <v>42.0</v>
      </c>
      <c r="AK91" s="134">
        <v>21.0</v>
      </c>
      <c r="AL91" s="134">
        <v>21.0</v>
      </c>
      <c r="AM91" s="134">
        <f t="shared" si="10"/>
        <v>84</v>
      </c>
      <c r="AN91" s="22">
        <v>17820.0</v>
      </c>
      <c r="AO91" s="161">
        <v>7350.0</v>
      </c>
      <c r="AP91" s="22">
        <v>9000.0</v>
      </c>
      <c r="AQ91" s="226">
        <v>3675.0</v>
      </c>
      <c r="AR91" s="134">
        <v>9840.0</v>
      </c>
      <c r="AS91" s="134">
        <v>4515.0</v>
      </c>
      <c r="AT91" s="134"/>
      <c r="AU91" s="134"/>
      <c r="AV91" s="90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</row>
    <row r="92" ht="12.75" customHeight="1">
      <c r="A92" s="1" t="s">
        <v>118</v>
      </c>
      <c r="B92" s="1"/>
      <c r="C92" s="22" t="s">
        <v>163</v>
      </c>
      <c r="D92" s="22"/>
      <c r="E92" s="22" t="s">
        <v>163</v>
      </c>
      <c r="F92" s="22"/>
      <c r="G92" s="22"/>
      <c r="H92" s="22"/>
      <c r="I92" s="1"/>
      <c r="J92" s="1"/>
      <c r="K92" s="1"/>
      <c r="L92" s="1"/>
      <c r="M92" s="8"/>
      <c r="N92" s="8"/>
      <c r="O92" s="142"/>
      <c r="P92" s="143">
        <v>340.0</v>
      </c>
      <c r="Q92" s="152">
        <v>22.0</v>
      </c>
      <c r="R92" s="152">
        <v>12.0</v>
      </c>
      <c r="S92" s="152">
        <v>12.0</v>
      </c>
      <c r="T92" s="152">
        <v>43.0</v>
      </c>
      <c r="U92" s="152">
        <v>43.0</v>
      </c>
      <c r="V92" s="152">
        <v>22.0</v>
      </c>
      <c r="W92" s="152">
        <v>22.0</v>
      </c>
      <c r="X92" s="152">
        <v>85.0</v>
      </c>
      <c r="Y92" s="217">
        <v>21.25</v>
      </c>
      <c r="Z92" s="217">
        <v>7325.0</v>
      </c>
      <c r="AA92" s="217">
        <v>4040.0</v>
      </c>
      <c r="AB92" s="152">
        <v>3755.0</v>
      </c>
      <c r="AC92" s="152">
        <v>2045.0</v>
      </c>
      <c r="AD92" s="152">
        <v>4195.0</v>
      </c>
      <c r="AE92" s="152">
        <v>2485.0</v>
      </c>
      <c r="AF92" s="134"/>
      <c r="AG92" s="134"/>
      <c r="AH92" s="134"/>
      <c r="AI92" s="153">
        <f t="shared" si="9"/>
        <v>340</v>
      </c>
      <c r="AJ92" s="22">
        <v>43.0</v>
      </c>
      <c r="AK92" s="134">
        <v>22.0</v>
      </c>
      <c r="AL92" s="134">
        <v>22.0</v>
      </c>
      <c r="AM92" s="134">
        <f t="shared" si="10"/>
        <v>85</v>
      </c>
      <c r="AN92" s="22">
        <v>18100.0</v>
      </c>
      <c r="AO92" s="161">
        <v>7440.0</v>
      </c>
      <c r="AP92" s="134">
        <v>9280.0</v>
      </c>
      <c r="AQ92" s="134">
        <v>3765.0</v>
      </c>
      <c r="AR92" s="134">
        <v>10140.0</v>
      </c>
      <c r="AS92" s="134">
        <v>4625.0</v>
      </c>
      <c r="AT92" s="134"/>
      <c r="AU92" s="134"/>
      <c r="AV92" s="90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</row>
    <row r="93" ht="12.75" customHeight="1">
      <c r="A93" s="1" t="s">
        <v>120</v>
      </c>
      <c r="B93" s="1"/>
      <c r="C93" s="22" t="s">
        <v>164</v>
      </c>
      <c r="D93" s="22"/>
      <c r="E93" s="22" t="s">
        <v>164</v>
      </c>
      <c r="F93" s="22"/>
      <c r="G93" s="22"/>
      <c r="H93" s="22"/>
      <c r="I93" s="1"/>
      <c r="J93" s="1"/>
      <c r="K93" s="1"/>
      <c r="L93" s="1"/>
      <c r="M93" s="8"/>
      <c r="N93" s="8"/>
      <c r="O93" s="142"/>
      <c r="P93" s="143">
        <v>344.0</v>
      </c>
      <c r="Q93" s="152">
        <v>22.0</v>
      </c>
      <c r="R93" s="152">
        <v>12.0</v>
      </c>
      <c r="S93" s="152">
        <v>12.0</v>
      </c>
      <c r="T93" s="152">
        <v>43.0</v>
      </c>
      <c r="U93" s="152">
        <v>43.0</v>
      </c>
      <c r="V93" s="152">
        <v>22.0</v>
      </c>
      <c r="W93" s="152">
        <v>22.0</v>
      </c>
      <c r="X93" s="152">
        <v>86.0</v>
      </c>
      <c r="Y93" s="217">
        <v>21.5</v>
      </c>
      <c r="Z93" s="217">
        <v>7415.0</v>
      </c>
      <c r="AA93" s="217">
        <v>4085.0</v>
      </c>
      <c r="AB93" s="152">
        <v>3755.0</v>
      </c>
      <c r="AC93" s="152">
        <v>2045.0</v>
      </c>
      <c r="AD93" s="152">
        <v>4195.0</v>
      </c>
      <c r="AE93" s="152">
        <v>2485.0</v>
      </c>
      <c r="AF93" s="134"/>
      <c r="AG93" s="134"/>
      <c r="AH93" s="134"/>
      <c r="AI93" s="153">
        <f t="shared" si="9"/>
        <v>344</v>
      </c>
      <c r="AJ93" s="22">
        <v>43.0</v>
      </c>
      <c r="AK93" s="134">
        <v>22.0</v>
      </c>
      <c r="AL93" s="134">
        <v>22.0</v>
      </c>
      <c r="AM93" s="134">
        <f t="shared" si="10"/>
        <v>86</v>
      </c>
      <c r="AN93" s="22">
        <v>18240.0</v>
      </c>
      <c r="AO93" s="161">
        <v>7525.0</v>
      </c>
      <c r="AP93" s="22">
        <v>9280.0</v>
      </c>
      <c r="AQ93" s="22">
        <v>3765.0</v>
      </c>
      <c r="AR93" s="134">
        <v>10140.0</v>
      </c>
      <c r="AS93" s="134">
        <v>4625.0</v>
      </c>
      <c r="AT93" s="134"/>
      <c r="AU93" s="134"/>
      <c r="AV93" s="90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</row>
    <row r="94" ht="12.75" customHeight="1">
      <c r="A94" s="1" t="s">
        <v>122</v>
      </c>
      <c r="B94" s="1"/>
      <c r="C94" s="22" t="s">
        <v>165</v>
      </c>
      <c r="D94" s="22"/>
      <c r="E94" s="22" t="s">
        <v>165</v>
      </c>
      <c r="F94" s="22"/>
      <c r="G94" s="22"/>
      <c r="H94" s="22"/>
      <c r="I94" s="1"/>
      <c r="J94" s="1"/>
      <c r="K94" s="1"/>
      <c r="L94" s="1"/>
      <c r="M94" s="8"/>
      <c r="N94" s="8"/>
      <c r="O94" s="142"/>
      <c r="P94" s="143">
        <v>348.0</v>
      </c>
      <c r="Q94" s="152">
        <v>23.0</v>
      </c>
      <c r="R94" s="152">
        <v>11.0</v>
      </c>
      <c r="S94" s="152">
        <v>11.0</v>
      </c>
      <c r="T94" s="152">
        <v>44.0</v>
      </c>
      <c r="U94" s="152">
        <v>44.0</v>
      </c>
      <c r="V94" s="152">
        <v>22.0</v>
      </c>
      <c r="W94" s="152">
        <v>22.0</v>
      </c>
      <c r="X94" s="152">
        <v>87.0</v>
      </c>
      <c r="Y94" s="217">
        <v>22.0</v>
      </c>
      <c r="Z94" s="217">
        <v>7495.0</v>
      </c>
      <c r="AA94" s="217">
        <v>4135.0</v>
      </c>
      <c r="AB94" s="152">
        <v>3825.0</v>
      </c>
      <c r="AC94" s="152">
        <v>2090.0</v>
      </c>
      <c r="AD94" s="152">
        <v>4265.0</v>
      </c>
      <c r="AE94" s="152">
        <v>2530.0</v>
      </c>
      <c r="AF94" s="134"/>
      <c r="AG94" s="134"/>
      <c r="AH94" s="134"/>
      <c r="AI94" s="153">
        <f t="shared" si="9"/>
        <v>348</v>
      </c>
      <c r="AJ94" s="22">
        <v>44.0</v>
      </c>
      <c r="AK94" s="134">
        <v>22.0</v>
      </c>
      <c r="AL94" s="134">
        <v>22.0</v>
      </c>
      <c r="AM94" s="134">
        <f t="shared" si="10"/>
        <v>87</v>
      </c>
      <c r="AN94" s="22">
        <v>18520.0</v>
      </c>
      <c r="AO94" s="161">
        <v>7615.0</v>
      </c>
      <c r="AP94" s="134">
        <v>9420.0</v>
      </c>
      <c r="AQ94" s="134">
        <v>3850.0</v>
      </c>
      <c r="AR94" s="134">
        <v>10300.0</v>
      </c>
      <c r="AS94" s="134">
        <v>4730.0</v>
      </c>
      <c r="AT94" s="134"/>
      <c r="AU94" s="134"/>
      <c r="AV94" s="90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</row>
    <row r="95" ht="12.75" customHeight="1">
      <c r="A95" s="1" t="s">
        <v>124</v>
      </c>
      <c r="B95" s="1"/>
      <c r="C95" s="22" t="s">
        <v>166</v>
      </c>
      <c r="D95" s="22"/>
      <c r="E95" s="22" t="s">
        <v>166</v>
      </c>
      <c r="F95" s="22"/>
      <c r="G95" s="22"/>
      <c r="H95" s="22"/>
      <c r="I95" s="1"/>
      <c r="J95" s="1"/>
      <c r="K95" s="1"/>
      <c r="L95" s="1"/>
      <c r="M95" s="8"/>
      <c r="N95" s="8"/>
      <c r="O95" s="142"/>
      <c r="P95" s="143">
        <v>352.0</v>
      </c>
      <c r="Q95" s="152">
        <v>22.0</v>
      </c>
      <c r="R95" s="152">
        <v>11.0</v>
      </c>
      <c r="S95" s="152">
        <v>11.0</v>
      </c>
      <c r="T95" s="152">
        <v>44.0</v>
      </c>
      <c r="U95" s="152">
        <v>44.0</v>
      </c>
      <c r="V95" s="152">
        <v>22.0</v>
      </c>
      <c r="W95" s="152">
        <v>22.0</v>
      </c>
      <c r="X95" s="152">
        <v>88.0</v>
      </c>
      <c r="Y95" s="217">
        <v>22.0</v>
      </c>
      <c r="Z95" s="217">
        <v>7565.0</v>
      </c>
      <c r="AA95" s="217">
        <v>4180.0</v>
      </c>
      <c r="AB95" s="152">
        <v>3825.0</v>
      </c>
      <c r="AC95" s="152">
        <v>2090.0</v>
      </c>
      <c r="AD95" s="152">
        <v>4265.0</v>
      </c>
      <c r="AE95" s="152">
        <v>2530.0</v>
      </c>
      <c r="AF95" s="134"/>
      <c r="AG95" s="134"/>
      <c r="AH95" s="134"/>
      <c r="AI95" s="153">
        <f t="shared" si="9"/>
        <v>352</v>
      </c>
      <c r="AJ95" s="22">
        <v>44.0</v>
      </c>
      <c r="AK95" s="134">
        <v>22.0</v>
      </c>
      <c r="AL95" s="134">
        <v>22.0</v>
      </c>
      <c r="AM95" s="134">
        <f t="shared" si="10"/>
        <v>88</v>
      </c>
      <c r="AN95" s="22">
        <v>18660.0</v>
      </c>
      <c r="AO95" s="161">
        <v>7700.0</v>
      </c>
      <c r="AP95" s="22">
        <v>9420.0</v>
      </c>
      <c r="AQ95" s="226">
        <v>3850.0</v>
      </c>
      <c r="AR95" s="134">
        <v>10300.0</v>
      </c>
      <c r="AS95" s="134">
        <v>4730.0</v>
      </c>
      <c r="AT95" s="134"/>
      <c r="AU95" s="134"/>
      <c r="AV95" s="90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</row>
    <row r="96" ht="12.75" customHeight="1">
      <c r="A96" s="1" t="s">
        <v>126</v>
      </c>
      <c r="B96" s="1"/>
      <c r="C96" s="22" t="s">
        <v>167</v>
      </c>
      <c r="D96" s="22"/>
      <c r="E96" s="22" t="s">
        <v>167</v>
      </c>
      <c r="F96" s="22"/>
      <c r="G96" s="22"/>
      <c r="H96" s="22"/>
      <c r="I96" s="1"/>
      <c r="J96" s="1"/>
      <c r="K96" s="1"/>
      <c r="L96" s="1"/>
      <c r="M96" s="8"/>
      <c r="N96" s="8"/>
      <c r="O96" s="142"/>
      <c r="P96" s="143">
        <v>356.0</v>
      </c>
      <c r="Q96" s="152">
        <v>23.0</v>
      </c>
      <c r="R96" s="152">
        <v>12.0</v>
      </c>
      <c r="S96" s="152">
        <v>12.0</v>
      </c>
      <c r="T96" s="152">
        <v>45.0</v>
      </c>
      <c r="U96" s="152">
        <v>45.0</v>
      </c>
      <c r="V96" s="152">
        <v>23.0</v>
      </c>
      <c r="W96" s="152">
        <v>23.0</v>
      </c>
      <c r="X96" s="152">
        <v>89.0</v>
      </c>
      <c r="Y96" s="217">
        <v>22.25</v>
      </c>
      <c r="Z96" s="217">
        <v>7665.0</v>
      </c>
      <c r="AA96" s="217">
        <v>4230.0</v>
      </c>
      <c r="AB96" s="152">
        <v>3925.0</v>
      </c>
      <c r="AC96" s="152">
        <v>2140.0</v>
      </c>
      <c r="AD96" s="152">
        <v>4385.0</v>
      </c>
      <c r="AE96" s="152">
        <v>2600.0</v>
      </c>
      <c r="AF96" s="134"/>
      <c r="AG96" s="134"/>
      <c r="AH96" s="134"/>
      <c r="AI96" s="153">
        <f t="shared" si="9"/>
        <v>356</v>
      </c>
      <c r="AJ96" s="22">
        <v>45.0</v>
      </c>
      <c r="AK96" s="134">
        <v>23.0</v>
      </c>
      <c r="AL96" s="134">
        <v>23.0</v>
      </c>
      <c r="AM96" s="134">
        <f t="shared" si="10"/>
        <v>89</v>
      </c>
      <c r="AN96" s="22">
        <v>18940.0</v>
      </c>
      <c r="AO96" s="161">
        <v>7790.0</v>
      </c>
      <c r="AP96" s="134">
        <v>9700.0</v>
      </c>
      <c r="AQ96" s="134">
        <v>3940.0</v>
      </c>
      <c r="AR96" s="134">
        <v>10600.0</v>
      </c>
      <c r="AS96" s="134">
        <v>4840.0</v>
      </c>
      <c r="AT96" s="134"/>
      <c r="AU96" s="134"/>
      <c r="AV96" s="90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</row>
    <row r="97" ht="12.75" customHeight="1">
      <c r="A97" s="1" t="s">
        <v>128</v>
      </c>
      <c r="B97" s="1"/>
      <c r="C97" s="22" t="s">
        <v>101</v>
      </c>
      <c r="D97" s="22"/>
      <c r="E97" s="22" t="s">
        <v>101</v>
      </c>
      <c r="F97" s="22"/>
      <c r="G97" s="22"/>
      <c r="H97" s="22"/>
      <c r="I97" s="1"/>
      <c r="J97" s="1"/>
      <c r="K97" s="1"/>
      <c r="L97" s="1"/>
      <c r="M97" s="8"/>
      <c r="N97" s="8"/>
      <c r="O97" s="142"/>
      <c r="P97" s="143">
        <v>360.0</v>
      </c>
      <c r="Q97" s="152">
        <v>23.0</v>
      </c>
      <c r="R97" s="152">
        <v>12.0</v>
      </c>
      <c r="S97" s="152">
        <v>12.0</v>
      </c>
      <c r="T97" s="152">
        <v>45.0</v>
      </c>
      <c r="U97" s="152">
        <v>45.0</v>
      </c>
      <c r="V97" s="152">
        <v>23.0</v>
      </c>
      <c r="W97" s="152">
        <v>23.0</v>
      </c>
      <c r="X97" s="152">
        <v>90.0</v>
      </c>
      <c r="Y97" s="217">
        <v>22.5</v>
      </c>
      <c r="Z97" s="217">
        <v>7755.0</v>
      </c>
      <c r="AA97" s="217">
        <v>4275.0</v>
      </c>
      <c r="AB97" s="152">
        <v>3925.0</v>
      </c>
      <c r="AC97" s="152">
        <v>2140.0</v>
      </c>
      <c r="AD97" s="152">
        <v>4385.0</v>
      </c>
      <c r="AE97" s="152">
        <v>2600.0</v>
      </c>
      <c r="AF97" s="134"/>
      <c r="AG97" s="134"/>
      <c r="AH97" s="134"/>
      <c r="AI97" s="153">
        <f t="shared" si="9"/>
        <v>360</v>
      </c>
      <c r="AJ97" s="22">
        <v>45.0</v>
      </c>
      <c r="AK97" s="134">
        <v>23.0</v>
      </c>
      <c r="AL97" s="134">
        <v>23.0</v>
      </c>
      <c r="AM97" s="134">
        <f t="shared" si="10"/>
        <v>90</v>
      </c>
      <c r="AN97" s="22">
        <v>19080.0</v>
      </c>
      <c r="AO97" s="161">
        <v>7875.0</v>
      </c>
      <c r="AP97" s="22">
        <v>9700.0</v>
      </c>
      <c r="AQ97" s="22">
        <v>3940.0</v>
      </c>
      <c r="AR97" s="134">
        <v>10600.0</v>
      </c>
      <c r="AS97" s="134">
        <v>4840.0</v>
      </c>
      <c r="AT97" s="134"/>
      <c r="AU97" s="134"/>
      <c r="AV97" s="90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</row>
    <row r="98" ht="12.75" customHeight="1">
      <c r="A98" s="1" t="s">
        <v>129</v>
      </c>
      <c r="B98" s="8"/>
      <c r="C98" s="22" t="s">
        <v>99</v>
      </c>
      <c r="D98" s="22"/>
      <c r="E98" s="22" t="s">
        <v>99</v>
      </c>
      <c r="F98" s="22"/>
      <c r="G98" s="22"/>
      <c r="H98" s="22"/>
      <c r="I98" s="8"/>
      <c r="J98" s="8"/>
      <c r="K98" s="8"/>
      <c r="L98" s="8"/>
      <c r="M98" s="8"/>
      <c r="N98" s="8"/>
      <c r="O98" s="142"/>
      <c r="P98" s="143">
        <v>364.0</v>
      </c>
      <c r="Q98" s="152">
        <v>24.0</v>
      </c>
      <c r="R98" s="152">
        <v>12.0</v>
      </c>
      <c r="S98" s="152">
        <v>12.0</v>
      </c>
      <c r="T98" s="152">
        <v>46.0</v>
      </c>
      <c r="U98" s="152">
        <v>46.0</v>
      </c>
      <c r="V98" s="152">
        <v>23.0</v>
      </c>
      <c r="W98" s="152">
        <v>23.0</v>
      </c>
      <c r="X98" s="152">
        <v>91.0</v>
      </c>
      <c r="Y98" s="217">
        <v>23.0</v>
      </c>
      <c r="Z98" s="217">
        <v>7835.0</v>
      </c>
      <c r="AA98" s="217">
        <v>4325.0</v>
      </c>
      <c r="AB98" s="152">
        <v>4015.0</v>
      </c>
      <c r="AC98" s="152">
        <v>2185.0</v>
      </c>
      <c r="AD98" s="152">
        <v>4475.0</v>
      </c>
      <c r="AE98" s="152">
        <v>2645.0</v>
      </c>
      <c r="AF98" s="134"/>
      <c r="AG98" s="134"/>
      <c r="AH98" s="134"/>
      <c r="AI98" s="153">
        <f t="shared" si="9"/>
        <v>364</v>
      </c>
      <c r="AJ98" s="22">
        <v>46.0</v>
      </c>
      <c r="AK98" s="134">
        <v>23.0</v>
      </c>
      <c r="AL98" s="134">
        <v>23.0</v>
      </c>
      <c r="AM98" s="134">
        <f t="shared" si="10"/>
        <v>91</v>
      </c>
      <c r="AN98" s="22">
        <v>19360.0</v>
      </c>
      <c r="AO98" s="161">
        <v>7965.0</v>
      </c>
      <c r="AP98" s="134">
        <v>9840.0</v>
      </c>
      <c r="AQ98" s="134">
        <v>4025.0</v>
      </c>
      <c r="AR98" s="134">
        <v>10760.0</v>
      </c>
      <c r="AS98" s="134">
        <v>4945.0</v>
      </c>
      <c r="AT98" s="134"/>
      <c r="AU98" s="134"/>
      <c r="AV98" s="90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</row>
    <row r="99" ht="12.75" customHeight="1">
      <c r="A99" s="1" t="s">
        <v>130</v>
      </c>
      <c r="B99" s="8"/>
      <c r="C99" s="22" t="s">
        <v>109</v>
      </c>
      <c r="D99" s="22"/>
      <c r="E99" s="22" t="s">
        <v>109</v>
      </c>
      <c r="F99" s="22"/>
      <c r="G99" s="22"/>
      <c r="H99" s="22"/>
      <c r="I99" s="8"/>
      <c r="J99" s="8"/>
      <c r="K99" s="8"/>
      <c r="L99" s="8"/>
      <c r="M99" s="8"/>
      <c r="N99" s="8"/>
      <c r="O99" s="142"/>
      <c r="P99" s="143">
        <v>368.0</v>
      </c>
      <c r="Q99" s="152">
        <v>23.0</v>
      </c>
      <c r="R99" s="152">
        <v>12.0</v>
      </c>
      <c r="S99" s="152">
        <v>12.0</v>
      </c>
      <c r="T99" s="152">
        <v>46.0</v>
      </c>
      <c r="U99" s="152">
        <v>46.0</v>
      </c>
      <c r="V99" s="152">
        <v>23.0</v>
      </c>
      <c r="W99" s="152">
        <v>23.0</v>
      </c>
      <c r="X99" s="152">
        <v>92.0</v>
      </c>
      <c r="Y99" s="217">
        <v>23.0</v>
      </c>
      <c r="Z99" s="217">
        <v>7905.0</v>
      </c>
      <c r="AA99" s="217">
        <v>4370.0</v>
      </c>
      <c r="AB99" s="152">
        <v>4015.0</v>
      </c>
      <c r="AC99" s="152">
        <v>2185.0</v>
      </c>
      <c r="AD99" s="152">
        <v>4475.0</v>
      </c>
      <c r="AE99" s="152">
        <v>2645.0</v>
      </c>
      <c r="AF99" s="134"/>
      <c r="AG99" s="134"/>
      <c r="AH99" s="134"/>
      <c r="AI99" s="153">
        <f t="shared" si="9"/>
        <v>368</v>
      </c>
      <c r="AJ99" s="22">
        <v>46.0</v>
      </c>
      <c r="AK99" s="134">
        <v>23.0</v>
      </c>
      <c r="AL99" s="134">
        <v>23.0</v>
      </c>
      <c r="AM99" s="134">
        <f t="shared" si="10"/>
        <v>92</v>
      </c>
      <c r="AN99" s="22">
        <v>19500.0</v>
      </c>
      <c r="AO99" s="161">
        <v>8050.0</v>
      </c>
      <c r="AP99" s="22">
        <v>9840.0</v>
      </c>
      <c r="AQ99" s="226">
        <v>4025.0</v>
      </c>
      <c r="AR99" s="134">
        <v>10760.0</v>
      </c>
      <c r="AS99" s="134">
        <v>4945.0</v>
      </c>
      <c r="AT99" s="134"/>
      <c r="AU99" s="134"/>
      <c r="AV99" s="90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</row>
    <row r="100" ht="12.75" customHeight="1">
      <c r="A100" s="1" t="s">
        <v>131</v>
      </c>
      <c r="B100" s="8"/>
      <c r="C100" s="22" t="s">
        <v>121</v>
      </c>
      <c r="D100" s="22"/>
      <c r="E100" s="22"/>
      <c r="F100" s="22"/>
      <c r="G100" s="22"/>
      <c r="H100" s="8"/>
      <c r="I100" s="8"/>
      <c r="J100" s="8"/>
      <c r="K100" s="8"/>
      <c r="L100" s="8"/>
      <c r="M100" s="8"/>
      <c r="N100" s="8"/>
      <c r="O100" s="142"/>
      <c r="P100" s="143">
        <v>372.0</v>
      </c>
      <c r="Q100" s="152">
        <v>24.0</v>
      </c>
      <c r="R100" s="152">
        <v>13.0</v>
      </c>
      <c r="S100" s="152">
        <v>13.0</v>
      </c>
      <c r="T100" s="152">
        <v>47.0</v>
      </c>
      <c r="U100" s="152">
        <v>47.0</v>
      </c>
      <c r="V100" s="152">
        <v>24.0</v>
      </c>
      <c r="W100" s="152">
        <v>24.0</v>
      </c>
      <c r="X100" s="152">
        <v>93.0</v>
      </c>
      <c r="Y100" s="217">
        <v>23.25</v>
      </c>
      <c r="Z100" s="217">
        <v>8005.0</v>
      </c>
      <c r="AA100" s="217">
        <v>4420.0</v>
      </c>
      <c r="AB100" s="152">
        <v>4095.0</v>
      </c>
      <c r="AC100" s="152">
        <v>2235.0</v>
      </c>
      <c r="AD100" s="152">
        <v>4575.0</v>
      </c>
      <c r="AE100" s="152">
        <v>2715.0</v>
      </c>
      <c r="AF100" s="134"/>
      <c r="AG100" s="134"/>
      <c r="AH100" s="22"/>
      <c r="AI100" s="153">
        <f t="shared" si="9"/>
        <v>372</v>
      </c>
      <c r="AJ100" s="22">
        <v>47.0</v>
      </c>
      <c r="AK100" s="134">
        <v>24.0</v>
      </c>
      <c r="AL100" s="134">
        <v>24.0</v>
      </c>
      <c r="AM100" s="134">
        <f t="shared" si="10"/>
        <v>93</v>
      </c>
      <c r="AN100" s="22">
        <v>19780.0</v>
      </c>
      <c r="AO100" s="161">
        <v>8140.0</v>
      </c>
      <c r="AP100" s="134">
        <v>10120.0</v>
      </c>
      <c r="AQ100" s="134">
        <v>4115.0</v>
      </c>
      <c r="AR100" s="134">
        <v>11060.0</v>
      </c>
      <c r="AS100" s="134">
        <v>5055.0</v>
      </c>
      <c r="AT100" s="134"/>
      <c r="AU100" s="134"/>
      <c r="AV100" s="90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</row>
    <row r="101" ht="12.75" customHeight="1">
      <c r="A101" s="1" t="s">
        <v>132</v>
      </c>
      <c r="B101" s="8"/>
      <c r="C101" s="22" t="s">
        <v>168</v>
      </c>
      <c r="D101" s="22"/>
      <c r="E101" s="22"/>
      <c r="F101" s="22"/>
      <c r="G101" s="22"/>
      <c r="H101" s="8"/>
      <c r="I101" s="8"/>
      <c r="J101" s="8"/>
      <c r="K101" s="8"/>
      <c r="L101" s="8"/>
      <c r="M101" s="8"/>
      <c r="N101" s="8"/>
      <c r="O101" s="142"/>
      <c r="P101" s="143">
        <v>376.0</v>
      </c>
      <c r="Q101" s="152">
        <v>24.0</v>
      </c>
      <c r="R101" s="152">
        <v>13.0</v>
      </c>
      <c r="S101" s="152">
        <v>13.0</v>
      </c>
      <c r="T101" s="152">
        <v>47.0</v>
      </c>
      <c r="U101" s="152">
        <v>47.0</v>
      </c>
      <c r="V101" s="152">
        <v>24.0</v>
      </c>
      <c r="W101" s="152">
        <v>24.0</v>
      </c>
      <c r="X101" s="152">
        <v>94.0</v>
      </c>
      <c r="Y101" s="217">
        <v>23.5</v>
      </c>
      <c r="Z101" s="217">
        <v>8095.0</v>
      </c>
      <c r="AA101" s="217">
        <v>4465.0</v>
      </c>
      <c r="AB101" s="152">
        <v>4095.0</v>
      </c>
      <c r="AC101" s="152">
        <v>2235.0</v>
      </c>
      <c r="AD101" s="152">
        <v>4575.0</v>
      </c>
      <c r="AE101" s="152">
        <v>2715.0</v>
      </c>
      <c r="AF101" s="134"/>
      <c r="AG101" s="134"/>
      <c r="AH101" s="134"/>
      <c r="AI101" s="153">
        <f t="shared" si="9"/>
        <v>376</v>
      </c>
      <c r="AJ101" s="22">
        <v>47.0</v>
      </c>
      <c r="AK101" s="134">
        <v>24.0</v>
      </c>
      <c r="AL101" s="134">
        <v>24.0</v>
      </c>
      <c r="AM101" s="134">
        <f t="shared" si="10"/>
        <v>94</v>
      </c>
      <c r="AN101" s="22">
        <v>19920.0</v>
      </c>
      <c r="AO101" s="161">
        <v>8225.0</v>
      </c>
      <c r="AP101" s="22">
        <v>10120.0</v>
      </c>
      <c r="AQ101" s="22">
        <v>4115.0</v>
      </c>
      <c r="AR101" s="134">
        <v>11060.0</v>
      </c>
      <c r="AS101" s="134">
        <v>5055.0</v>
      </c>
      <c r="AT101" s="134"/>
      <c r="AU101" s="134"/>
      <c r="AV101" s="90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</row>
    <row r="102" ht="12.75" customHeight="1">
      <c r="A102" s="1" t="s">
        <v>133</v>
      </c>
      <c r="B102" s="8"/>
      <c r="C102" s="22" t="s">
        <v>169</v>
      </c>
      <c r="D102" s="22"/>
      <c r="E102" s="22"/>
      <c r="F102" s="22"/>
      <c r="G102" s="22"/>
      <c r="H102" s="8"/>
      <c r="I102" s="8"/>
      <c r="J102" s="8"/>
      <c r="K102" s="8"/>
      <c r="L102" s="8"/>
      <c r="M102" s="8"/>
      <c r="N102" s="8"/>
      <c r="O102" s="142"/>
      <c r="P102" s="143">
        <v>380.0</v>
      </c>
      <c r="Q102" s="152">
        <v>25.0</v>
      </c>
      <c r="R102" s="152">
        <v>12.0</v>
      </c>
      <c r="S102" s="152">
        <v>12.0</v>
      </c>
      <c r="T102" s="152">
        <v>48.0</v>
      </c>
      <c r="U102" s="152">
        <v>48.0</v>
      </c>
      <c r="V102" s="152">
        <v>24.0</v>
      </c>
      <c r="W102" s="152">
        <v>24.0</v>
      </c>
      <c r="X102" s="152">
        <v>95.0</v>
      </c>
      <c r="Y102" s="217">
        <v>24.0</v>
      </c>
      <c r="Z102" s="217">
        <v>8175.0</v>
      </c>
      <c r="AA102" s="217">
        <v>4515.0</v>
      </c>
      <c r="AB102" s="152">
        <v>4165.0</v>
      </c>
      <c r="AC102" s="152">
        <v>2280.0</v>
      </c>
      <c r="AD102" s="152">
        <v>4645.0</v>
      </c>
      <c r="AE102" s="152">
        <v>2760.0</v>
      </c>
      <c r="AF102" s="134"/>
      <c r="AG102" s="134"/>
      <c r="AH102" s="134"/>
      <c r="AI102" s="153">
        <f t="shared" si="9"/>
        <v>380</v>
      </c>
      <c r="AJ102" s="22">
        <v>48.0</v>
      </c>
      <c r="AK102" s="134">
        <v>24.0</v>
      </c>
      <c r="AL102" s="134">
        <v>24.0</v>
      </c>
      <c r="AM102" s="134">
        <f t="shared" si="10"/>
        <v>95</v>
      </c>
      <c r="AN102" s="22">
        <v>20200.0</v>
      </c>
      <c r="AO102" s="161">
        <v>8315.0</v>
      </c>
      <c r="AP102" s="134">
        <v>10260.0</v>
      </c>
      <c r="AQ102" s="134">
        <v>4200.0</v>
      </c>
      <c r="AR102" s="134">
        <v>11220.0</v>
      </c>
      <c r="AS102" s="134">
        <v>5160.0</v>
      </c>
      <c r="AT102" s="134"/>
      <c r="AU102" s="134"/>
      <c r="AV102" s="90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</row>
    <row r="103" ht="12.75" customHeight="1">
      <c r="A103" s="1" t="s">
        <v>137</v>
      </c>
      <c r="B103" s="8"/>
      <c r="C103" s="22" t="s">
        <v>123</v>
      </c>
      <c r="D103" s="22"/>
      <c r="E103" s="22"/>
      <c r="F103" s="22"/>
      <c r="G103" s="22"/>
      <c r="H103" s="8"/>
      <c r="I103" s="8"/>
      <c r="J103" s="8"/>
      <c r="K103" s="8"/>
      <c r="L103" s="8"/>
      <c r="M103" s="8"/>
      <c r="N103" s="8"/>
      <c r="O103" s="142"/>
      <c r="P103" s="143">
        <v>384.0</v>
      </c>
      <c r="Q103" s="152">
        <v>24.0</v>
      </c>
      <c r="R103" s="152">
        <v>12.0</v>
      </c>
      <c r="S103" s="152">
        <v>12.0</v>
      </c>
      <c r="T103" s="152">
        <v>48.0</v>
      </c>
      <c r="U103" s="152">
        <v>48.0</v>
      </c>
      <c r="V103" s="152">
        <v>24.0</v>
      </c>
      <c r="W103" s="152">
        <v>24.0</v>
      </c>
      <c r="X103" s="152">
        <v>96.0</v>
      </c>
      <c r="Y103" s="217">
        <v>24.0</v>
      </c>
      <c r="Z103" s="217">
        <v>8245.0</v>
      </c>
      <c r="AA103" s="217">
        <v>4560.0</v>
      </c>
      <c r="AB103" s="152">
        <v>4165.0</v>
      </c>
      <c r="AC103" s="152">
        <v>2280.0</v>
      </c>
      <c r="AD103" s="152">
        <v>4645.0</v>
      </c>
      <c r="AE103" s="152">
        <v>2760.0</v>
      </c>
      <c r="AF103" s="134"/>
      <c r="AG103" s="134"/>
      <c r="AH103" s="134"/>
      <c r="AI103" s="153">
        <f t="shared" si="9"/>
        <v>384</v>
      </c>
      <c r="AJ103" s="22">
        <v>48.0</v>
      </c>
      <c r="AK103" s="134">
        <v>24.0</v>
      </c>
      <c r="AL103" s="134">
        <v>24.0</v>
      </c>
      <c r="AM103" s="134">
        <f t="shared" si="10"/>
        <v>96</v>
      </c>
      <c r="AN103" s="22">
        <v>20340.0</v>
      </c>
      <c r="AO103" s="161">
        <v>8400.0</v>
      </c>
      <c r="AP103" s="22">
        <v>10260.0</v>
      </c>
      <c r="AQ103" s="226">
        <v>4200.0</v>
      </c>
      <c r="AR103" s="134">
        <v>11220.0</v>
      </c>
      <c r="AS103" s="134">
        <v>5160.0</v>
      </c>
      <c r="AT103" s="134"/>
      <c r="AU103" s="134"/>
      <c r="AV103" s="90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</row>
    <row r="104" ht="12.75" customHeight="1">
      <c r="A104" s="1" t="s">
        <v>145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142"/>
      <c r="P104" s="143">
        <v>388.0</v>
      </c>
      <c r="Q104" s="152">
        <v>25.0</v>
      </c>
      <c r="R104" s="152">
        <v>13.0</v>
      </c>
      <c r="S104" s="152">
        <v>13.0</v>
      </c>
      <c r="T104" s="152">
        <v>49.0</v>
      </c>
      <c r="U104" s="152">
        <v>49.0</v>
      </c>
      <c r="V104" s="152">
        <v>25.0</v>
      </c>
      <c r="W104" s="152">
        <v>25.0</v>
      </c>
      <c r="X104" s="152">
        <v>97.0</v>
      </c>
      <c r="Y104" s="217">
        <v>24.25</v>
      </c>
      <c r="Z104" s="217">
        <v>8345.0</v>
      </c>
      <c r="AA104" s="217">
        <v>4610.0</v>
      </c>
      <c r="AB104" s="152">
        <v>4265.0</v>
      </c>
      <c r="AC104" s="152">
        <v>2330.0</v>
      </c>
      <c r="AD104" s="152">
        <v>4765.0</v>
      </c>
      <c r="AE104" s="152">
        <v>2830.0</v>
      </c>
      <c r="AF104" s="134"/>
      <c r="AG104" s="134"/>
      <c r="AH104" s="134"/>
      <c r="AI104" s="153">
        <f t="shared" si="9"/>
        <v>388</v>
      </c>
      <c r="AJ104" s="22">
        <v>49.0</v>
      </c>
      <c r="AK104" s="134">
        <v>25.0</v>
      </c>
      <c r="AL104" s="134">
        <v>25.0</v>
      </c>
      <c r="AM104" s="134">
        <f t="shared" si="10"/>
        <v>97</v>
      </c>
      <c r="AN104" s="22">
        <v>20620.0</v>
      </c>
      <c r="AO104" s="161">
        <v>8490.0</v>
      </c>
      <c r="AP104" s="134">
        <v>10540.0</v>
      </c>
      <c r="AQ104" s="134">
        <v>4290.0</v>
      </c>
      <c r="AR104" s="134">
        <v>11520.0</v>
      </c>
      <c r="AS104" s="134">
        <v>5270.0</v>
      </c>
      <c r="AT104" s="134"/>
      <c r="AU104" s="134"/>
      <c r="AV104" s="90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</row>
    <row r="105" ht="12.75" customHeight="1">
      <c r="A105" s="1" t="s">
        <v>146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142"/>
      <c r="P105" s="143">
        <v>392.0</v>
      </c>
      <c r="Q105" s="152">
        <v>25.0</v>
      </c>
      <c r="R105" s="152">
        <v>13.0</v>
      </c>
      <c r="S105" s="152">
        <v>13.0</v>
      </c>
      <c r="T105" s="152">
        <v>49.0</v>
      </c>
      <c r="U105" s="152">
        <v>49.0</v>
      </c>
      <c r="V105" s="152">
        <v>25.0</v>
      </c>
      <c r="W105" s="152">
        <v>25.0</v>
      </c>
      <c r="X105" s="152">
        <v>98.0</v>
      </c>
      <c r="Y105" s="217">
        <v>24.5</v>
      </c>
      <c r="Z105" s="217">
        <v>8435.0</v>
      </c>
      <c r="AA105" s="217">
        <v>4655.0</v>
      </c>
      <c r="AB105" s="152">
        <v>4265.0</v>
      </c>
      <c r="AC105" s="152">
        <v>2330.0</v>
      </c>
      <c r="AD105" s="152">
        <v>4765.0</v>
      </c>
      <c r="AE105" s="152">
        <v>2830.0</v>
      </c>
      <c r="AF105" s="134"/>
      <c r="AG105" s="134"/>
      <c r="AH105" s="134"/>
      <c r="AI105" s="153">
        <f t="shared" si="9"/>
        <v>392</v>
      </c>
      <c r="AJ105" s="22">
        <v>49.0</v>
      </c>
      <c r="AK105" s="134">
        <v>25.0</v>
      </c>
      <c r="AL105" s="134">
        <v>25.0</v>
      </c>
      <c r="AM105" s="134">
        <f t="shared" si="10"/>
        <v>98</v>
      </c>
      <c r="AN105" s="22">
        <v>20760.0</v>
      </c>
      <c r="AO105" s="161">
        <v>8575.0</v>
      </c>
      <c r="AP105" s="22">
        <v>10540.0</v>
      </c>
      <c r="AQ105" s="22">
        <v>4290.0</v>
      </c>
      <c r="AR105" s="134">
        <v>11520.0</v>
      </c>
      <c r="AS105" s="134">
        <v>5270.0</v>
      </c>
      <c r="AT105" s="134"/>
      <c r="AU105" s="134"/>
      <c r="AV105" s="90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</row>
    <row r="106" ht="12.75" customHeight="1">
      <c r="A106" s="1" t="s">
        <v>147</v>
      </c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142"/>
      <c r="P106" s="143">
        <v>396.0</v>
      </c>
      <c r="Q106" s="152">
        <v>26.0</v>
      </c>
      <c r="R106" s="152">
        <v>13.0</v>
      </c>
      <c r="S106" s="152">
        <v>13.0</v>
      </c>
      <c r="T106" s="152">
        <v>50.0</v>
      </c>
      <c r="U106" s="152">
        <v>50.0</v>
      </c>
      <c r="V106" s="152">
        <v>25.0</v>
      </c>
      <c r="W106" s="152">
        <v>25.0</v>
      </c>
      <c r="X106" s="152">
        <v>99.0</v>
      </c>
      <c r="Y106" s="217">
        <v>25.0</v>
      </c>
      <c r="Z106" s="217">
        <v>8515.0</v>
      </c>
      <c r="AA106" s="217">
        <v>4705.0</v>
      </c>
      <c r="AB106" s="152">
        <v>4355.0</v>
      </c>
      <c r="AC106" s="152">
        <v>2375.0</v>
      </c>
      <c r="AD106" s="152">
        <v>4855.0</v>
      </c>
      <c r="AE106" s="152">
        <v>2875.0</v>
      </c>
      <c r="AF106" s="134"/>
      <c r="AG106" s="134"/>
      <c r="AH106" s="134"/>
      <c r="AI106" s="153">
        <f t="shared" si="9"/>
        <v>396</v>
      </c>
      <c r="AJ106" s="22">
        <v>50.0</v>
      </c>
      <c r="AK106" s="134">
        <v>25.0</v>
      </c>
      <c r="AL106" s="134">
        <v>25.0</v>
      </c>
      <c r="AM106" s="134">
        <f t="shared" si="10"/>
        <v>99</v>
      </c>
      <c r="AN106" s="22">
        <v>21040.0</v>
      </c>
      <c r="AO106" s="161">
        <v>8665.0</v>
      </c>
      <c r="AP106" s="134">
        <v>10680.0</v>
      </c>
      <c r="AQ106" s="134">
        <v>4375.0</v>
      </c>
      <c r="AR106" s="134">
        <v>11680.0</v>
      </c>
      <c r="AS106" s="134">
        <v>5375.0</v>
      </c>
      <c r="AT106" s="134"/>
      <c r="AU106" s="134"/>
      <c r="AV106" s="90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</row>
    <row r="107" ht="12.75" customHeight="1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142"/>
      <c r="P107" s="143">
        <v>400.0</v>
      </c>
      <c r="Q107" s="152">
        <v>25.0</v>
      </c>
      <c r="R107" s="152">
        <v>13.0</v>
      </c>
      <c r="S107" s="152">
        <v>13.0</v>
      </c>
      <c r="T107" s="152">
        <v>50.0</v>
      </c>
      <c r="U107" s="152">
        <v>50.0</v>
      </c>
      <c r="V107" s="152">
        <v>25.0</v>
      </c>
      <c r="W107" s="152">
        <v>25.0</v>
      </c>
      <c r="X107" s="152">
        <v>100.0</v>
      </c>
      <c r="Y107" s="217">
        <v>25.0</v>
      </c>
      <c r="Z107" s="217">
        <v>8585.0</v>
      </c>
      <c r="AA107" s="217">
        <v>4750.0</v>
      </c>
      <c r="AB107" s="152">
        <v>4355.0</v>
      </c>
      <c r="AC107" s="152">
        <v>2375.0</v>
      </c>
      <c r="AD107" s="152">
        <v>4855.0</v>
      </c>
      <c r="AE107" s="152">
        <v>2875.0</v>
      </c>
      <c r="AF107" s="134"/>
      <c r="AG107" s="134"/>
      <c r="AH107" s="134"/>
      <c r="AI107" s="153">
        <f t="shared" si="9"/>
        <v>400</v>
      </c>
      <c r="AJ107" s="22">
        <v>50.0</v>
      </c>
      <c r="AK107" s="134">
        <v>25.0</v>
      </c>
      <c r="AL107" s="134">
        <v>25.0</v>
      </c>
      <c r="AM107" s="134">
        <f t="shared" si="10"/>
        <v>100</v>
      </c>
      <c r="AN107" s="22">
        <v>21180.0</v>
      </c>
      <c r="AO107" s="161">
        <v>8750.0</v>
      </c>
      <c r="AP107" s="22">
        <v>10680.0</v>
      </c>
      <c r="AQ107" s="226">
        <v>4375.0</v>
      </c>
      <c r="AR107" s="134">
        <v>11680.0</v>
      </c>
      <c r="AS107" s="134">
        <v>5375.0</v>
      </c>
      <c r="AT107" s="134"/>
      <c r="AU107" s="134"/>
      <c r="AV107" s="90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</row>
    <row r="108" ht="12.75" customHeight="1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142"/>
      <c r="P108" s="88">
        <f t="shared" ref="P108:P187" si="107">P107+4</f>
        <v>404</v>
      </c>
      <c r="Q108" s="160">
        <f t="shared" ref="Q108:X108" si="106">Q107+1</f>
        <v>26</v>
      </c>
      <c r="R108" s="152">
        <f t="shared" si="106"/>
        <v>14</v>
      </c>
      <c r="S108" s="152">
        <f t="shared" si="106"/>
        <v>14</v>
      </c>
      <c r="T108" s="134">
        <f t="shared" si="106"/>
        <v>51</v>
      </c>
      <c r="U108" s="134">
        <f t="shared" si="106"/>
        <v>51</v>
      </c>
      <c r="V108" s="134">
        <f t="shared" si="106"/>
        <v>26</v>
      </c>
      <c r="W108" s="134">
        <f t="shared" si="106"/>
        <v>26</v>
      </c>
      <c r="X108" s="134">
        <f t="shared" si="106"/>
        <v>101</v>
      </c>
      <c r="Y108" s="22"/>
      <c r="Z108" s="22">
        <f>Z107+100</f>
        <v>8685</v>
      </c>
      <c r="AA108" s="22">
        <f>AA107+50</f>
        <v>4800</v>
      </c>
      <c r="AB108" s="22">
        <f>AB107+80</f>
        <v>4435</v>
      </c>
      <c r="AC108" s="22">
        <f>AC107+50</f>
        <v>2425</v>
      </c>
      <c r="AD108" s="22">
        <f>AD107+100</f>
        <v>4955</v>
      </c>
      <c r="AE108" s="22">
        <f>AE107+70</f>
        <v>2945</v>
      </c>
      <c r="AF108" s="134"/>
      <c r="AG108" s="134"/>
      <c r="AH108" s="22"/>
      <c r="AI108" s="153">
        <f t="shared" si="9"/>
        <v>404</v>
      </c>
      <c r="AJ108" s="22">
        <v>51.0</v>
      </c>
      <c r="AK108" s="134">
        <v>26.0</v>
      </c>
      <c r="AL108" s="134">
        <v>26.0</v>
      </c>
      <c r="AM108" s="134">
        <f t="shared" si="10"/>
        <v>101</v>
      </c>
      <c r="AN108" s="22">
        <v>21460.0</v>
      </c>
      <c r="AO108" s="161">
        <v>8840.0</v>
      </c>
      <c r="AP108" s="134">
        <v>10960.0</v>
      </c>
      <c r="AQ108" s="134">
        <v>4465.0</v>
      </c>
      <c r="AR108" s="134">
        <v>11980.0</v>
      </c>
      <c r="AS108" s="134">
        <v>5485.0</v>
      </c>
      <c r="AT108" s="134"/>
      <c r="AU108" s="134"/>
      <c r="AV108" s="90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</row>
    <row r="109" ht="12.75" customHeight="1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142"/>
      <c r="P109" s="88">
        <f t="shared" si="107"/>
        <v>408</v>
      </c>
      <c r="Q109" s="160">
        <f t="shared" ref="Q109:W109" si="108">Q108</f>
        <v>26</v>
      </c>
      <c r="R109" s="152">
        <f t="shared" si="108"/>
        <v>14</v>
      </c>
      <c r="S109" s="152">
        <f t="shared" si="108"/>
        <v>14</v>
      </c>
      <c r="T109" s="134">
        <f t="shared" si="108"/>
        <v>51</v>
      </c>
      <c r="U109" s="134">
        <f t="shared" si="108"/>
        <v>51</v>
      </c>
      <c r="V109" s="134">
        <f t="shared" si="108"/>
        <v>26</v>
      </c>
      <c r="W109" s="134">
        <f t="shared" si="108"/>
        <v>26</v>
      </c>
      <c r="X109" s="134">
        <f t="shared" ref="X109:X111" si="113">X108+1</f>
        <v>102</v>
      </c>
      <c r="Y109" s="22"/>
      <c r="Z109" s="22">
        <f>Z108+90</f>
        <v>8775</v>
      </c>
      <c r="AA109" s="22">
        <f>AA108+45</f>
        <v>4845</v>
      </c>
      <c r="AB109" s="22">
        <f t="shared" ref="AB109:AE109" si="109">AB108</f>
        <v>4435</v>
      </c>
      <c r="AC109" s="22">
        <f t="shared" si="109"/>
        <v>2425</v>
      </c>
      <c r="AD109" s="22">
        <f t="shared" si="109"/>
        <v>4955</v>
      </c>
      <c r="AE109" s="22">
        <f t="shared" si="109"/>
        <v>2945</v>
      </c>
      <c r="AF109" s="134"/>
      <c r="AG109" s="134"/>
      <c r="AH109" s="22"/>
      <c r="AI109" s="153">
        <f t="shared" si="9"/>
        <v>408</v>
      </c>
      <c r="AJ109" s="22">
        <v>51.0</v>
      </c>
      <c r="AK109" s="134">
        <v>26.0</v>
      </c>
      <c r="AL109" s="134">
        <v>26.0</v>
      </c>
      <c r="AM109" s="134">
        <f t="shared" si="10"/>
        <v>102</v>
      </c>
      <c r="AN109" s="22">
        <v>21600.0</v>
      </c>
      <c r="AO109" s="161">
        <v>8925.0</v>
      </c>
      <c r="AP109" s="22">
        <v>10960.0</v>
      </c>
      <c r="AQ109" s="22">
        <v>4465.0</v>
      </c>
      <c r="AR109" s="134">
        <v>11980.0</v>
      </c>
      <c r="AS109" s="134">
        <v>5485.0</v>
      </c>
      <c r="AT109" s="134"/>
      <c r="AU109" s="134"/>
      <c r="AV109" s="90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</row>
    <row r="110" ht="12.75" customHeight="1">
      <c r="A110" s="8">
        <v>1.0</v>
      </c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142"/>
      <c r="P110" s="88">
        <f t="shared" si="107"/>
        <v>412</v>
      </c>
      <c r="Q110" s="160">
        <f>Q109+1</f>
        <v>27</v>
      </c>
      <c r="R110" s="152">
        <f t="shared" ref="R110:S110" si="110">R109-1</f>
        <v>13</v>
      </c>
      <c r="S110" s="152">
        <f t="shared" si="110"/>
        <v>13</v>
      </c>
      <c r="T110" s="134">
        <f t="shared" ref="T110:U110" si="111">T109+1</f>
        <v>52</v>
      </c>
      <c r="U110" s="134">
        <f t="shared" si="111"/>
        <v>52</v>
      </c>
      <c r="V110" s="134">
        <f t="shared" ref="V110:W110" si="112">V109</f>
        <v>26</v>
      </c>
      <c r="W110" s="134">
        <f t="shared" si="112"/>
        <v>26</v>
      </c>
      <c r="X110" s="134">
        <f t="shared" si="113"/>
        <v>103</v>
      </c>
      <c r="Y110" s="22"/>
      <c r="Z110" s="22">
        <f>Z109+80</f>
        <v>8855</v>
      </c>
      <c r="AA110" s="22">
        <f>AA109+50</f>
        <v>4895</v>
      </c>
      <c r="AB110" s="22">
        <f>AB109+70</f>
        <v>4505</v>
      </c>
      <c r="AC110" s="22">
        <f>AC109+45</f>
        <v>2470</v>
      </c>
      <c r="AD110" s="22">
        <f>AD109+70</f>
        <v>5025</v>
      </c>
      <c r="AE110" s="22">
        <f>45+AE109</f>
        <v>2990</v>
      </c>
      <c r="AF110" s="134"/>
      <c r="AG110" s="134"/>
      <c r="AH110" s="22"/>
      <c r="AI110" s="153">
        <f t="shared" si="9"/>
        <v>412</v>
      </c>
      <c r="AJ110" s="22">
        <v>52.0</v>
      </c>
      <c r="AK110" s="134">
        <v>26.0</v>
      </c>
      <c r="AL110" s="134">
        <v>26.0</v>
      </c>
      <c r="AM110" s="134">
        <f t="shared" si="10"/>
        <v>103</v>
      </c>
      <c r="AN110" s="22">
        <v>21880.0</v>
      </c>
      <c r="AO110" s="161">
        <v>9015.0</v>
      </c>
      <c r="AP110" s="134">
        <v>11100.0</v>
      </c>
      <c r="AQ110" s="134">
        <v>4550.0</v>
      </c>
      <c r="AR110" s="134">
        <v>12140.0</v>
      </c>
      <c r="AS110" s="134">
        <v>5590.0</v>
      </c>
      <c r="AT110" s="134"/>
      <c r="AU110" s="134"/>
      <c r="AV110" s="90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</row>
    <row r="111" ht="12.75" customHeight="1">
      <c r="A111" s="8">
        <v>2.0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142"/>
      <c r="P111" s="88">
        <f t="shared" si="107"/>
        <v>416</v>
      </c>
      <c r="Q111" s="160">
        <f>Q110-1</f>
        <v>26</v>
      </c>
      <c r="R111" s="152">
        <f t="shared" ref="R111:W111" si="114">R110</f>
        <v>13</v>
      </c>
      <c r="S111" s="152">
        <f t="shared" si="114"/>
        <v>13</v>
      </c>
      <c r="T111" s="134">
        <f t="shared" si="114"/>
        <v>52</v>
      </c>
      <c r="U111" s="134">
        <f t="shared" si="114"/>
        <v>52</v>
      </c>
      <c r="V111" s="134">
        <f t="shared" si="114"/>
        <v>26</v>
      </c>
      <c r="W111" s="134">
        <f t="shared" si="114"/>
        <v>26</v>
      </c>
      <c r="X111" s="134">
        <f t="shared" si="113"/>
        <v>104</v>
      </c>
      <c r="Y111" s="22"/>
      <c r="Z111" s="22">
        <f>Z110+70</f>
        <v>8925</v>
      </c>
      <c r="AA111" s="22">
        <f>AA110+45</f>
        <v>4940</v>
      </c>
      <c r="AB111" s="22">
        <f t="shared" ref="AB111:AE111" si="115">AB110</f>
        <v>4505</v>
      </c>
      <c r="AC111" s="22">
        <f t="shared" si="115"/>
        <v>2470</v>
      </c>
      <c r="AD111" s="22">
        <f t="shared" si="115"/>
        <v>5025</v>
      </c>
      <c r="AE111" s="22">
        <f t="shared" si="115"/>
        <v>2990</v>
      </c>
      <c r="AF111" s="134"/>
      <c r="AG111" s="134"/>
      <c r="AH111" s="22"/>
      <c r="AI111" s="153">
        <f t="shared" si="9"/>
        <v>416</v>
      </c>
      <c r="AJ111" s="22">
        <v>52.0</v>
      </c>
      <c r="AK111" s="134">
        <v>26.0</v>
      </c>
      <c r="AL111" s="134">
        <v>26.0</v>
      </c>
      <c r="AM111" s="134">
        <f t="shared" si="10"/>
        <v>104</v>
      </c>
      <c r="AN111" s="22">
        <v>22020.0</v>
      </c>
      <c r="AO111" s="161">
        <v>9100.0</v>
      </c>
      <c r="AP111" s="22">
        <v>11100.0</v>
      </c>
      <c r="AQ111" s="226">
        <v>4550.0</v>
      </c>
      <c r="AR111" s="134">
        <v>12140.0</v>
      </c>
      <c r="AS111" s="134">
        <v>5590.0</v>
      </c>
      <c r="AT111" s="134"/>
      <c r="AU111" s="134"/>
      <c r="AV111" s="90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</row>
    <row r="112" ht="12.75" customHeight="1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142"/>
      <c r="P112" s="88">
        <f t="shared" si="107"/>
        <v>420</v>
      </c>
      <c r="Q112" s="160">
        <f t="shared" ref="Q112:X112" si="116">Q111+1</f>
        <v>27</v>
      </c>
      <c r="R112" s="152">
        <f t="shared" si="116"/>
        <v>14</v>
      </c>
      <c r="S112" s="152">
        <f t="shared" si="116"/>
        <v>14</v>
      </c>
      <c r="T112" s="134">
        <f t="shared" si="116"/>
        <v>53</v>
      </c>
      <c r="U112" s="134">
        <f t="shared" si="116"/>
        <v>53</v>
      </c>
      <c r="V112" s="134">
        <f t="shared" si="116"/>
        <v>27</v>
      </c>
      <c r="W112" s="134">
        <f t="shared" si="116"/>
        <v>27</v>
      </c>
      <c r="X112" s="134">
        <f t="shared" si="116"/>
        <v>105</v>
      </c>
      <c r="Y112" s="22"/>
      <c r="Z112" s="22">
        <f>Z111+100</f>
        <v>9025</v>
      </c>
      <c r="AA112" s="22">
        <f>AA111+50</f>
        <v>4990</v>
      </c>
      <c r="AB112" s="22">
        <f>AB111+100</f>
        <v>4605</v>
      </c>
      <c r="AC112" s="22">
        <f>AC111+50</f>
        <v>2520</v>
      </c>
      <c r="AD112" s="22">
        <f>AD111+120</f>
        <v>5145</v>
      </c>
      <c r="AE112" s="22">
        <f>AE111+70</f>
        <v>3060</v>
      </c>
      <c r="AF112" s="134"/>
      <c r="AG112" s="134"/>
      <c r="AH112" s="22"/>
      <c r="AI112" s="153">
        <f t="shared" si="9"/>
        <v>420</v>
      </c>
      <c r="AJ112" s="22">
        <v>53.0</v>
      </c>
      <c r="AK112" s="134">
        <v>27.0</v>
      </c>
      <c r="AL112" s="134">
        <v>27.0</v>
      </c>
      <c r="AM112" s="134">
        <f t="shared" si="10"/>
        <v>105</v>
      </c>
      <c r="AN112" s="22">
        <v>22300.0</v>
      </c>
      <c r="AO112" s="161">
        <v>9190.0</v>
      </c>
      <c r="AP112" s="134">
        <v>11380.0</v>
      </c>
      <c r="AQ112" s="134">
        <v>4640.0</v>
      </c>
      <c r="AR112" s="134">
        <v>12440.0</v>
      </c>
      <c r="AS112" s="134">
        <v>5700.0</v>
      </c>
      <c r="AT112" s="134"/>
      <c r="AU112" s="134"/>
      <c r="AV112" s="90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</row>
    <row r="113" ht="12.0" customHeight="1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142"/>
      <c r="P113" s="88">
        <f t="shared" si="107"/>
        <v>424</v>
      </c>
      <c r="Q113" s="160">
        <f t="shared" ref="Q113:W113" si="117">Q112</f>
        <v>27</v>
      </c>
      <c r="R113" s="152">
        <f t="shared" si="117"/>
        <v>14</v>
      </c>
      <c r="S113" s="152">
        <f t="shared" si="117"/>
        <v>14</v>
      </c>
      <c r="T113" s="134">
        <f t="shared" si="117"/>
        <v>53</v>
      </c>
      <c r="U113" s="134">
        <f t="shared" si="117"/>
        <v>53</v>
      </c>
      <c r="V113" s="134">
        <f t="shared" si="117"/>
        <v>27</v>
      </c>
      <c r="W113" s="134">
        <f t="shared" si="117"/>
        <v>27</v>
      </c>
      <c r="X113" s="134">
        <f t="shared" ref="X113:X115" si="122">X112+1</f>
        <v>106</v>
      </c>
      <c r="Y113" s="22"/>
      <c r="Z113" s="22">
        <f>Z112+90</f>
        <v>9115</v>
      </c>
      <c r="AA113" s="22">
        <f>AA112+45</f>
        <v>5035</v>
      </c>
      <c r="AB113" s="22">
        <f t="shared" ref="AB113:AE113" si="118">AB112</f>
        <v>4605</v>
      </c>
      <c r="AC113" s="22">
        <f t="shared" si="118"/>
        <v>2520</v>
      </c>
      <c r="AD113" s="22">
        <f t="shared" si="118"/>
        <v>5145</v>
      </c>
      <c r="AE113" s="22">
        <f t="shared" si="118"/>
        <v>3060</v>
      </c>
      <c r="AF113" s="134"/>
      <c r="AG113" s="134"/>
      <c r="AH113" s="22"/>
      <c r="AI113" s="153">
        <f t="shared" si="9"/>
        <v>424</v>
      </c>
      <c r="AJ113" s="22">
        <v>53.0</v>
      </c>
      <c r="AK113" s="134">
        <v>27.0</v>
      </c>
      <c r="AL113" s="134">
        <v>27.0</v>
      </c>
      <c r="AM113" s="134">
        <f t="shared" si="10"/>
        <v>106</v>
      </c>
      <c r="AN113" s="22">
        <v>22440.0</v>
      </c>
      <c r="AO113" s="161">
        <v>9275.0</v>
      </c>
      <c r="AP113" s="22">
        <v>11380.0</v>
      </c>
      <c r="AQ113" s="22">
        <v>4640.0</v>
      </c>
      <c r="AR113" s="134">
        <v>12440.0</v>
      </c>
      <c r="AS113" s="134">
        <v>5700.0</v>
      </c>
      <c r="AT113" s="134"/>
      <c r="AU113" s="134"/>
      <c r="AV113" s="90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</row>
    <row r="114" ht="12.75" customHeight="1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142"/>
      <c r="P114" s="88">
        <f t="shared" si="107"/>
        <v>428</v>
      </c>
      <c r="Q114" s="160">
        <f>Q113+1</f>
        <v>28</v>
      </c>
      <c r="R114" s="152">
        <f t="shared" ref="R114:S114" si="119">R113</f>
        <v>14</v>
      </c>
      <c r="S114" s="152">
        <f t="shared" si="119"/>
        <v>14</v>
      </c>
      <c r="T114" s="134">
        <f t="shared" ref="T114:U114" si="120">T113+1</f>
        <v>54</v>
      </c>
      <c r="U114" s="134">
        <f t="shared" si="120"/>
        <v>54</v>
      </c>
      <c r="V114" s="134">
        <f t="shared" ref="V114:W114" si="121">V113</f>
        <v>27</v>
      </c>
      <c r="W114" s="134">
        <f t="shared" si="121"/>
        <v>27</v>
      </c>
      <c r="X114" s="134">
        <f t="shared" si="122"/>
        <v>107</v>
      </c>
      <c r="Y114" s="22"/>
      <c r="Z114" s="22">
        <f>Z113+80</f>
        <v>9195</v>
      </c>
      <c r="AA114" s="22">
        <f>AA113+50</f>
        <v>5085</v>
      </c>
      <c r="AB114" s="22">
        <f>AB113+90</f>
        <v>4695</v>
      </c>
      <c r="AC114" s="22">
        <f>AC113+45</f>
        <v>2565</v>
      </c>
      <c r="AD114" s="22">
        <f>AD113+90</f>
        <v>5235</v>
      </c>
      <c r="AE114" s="22">
        <f>45+AE113</f>
        <v>3105</v>
      </c>
      <c r="AF114" s="134"/>
      <c r="AG114" s="134"/>
      <c r="AH114" s="22"/>
      <c r="AI114" s="153">
        <f t="shared" si="9"/>
        <v>428</v>
      </c>
      <c r="AJ114" s="22">
        <v>54.0</v>
      </c>
      <c r="AK114" s="134">
        <v>27.0</v>
      </c>
      <c r="AL114" s="134">
        <v>27.0</v>
      </c>
      <c r="AM114" s="134">
        <f t="shared" si="10"/>
        <v>107</v>
      </c>
      <c r="AN114" s="22">
        <v>22720.0</v>
      </c>
      <c r="AO114" s="161">
        <v>9365.0</v>
      </c>
      <c r="AP114" s="134">
        <v>11520.0</v>
      </c>
      <c r="AQ114" s="134">
        <v>4725.0</v>
      </c>
      <c r="AR114" s="134">
        <v>12600.0</v>
      </c>
      <c r="AS114" s="134">
        <v>5805.0</v>
      </c>
      <c r="AT114" s="134"/>
      <c r="AU114" s="134"/>
      <c r="AV114" s="90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</row>
    <row r="115" ht="12.75" customHeight="1">
      <c r="A115" s="8"/>
      <c r="B115" s="8"/>
      <c r="C115" s="217" t="s">
        <v>166</v>
      </c>
      <c r="D115" s="217"/>
      <c r="E115" s="217" t="s">
        <v>170</v>
      </c>
      <c r="F115" s="8"/>
      <c r="G115" s="8"/>
      <c r="H115" s="8"/>
      <c r="I115" s="8"/>
      <c r="J115" s="8"/>
      <c r="K115" s="8"/>
      <c r="L115" s="8"/>
      <c r="M115" s="8"/>
      <c r="N115" s="8"/>
      <c r="O115" s="142"/>
      <c r="P115" s="88">
        <f t="shared" si="107"/>
        <v>432</v>
      </c>
      <c r="Q115" s="160">
        <f>Q114-1</f>
        <v>27</v>
      </c>
      <c r="R115" s="152">
        <f t="shared" ref="R115:W115" si="123">R114</f>
        <v>14</v>
      </c>
      <c r="S115" s="152">
        <f t="shared" si="123"/>
        <v>14</v>
      </c>
      <c r="T115" s="134">
        <f t="shared" si="123"/>
        <v>54</v>
      </c>
      <c r="U115" s="134">
        <f t="shared" si="123"/>
        <v>54</v>
      </c>
      <c r="V115" s="134">
        <f t="shared" si="123"/>
        <v>27</v>
      </c>
      <c r="W115" s="134">
        <f t="shared" si="123"/>
        <v>27</v>
      </c>
      <c r="X115" s="134">
        <f t="shared" si="122"/>
        <v>108</v>
      </c>
      <c r="Y115" s="22"/>
      <c r="Z115" s="22">
        <f>Z114+70</f>
        <v>9265</v>
      </c>
      <c r="AA115" s="22">
        <f>AA114+45</f>
        <v>5130</v>
      </c>
      <c r="AB115" s="22">
        <f t="shared" ref="AB115:AE115" si="124">AB114</f>
        <v>4695</v>
      </c>
      <c r="AC115" s="22">
        <f t="shared" si="124"/>
        <v>2565</v>
      </c>
      <c r="AD115" s="22">
        <f t="shared" si="124"/>
        <v>5235</v>
      </c>
      <c r="AE115" s="22">
        <f t="shared" si="124"/>
        <v>3105</v>
      </c>
      <c r="AF115" s="134"/>
      <c r="AG115" s="134"/>
      <c r="AH115" s="22"/>
      <c r="AI115" s="153">
        <f t="shared" si="9"/>
        <v>432</v>
      </c>
      <c r="AJ115" s="22">
        <v>54.0</v>
      </c>
      <c r="AK115" s="134">
        <v>27.0</v>
      </c>
      <c r="AL115" s="134">
        <v>27.0</v>
      </c>
      <c r="AM115" s="134">
        <f t="shared" si="10"/>
        <v>108</v>
      </c>
      <c r="AN115" s="22">
        <v>22860.0</v>
      </c>
      <c r="AO115" s="161">
        <v>9450.0</v>
      </c>
      <c r="AP115" s="22">
        <v>11520.0</v>
      </c>
      <c r="AQ115" s="226">
        <v>4725.0</v>
      </c>
      <c r="AR115" s="134">
        <v>12600.0</v>
      </c>
      <c r="AS115" s="134">
        <v>5805.0</v>
      </c>
      <c r="AT115" s="134"/>
      <c r="AU115" s="134"/>
      <c r="AV115" s="90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</row>
    <row r="116" ht="12.75" customHeight="1">
      <c r="A116" s="8"/>
      <c r="B116" s="8"/>
      <c r="C116" s="217" t="s">
        <v>163</v>
      </c>
      <c r="D116" s="217"/>
      <c r="E116" s="217" t="s">
        <v>171</v>
      </c>
      <c r="F116" s="8"/>
      <c r="G116" s="8"/>
      <c r="H116" s="8"/>
      <c r="I116" s="8"/>
      <c r="J116" s="8"/>
      <c r="K116" s="8"/>
      <c r="L116" s="8"/>
      <c r="M116" s="8"/>
      <c r="N116" s="8"/>
      <c r="O116" s="142"/>
      <c r="P116" s="88">
        <f t="shared" si="107"/>
        <v>436</v>
      </c>
      <c r="Q116" s="160">
        <f t="shared" ref="Q116:X116" si="125">Q115+1</f>
        <v>28</v>
      </c>
      <c r="R116" s="152">
        <f t="shared" si="125"/>
        <v>15</v>
      </c>
      <c r="S116" s="152">
        <f t="shared" si="125"/>
        <v>15</v>
      </c>
      <c r="T116" s="134">
        <f t="shared" si="125"/>
        <v>55</v>
      </c>
      <c r="U116" s="134">
        <f t="shared" si="125"/>
        <v>55</v>
      </c>
      <c r="V116" s="134">
        <f t="shared" si="125"/>
        <v>28</v>
      </c>
      <c r="W116" s="134">
        <f t="shared" si="125"/>
        <v>28</v>
      </c>
      <c r="X116" s="134">
        <f t="shared" si="125"/>
        <v>109</v>
      </c>
      <c r="Y116" s="22"/>
      <c r="Z116" s="22">
        <f>Z115+100</f>
        <v>9365</v>
      </c>
      <c r="AA116" s="22">
        <f>AA115+50</f>
        <v>5180</v>
      </c>
      <c r="AB116" s="22">
        <f>AB115+80</f>
        <v>4775</v>
      </c>
      <c r="AC116" s="22">
        <f>AC115+50</f>
        <v>2615</v>
      </c>
      <c r="AD116" s="22">
        <f>AD115+100</f>
        <v>5335</v>
      </c>
      <c r="AE116" s="22">
        <f>AE115+70</f>
        <v>3175</v>
      </c>
      <c r="AF116" s="134"/>
      <c r="AG116" s="134"/>
      <c r="AH116" s="22"/>
      <c r="AI116" s="153">
        <f t="shared" si="9"/>
        <v>436</v>
      </c>
      <c r="AJ116" s="22">
        <v>55.0</v>
      </c>
      <c r="AK116" s="134">
        <v>28.0</v>
      </c>
      <c r="AL116" s="134">
        <v>28.0</v>
      </c>
      <c r="AM116" s="134">
        <f t="shared" si="10"/>
        <v>109</v>
      </c>
      <c r="AN116" s="22">
        <v>23140.0</v>
      </c>
      <c r="AO116" s="161">
        <v>9540.0</v>
      </c>
      <c r="AP116" s="134">
        <v>11800.0</v>
      </c>
      <c r="AQ116" s="134">
        <v>4815.0</v>
      </c>
      <c r="AR116" s="134">
        <v>12900.0</v>
      </c>
      <c r="AS116" s="134">
        <v>5915.0</v>
      </c>
      <c r="AT116" s="134"/>
      <c r="AU116" s="134"/>
      <c r="AV116" s="90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</row>
    <row r="117" ht="12.75" customHeight="1">
      <c r="A117" s="8"/>
      <c r="B117" s="8"/>
      <c r="C117" s="217" t="s">
        <v>99</v>
      </c>
      <c r="D117" s="217" t="s">
        <v>99</v>
      </c>
      <c r="E117" s="217" t="s">
        <v>172</v>
      </c>
      <c r="F117" s="8"/>
      <c r="G117" s="8"/>
      <c r="H117" s="8"/>
      <c r="I117" s="8"/>
      <c r="J117" s="8"/>
      <c r="K117" s="8"/>
      <c r="L117" s="8"/>
      <c r="M117" s="8"/>
      <c r="N117" s="8"/>
      <c r="O117" s="142"/>
      <c r="P117" s="88">
        <f t="shared" si="107"/>
        <v>440</v>
      </c>
      <c r="Q117" s="160">
        <f t="shared" ref="Q117:W117" si="126">Q116</f>
        <v>28</v>
      </c>
      <c r="R117" s="152">
        <f t="shared" si="126"/>
        <v>15</v>
      </c>
      <c r="S117" s="152">
        <f t="shared" si="126"/>
        <v>15</v>
      </c>
      <c r="T117" s="134">
        <f t="shared" si="126"/>
        <v>55</v>
      </c>
      <c r="U117" s="134">
        <f t="shared" si="126"/>
        <v>55</v>
      </c>
      <c r="V117" s="134">
        <f t="shared" si="126"/>
        <v>28</v>
      </c>
      <c r="W117" s="134">
        <f t="shared" si="126"/>
        <v>28</v>
      </c>
      <c r="X117" s="134">
        <f t="shared" ref="X117:X119" si="131">X116+1</f>
        <v>110</v>
      </c>
      <c r="Y117" s="22"/>
      <c r="Z117" s="22">
        <f>Z116+90</f>
        <v>9455</v>
      </c>
      <c r="AA117" s="22">
        <f>AA116+45</f>
        <v>5225</v>
      </c>
      <c r="AB117" s="22">
        <f t="shared" ref="AB117:AE117" si="127">AB116</f>
        <v>4775</v>
      </c>
      <c r="AC117" s="22">
        <f t="shared" si="127"/>
        <v>2615</v>
      </c>
      <c r="AD117" s="22">
        <f t="shared" si="127"/>
        <v>5335</v>
      </c>
      <c r="AE117" s="22">
        <f t="shared" si="127"/>
        <v>3175</v>
      </c>
      <c r="AF117" s="134"/>
      <c r="AG117" s="134"/>
      <c r="AH117" s="22"/>
      <c r="AI117" s="153">
        <f t="shared" si="9"/>
        <v>440</v>
      </c>
      <c r="AJ117" s="22">
        <v>55.0</v>
      </c>
      <c r="AK117" s="134">
        <v>28.0</v>
      </c>
      <c r="AL117" s="134">
        <v>28.0</v>
      </c>
      <c r="AM117" s="134">
        <f t="shared" si="10"/>
        <v>110</v>
      </c>
      <c r="AN117" s="22">
        <v>23280.0</v>
      </c>
      <c r="AO117" s="161">
        <v>9625.0</v>
      </c>
      <c r="AP117" s="22">
        <v>11800.0</v>
      </c>
      <c r="AQ117" s="22">
        <v>4815.0</v>
      </c>
      <c r="AR117" s="134">
        <v>12900.0</v>
      </c>
      <c r="AS117" s="134">
        <v>5915.0</v>
      </c>
      <c r="AT117" s="134"/>
      <c r="AU117" s="134"/>
      <c r="AV117" s="90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</row>
    <row r="118" ht="12.75" customHeight="1">
      <c r="A118" s="8"/>
      <c r="B118" s="8"/>
      <c r="C118" s="217" t="s">
        <v>164</v>
      </c>
      <c r="D118" s="217" t="s">
        <v>101</v>
      </c>
      <c r="E118" s="217" t="s">
        <v>173</v>
      </c>
      <c r="F118" s="8"/>
      <c r="G118" s="8"/>
      <c r="H118" s="8"/>
      <c r="I118" s="8"/>
      <c r="J118" s="8"/>
      <c r="K118" s="8"/>
      <c r="L118" s="8"/>
      <c r="M118" s="8"/>
      <c r="N118" s="8"/>
      <c r="O118" s="142"/>
      <c r="P118" s="88">
        <f t="shared" si="107"/>
        <v>444</v>
      </c>
      <c r="Q118" s="160">
        <f>Q117+1</f>
        <v>29</v>
      </c>
      <c r="R118" s="152">
        <f t="shared" ref="R118:S118" si="128">R117-1</f>
        <v>14</v>
      </c>
      <c r="S118" s="152">
        <f t="shared" si="128"/>
        <v>14</v>
      </c>
      <c r="T118" s="134">
        <f t="shared" ref="T118:U118" si="129">T117+1</f>
        <v>56</v>
      </c>
      <c r="U118" s="134">
        <f t="shared" si="129"/>
        <v>56</v>
      </c>
      <c r="V118" s="134">
        <f t="shared" ref="V118:W118" si="130">V117</f>
        <v>28</v>
      </c>
      <c r="W118" s="134">
        <f t="shared" si="130"/>
        <v>28</v>
      </c>
      <c r="X118" s="134">
        <f t="shared" si="131"/>
        <v>111</v>
      </c>
      <c r="Y118" s="22"/>
      <c r="Z118" s="22">
        <f>Z117+80</f>
        <v>9535</v>
      </c>
      <c r="AA118" s="22">
        <f>AA117+50</f>
        <v>5275</v>
      </c>
      <c r="AB118" s="22">
        <f>AB117+70</f>
        <v>4845</v>
      </c>
      <c r="AC118" s="22">
        <f>AC117+45</f>
        <v>2660</v>
      </c>
      <c r="AD118" s="22">
        <f>AD117+70</f>
        <v>5405</v>
      </c>
      <c r="AE118" s="22">
        <f>45+AE117</f>
        <v>3220</v>
      </c>
      <c r="AF118" s="134"/>
      <c r="AG118" s="134"/>
      <c r="AH118" s="22"/>
      <c r="AI118" s="153">
        <f t="shared" si="9"/>
        <v>444</v>
      </c>
      <c r="AJ118" s="22">
        <v>56.0</v>
      </c>
      <c r="AK118" s="134">
        <v>28.0</v>
      </c>
      <c r="AL118" s="134">
        <v>28.0</v>
      </c>
      <c r="AM118" s="134">
        <f t="shared" si="10"/>
        <v>111</v>
      </c>
      <c r="AN118" s="22">
        <v>23560.0</v>
      </c>
      <c r="AO118" s="161">
        <v>9715.0</v>
      </c>
      <c r="AP118" s="134">
        <v>11940.0</v>
      </c>
      <c r="AQ118" s="134">
        <v>4900.0</v>
      </c>
      <c r="AR118" s="134">
        <v>13060.0</v>
      </c>
      <c r="AS118" s="134">
        <v>6020.0</v>
      </c>
      <c r="AT118" s="134"/>
      <c r="AU118" s="134"/>
      <c r="AV118" s="90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</row>
    <row r="119" ht="12.75" customHeight="1">
      <c r="A119" s="8"/>
      <c r="B119" s="8"/>
      <c r="C119" s="217" t="s">
        <v>165</v>
      </c>
      <c r="D119" s="217" t="s">
        <v>101</v>
      </c>
      <c r="E119" s="217" t="s">
        <v>174</v>
      </c>
      <c r="F119" s="8"/>
      <c r="G119" s="8"/>
      <c r="H119" s="8"/>
      <c r="I119" s="8"/>
      <c r="J119" s="8"/>
      <c r="K119" s="8"/>
      <c r="L119" s="8"/>
      <c r="M119" s="8"/>
      <c r="N119" s="8"/>
      <c r="O119" s="142"/>
      <c r="P119" s="88">
        <f t="shared" si="107"/>
        <v>448</v>
      </c>
      <c r="Q119" s="160">
        <f>Q118-1</f>
        <v>28</v>
      </c>
      <c r="R119" s="152">
        <f t="shared" ref="R119:W119" si="132">R118</f>
        <v>14</v>
      </c>
      <c r="S119" s="152">
        <f t="shared" si="132"/>
        <v>14</v>
      </c>
      <c r="T119" s="134">
        <f t="shared" si="132"/>
        <v>56</v>
      </c>
      <c r="U119" s="134">
        <f t="shared" si="132"/>
        <v>56</v>
      </c>
      <c r="V119" s="134">
        <f t="shared" si="132"/>
        <v>28</v>
      </c>
      <c r="W119" s="134">
        <f t="shared" si="132"/>
        <v>28</v>
      </c>
      <c r="X119" s="134">
        <f t="shared" si="131"/>
        <v>112</v>
      </c>
      <c r="Y119" s="22"/>
      <c r="Z119" s="22">
        <f>Z118+70</f>
        <v>9605</v>
      </c>
      <c r="AA119" s="22">
        <f>AA118+45</f>
        <v>5320</v>
      </c>
      <c r="AB119" s="22">
        <f t="shared" ref="AB119:AE119" si="133">AB118</f>
        <v>4845</v>
      </c>
      <c r="AC119" s="22">
        <f t="shared" si="133"/>
        <v>2660</v>
      </c>
      <c r="AD119" s="22">
        <f t="shared" si="133"/>
        <v>5405</v>
      </c>
      <c r="AE119" s="22">
        <f t="shared" si="133"/>
        <v>3220</v>
      </c>
      <c r="AF119" s="134"/>
      <c r="AG119" s="134"/>
      <c r="AH119" s="22"/>
      <c r="AI119" s="153">
        <f t="shared" si="9"/>
        <v>448</v>
      </c>
      <c r="AJ119" s="22">
        <v>56.0</v>
      </c>
      <c r="AK119" s="134">
        <v>28.0</v>
      </c>
      <c r="AL119" s="134">
        <v>28.0</v>
      </c>
      <c r="AM119" s="134">
        <f t="shared" si="10"/>
        <v>112</v>
      </c>
      <c r="AN119" s="22">
        <v>23700.0</v>
      </c>
      <c r="AO119" s="161">
        <v>9800.0</v>
      </c>
      <c r="AP119" s="22">
        <v>11940.0</v>
      </c>
      <c r="AQ119" s="226">
        <v>4900.0</v>
      </c>
      <c r="AR119" s="134">
        <v>13060.0</v>
      </c>
      <c r="AS119" s="134">
        <v>6020.0</v>
      </c>
      <c r="AT119" s="134"/>
      <c r="AU119" s="134"/>
      <c r="AV119" s="90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</row>
    <row r="120" ht="12.75" customHeight="1">
      <c r="A120" s="8"/>
      <c r="B120" s="8"/>
      <c r="C120" s="217" t="s">
        <v>167</v>
      </c>
      <c r="D120" s="217" t="s">
        <v>101</v>
      </c>
      <c r="E120" s="217" t="s">
        <v>175</v>
      </c>
      <c r="F120" s="8"/>
      <c r="G120" s="8"/>
      <c r="H120" s="8"/>
      <c r="I120" s="8"/>
      <c r="J120" s="8"/>
      <c r="K120" s="8"/>
      <c r="L120" s="8"/>
      <c r="M120" s="8"/>
      <c r="N120" s="8"/>
      <c r="O120" s="142"/>
      <c r="P120" s="88">
        <f t="shared" si="107"/>
        <v>452</v>
      </c>
      <c r="Q120" s="160">
        <f t="shared" ref="Q120:X120" si="134">Q119+1</f>
        <v>29</v>
      </c>
      <c r="R120" s="152">
        <f t="shared" si="134"/>
        <v>15</v>
      </c>
      <c r="S120" s="152">
        <f t="shared" si="134"/>
        <v>15</v>
      </c>
      <c r="T120" s="134">
        <f t="shared" si="134"/>
        <v>57</v>
      </c>
      <c r="U120" s="134">
        <f t="shared" si="134"/>
        <v>57</v>
      </c>
      <c r="V120" s="134">
        <f t="shared" si="134"/>
        <v>29</v>
      </c>
      <c r="W120" s="134">
        <f t="shared" si="134"/>
        <v>29</v>
      </c>
      <c r="X120" s="134">
        <f t="shared" si="134"/>
        <v>113</v>
      </c>
      <c r="Y120" s="22"/>
      <c r="Z120" s="22">
        <f>Z119+100</f>
        <v>9705</v>
      </c>
      <c r="AA120" s="22">
        <f>AA119+50</f>
        <v>5370</v>
      </c>
      <c r="AB120" s="22">
        <f>AB119+100</f>
        <v>4945</v>
      </c>
      <c r="AC120" s="22">
        <f>AC119+50</f>
        <v>2710</v>
      </c>
      <c r="AD120" s="22">
        <f>AD119+120</f>
        <v>5525</v>
      </c>
      <c r="AE120" s="22">
        <f>AE119+70</f>
        <v>3290</v>
      </c>
      <c r="AF120" s="134"/>
      <c r="AG120" s="134"/>
      <c r="AH120" s="22"/>
      <c r="AI120" s="153">
        <f t="shared" si="9"/>
        <v>452</v>
      </c>
      <c r="AJ120" s="22">
        <v>57.0</v>
      </c>
      <c r="AK120" s="134">
        <v>29.0</v>
      </c>
      <c r="AL120" s="134">
        <v>29.0</v>
      </c>
      <c r="AM120" s="134">
        <f t="shared" si="10"/>
        <v>113</v>
      </c>
      <c r="AN120" s="22">
        <v>23980.0</v>
      </c>
      <c r="AO120" s="161">
        <v>9890.0</v>
      </c>
      <c r="AP120" s="134">
        <v>12220.0</v>
      </c>
      <c r="AQ120" s="134">
        <v>4990.0</v>
      </c>
      <c r="AR120" s="134">
        <v>13360.0</v>
      </c>
      <c r="AS120" s="134">
        <v>6130.0</v>
      </c>
      <c r="AT120" s="134"/>
      <c r="AU120" s="134"/>
      <c r="AV120" s="90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</row>
    <row r="121" ht="12.75" customHeight="1">
      <c r="A121" s="8"/>
      <c r="B121" s="8"/>
      <c r="C121" s="217" t="s">
        <v>109</v>
      </c>
      <c r="D121" s="217" t="s">
        <v>109</v>
      </c>
      <c r="E121" s="217" t="s">
        <v>176</v>
      </c>
      <c r="F121" s="8"/>
      <c r="G121" s="8"/>
      <c r="H121" s="8"/>
      <c r="I121" s="8"/>
      <c r="J121" s="8"/>
      <c r="K121" s="8"/>
      <c r="L121" s="8"/>
      <c r="M121" s="8"/>
      <c r="N121" s="8"/>
      <c r="O121" s="142"/>
      <c r="P121" s="88">
        <f t="shared" si="107"/>
        <v>456</v>
      </c>
      <c r="Q121" s="160">
        <f t="shared" ref="Q121:W121" si="135">Q120</f>
        <v>29</v>
      </c>
      <c r="R121" s="152">
        <f t="shared" si="135"/>
        <v>15</v>
      </c>
      <c r="S121" s="152">
        <f t="shared" si="135"/>
        <v>15</v>
      </c>
      <c r="T121" s="134">
        <f t="shared" si="135"/>
        <v>57</v>
      </c>
      <c r="U121" s="134">
        <f t="shared" si="135"/>
        <v>57</v>
      </c>
      <c r="V121" s="134">
        <f t="shared" si="135"/>
        <v>29</v>
      </c>
      <c r="W121" s="134">
        <f t="shared" si="135"/>
        <v>29</v>
      </c>
      <c r="X121" s="134">
        <f t="shared" ref="X121:X123" si="140">X120+1</f>
        <v>114</v>
      </c>
      <c r="Y121" s="22"/>
      <c r="Z121" s="22">
        <f>Z120+90</f>
        <v>9795</v>
      </c>
      <c r="AA121" s="22">
        <f>AA120+45</f>
        <v>5415</v>
      </c>
      <c r="AB121" s="22">
        <f t="shared" ref="AB121:AE121" si="136">AB120</f>
        <v>4945</v>
      </c>
      <c r="AC121" s="22">
        <f t="shared" si="136"/>
        <v>2710</v>
      </c>
      <c r="AD121" s="22">
        <f t="shared" si="136"/>
        <v>5525</v>
      </c>
      <c r="AE121" s="22">
        <f t="shared" si="136"/>
        <v>3290</v>
      </c>
      <c r="AF121" s="134"/>
      <c r="AG121" s="134"/>
      <c r="AH121" s="22"/>
      <c r="AI121" s="153">
        <f t="shared" si="9"/>
        <v>456</v>
      </c>
      <c r="AJ121" s="22">
        <v>57.0</v>
      </c>
      <c r="AK121" s="134">
        <v>29.0</v>
      </c>
      <c r="AL121" s="134">
        <v>29.0</v>
      </c>
      <c r="AM121" s="134">
        <f t="shared" si="10"/>
        <v>114</v>
      </c>
      <c r="AN121" s="22">
        <v>24120.0</v>
      </c>
      <c r="AO121" s="161">
        <v>9975.0</v>
      </c>
      <c r="AP121" s="22">
        <v>12220.0</v>
      </c>
      <c r="AQ121" s="22">
        <v>4990.0</v>
      </c>
      <c r="AR121" s="134">
        <v>13360.0</v>
      </c>
      <c r="AS121" s="134">
        <v>6130.0</v>
      </c>
      <c r="AT121" s="134"/>
      <c r="AU121" s="134"/>
      <c r="AV121" s="90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</row>
    <row r="122" ht="12.75" customHeight="1">
      <c r="A122" s="8"/>
      <c r="B122" s="8"/>
      <c r="C122" s="217" t="s">
        <v>121</v>
      </c>
      <c r="D122" s="217" t="s">
        <v>121</v>
      </c>
      <c r="E122" s="217" t="s">
        <v>177</v>
      </c>
      <c r="F122" s="8"/>
      <c r="G122" s="8"/>
      <c r="H122" s="8"/>
      <c r="I122" s="8"/>
      <c r="J122" s="8"/>
      <c r="K122" s="8"/>
      <c r="L122" s="8"/>
      <c r="M122" s="8"/>
      <c r="N122" s="8"/>
      <c r="O122" s="142"/>
      <c r="P122" s="88">
        <f t="shared" si="107"/>
        <v>460</v>
      </c>
      <c r="Q122" s="160">
        <f>Q121+1</f>
        <v>30</v>
      </c>
      <c r="R122" s="152">
        <f t="shared" ref="R122:S122" si="137">R121</f>
        <v>15</v>
      </c>
      <c r="S122" s="152">
        <f t="shared" si="137"/>
        <v>15</v>
      </c>
      <c r="T122" s="134">
        <f t="shared" ref="T122:U122" si="138">T121+1</f>
        <v>58</v>
      </c>
      <c r="U122" s="134">
        <f t="shared" si="138"/>
        <v>58</v>
      </c>
      <c r="V122" s="134">
        <f t="shared" ref="V122:W122" si="139">V121</f>
        <v>29</v>
      </c>
      <c r="W122" s="134">
        <f t="shared" si="139"/>
        <v>29</v>
      </c>
      <c r="X122" s="134">
        <f t="shared" si="140"/>
        <v>115</v>
      </c>
      <c r="Y122" s="22"/>
      <c r="Z122" s="22">
        <f>Z121+80</f>
        <v>9875</v>
      </c>
      <c r="AA122" s="22">
        <f>AA121+50</f>
        <v>5465</v>
      </c>
      <c r="AB122" s="22">
        <f>AB121+90</f>
        <v>5035</v>
      </c>
      <c r="AC122" s="22">
        <f>AC121+45</f>
        <v>2755</v>
      </c>
      <c r="AD122" s="22">
        <f>AD121+90</f>
        <v>5615</v>
      </c>
      <c r="AE122" s="22">
        <f>45+AE121</f>
        <v>3335</v>
      </c>
      <c r="AF122" s="134"/>
      <c r="AG122" s="134"/>
      <c r="AH122" s="22"/>
      <c r="AI122" s="153">
        <f t="shared" si="9"/>
        <v>460</v>
      </c>
      <c r="AJ122" s="22">
        <v>58.0</v>
      </c>
      <c r="AK122" s="134">
        <v>29.0</v>
      </c>
      <c r="AL122" s="134">
        <v>29.0</v>
      </c>
      <c r="AM122" s="134">
        <f t="shared" si="10"/>
        <v>115</v>
      </c>
      <c r="AN122" s="22">
        <v>24400.0</v>
      </c>
      <c r="AO122" s="161">
        <v>10065.0</v>
      </c>
      <c r="AP122" s="134">
        <v>12360.0</v>
      </c>
      <c r="AQ122" s="134">
        <v>5075.0</v>
      </c>
      <c r="AR122" s="134">
        <v>13520.0</v>
      </c>
      <c r="AS122" s="134">
        <v>6235.0</v>
      </c>
      <c r="AT122" s="134"/>
      <c r="AU122" s="134"/>
      <c r="AV122" s="90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</row>
    <row r="123" ht="12.75" customHeight="1">
      <c r="A123" s="8"/>
      <c r="B123" s="8"/>
      <c r="C123" s="217" t="s">
        <v>168</v>
      </c>
      <c r="D123" s="217" t="s">
        <v>123</v>
      </c>
      <c r="E123" s="217" t="s">
        <v>178</v>
      </c>
      <c r="F123" s="8"/>
      <c r="G123" s="8"/>
      <c r="H123" s="8"/>
      <c r="I123" s="8"/>
      <c r="J123" s="8"/>
      <c r="K123" s="8"/>
      <c r="L123" s="8"/>
      <c r="M123" s="8"/>
      <c r="N123" s="8"/>
      <c r="O123" s="142"/>
      <c r="P123" s="88">
        <f t="shared" si="107"/>
        <v>464</v>
      </c>
      <c r="Q123" s="160">
        <f>Q122-1</f>
        <v>29</v>
      </c>
      <c r="R123" s="152">
        <f t="shared" ref="R123:W123" si="141">R122</f>
        <v>15</v>
      </c>
      <c r="S123" s="152">
        <f t="shared" si="141"/>
        <v>15</v>
      </c>
      <c r="T123" s="134">
        <f t="shared" si="141"/>
        <v>58</v>
      </c>
      <c r="U123" s="134">
        <f t="shared" si="141"/>
        <v>58</v>
      </c>
      <c r="V123" s="134">
        <f t="shared" si="141"/>
        <v>29</v>
      </c>
      <c r="W123" s="134">
        <f t="shared" si="141"/>
        <v>29</v>
      </c>
      <c r="X123" s="134">
        <f t="shared" si="140"/>
        <v>116</v>
      </c>
      <c r="Y123" s="22"/>
      <c r="Z123" s="22">
        <f>Z122+70</f>
        <v>9945</v>
      </c>
      <c r="AA123" s="22">
        <f>AA122+45</f>
        <v>5510</v>
      </c>
      <c r="AB123" s="22">
        <f t="shared" ref="AB123:AE123" si="142">AB122</f>
        <v>5035</v>
      </c>
      <c r="AC123" s="22">
        <f t="shared" si="142"/>
        <v>2755</v>
      </c>
      <c r="AD123" s="22">
        <f t="shared" si="142"/>
        <v>5615</v>
      </c>
      <c r="AE123" s="22">
        <f t="shared" si="142"/>
        <v>3335</v>
      </c>
      <c r="AF123" s="134"/>
      <c r="AG123" s="134"/>
      <c r="AH123" s="22"/>
      <c r="AI123" s="153">
        <f t="shared" si="9"/>
        <v>464</v>
      </c>
      <c r="AJ123" s="22">
        <v>58.0</v>
      </c>
      <c r="AK123" s="134">
        <v>29.0</v>
      </c>
      <c r="AL123" s="134">
        <v>29.0</v>
      </c>
      <c r="AM123" s="134">
        <f t="shared" si="10"/>
        <v>116</v>
      </c>
      <c r="AN123" s="22">
        <v>24540.0</v>
      </c>
      <c r="AO123" s="161">
        <v>10150.0</v>
      </c>
      <c r="AP123" s="22">
        <v>12360.0</v>
      </c>
      <c r="AQ123" s="226">
        <v>5075.0</v>
      </c>
      <c r="AR123" s="134">
        <v>13520.0</v>
      </c>
      <c r="AS123" s="134">
        <v>6235.0</v>
      </c>
      <c r="AT123" s="134"/>
      <c r="AU123" s="134"/>
      <c r="AV123" s="90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</row>
    <row r="124" ht="12.75" customHeight="1">
      <c r="A124" s="8"/>
      <c r="B124" s="8"/>
      <c r="C124" s="217" t="s">
        <v>169</v>
      </c>
      <c r="D124" s="217" t="s">
        <v>123</v>
      </c>
      <c r="E124" s="217" t="s">
        <v>179</v>
      </c>
      <c r="F124" s="8"/>
      <c r="G124" s="8"/>
      <c r="H124" s="8"/>
      <c r="I124" s="8"/>
      <c r="J124" s="8"/>
      <c r="K124" s="8"/>
      <c r="L124" s="8"/>
      <c r="M124" s="8"/>
      <c r="N124" s="8"/>
      <c r="O124" s="142"/>
      <c r="P124" s="88">
        <f t="shared" si="107"/>
        <v>468</v>
      </c>
      <c r="Q124" s="160">
        <f t="shared" ref="Q124:X124" si="143">Q123+1</f>
        <v>30</v>
      </c>
      <c r="R124" s="152">
        <f t="shared" si="143"/>
        <v>16</v>
      </c>
      <c r="S124" s="152">
        <f t="shared" si="143"/>
        <v>16</v>
      </c>
      <c r="T124" s="134">
        <f t="shared" si="143"/>
        <v>59</v>
      </c>
      <c r="U124" s="134">
        <f t="shared" si="143"/>
        <v>59</v>
      </c>
      <c r="V124" s="134">
        <f t="shared" si="143"/>
        <v>30</v>
      </c>
      <c r="W124" s="134">
        <f t="shared" si="143"/>
        <v>30</v>
      </c>
      <c r="X124" s="134">
        <f t="shared" si="143"/>
        <v>117</v>
      </c>
      <c r="Y124" s="22"/>
      <c r="Z124" s="22">
        <f>Z123+100</f>
        <v>10045</v>
      </c>
      <c r="AA124" s="22">
        <f>AA123+50</f>
        <v>5560</v>
      </c>
      <c r="AB124" s="22">
        <f>AB123+80</f>
        <v>5115</v>
      </c>
      <c r="AC124" s="22">
        <f>AC123+50</f>
        <v>2805</v>
      </c>
      <c r="AD124" s="22">
        <f>AD123+100</f>
        <v>5715</v>
      </c>
      <c r="AE124" s="22">
        <f>AE123+70</f>
        <v>3405</v>
      </c>
      <c r="AF124" s="134"/>
      <c r="AG124" s="134"/>
      <c r="AH124" s="22"/>
      <c r="AI124" s="153">
        <f t="shared" si="9"/>
        <v>468</v>
      </c>
      <c r="AJ124" s="22">
        <v>59.0</v>
      </c>
      <c r="AK124" s="134">
        <v>30.0</v>
      </c>
      <c r="AL124" s="134">
        <v>30.0</v>
      </c>
      <c r="AM124" s="134">
        <f t="shared" si="10"/>
        <v>117</v>
      </c>
      <c r="AN124" s="22">
        <v>24820.0</v>
      </c>
      <c r="AO124" s="161">
        <v>10240.0</v>
      </c>
      <c r="AP124" s="134">
        <v>12640.0</v>
      </c>
      <c r="AQ124" s="134">
        <v>5165.0</v>
      </c>
      <c r="AR124" s="134">
        <v>13820.0</v>
      </c>
      <c r="AS124" s="134">
        <v>6345.0</v>
      </c>
      <c r="AT124" s="134"/>
      <c r="AU124" s="134"/>
      <c r="AV124" s="90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</row>
    <row r="125" ht="12.75" customHeight="1">
      <c r="A125" s="8"/>
      <c r="B125" s="8"/>
      <c r="C125" s="217" t="s">
        <v>123</v>
      </c>
      <c r="D125" s="217" t="s">
        <v>123</v>
      </c>
      <c r="E125" s="217" t="s">
        <v>180</v>
      </c>
      <c r="F125" s="8"/>
      <c r="G125" s="8"/>
      <c r="H125" s="8"/>
      <c r="I125" s="8"/>
      <c r="J125" s="8"/>
      <c r="K125" s="8"/>
      <c r="L125" s="8"/>
      <c r="M125" s="8"/>
      <c r="N125" s="8"/>
      <c r="O125" s="142"/>
      <c r="P125" s="88">
        <f t="shared" si="107"/>
        <v>472</v>
      </c>
      <c r="Q125" s="160">
        <f t="shared" ref="Q125:W125" si="144">Q124</f>
        <v>30</v>
      </c>
      <c r="R125" s="152">
        <f t="shared" si="144"/>
        <v>16</v>
      </c>
      <c r="S125" s="152">
        <f t="shared" si="144"/>
        <v>16</v>
      </c>
      <c r="T125" s="134">
        <f t="shared" si="144"/>
        <v>59</v>
      </c>
      <c r="U125" s="134">
        <f t="shared" si="144"/>
        <v>59</v>
      </c>
      <c r="V125" s="134">
        <f t="shared" si="144"/>
        <v>30</v>
      </c>
      <c r="W125" s="134">
        <f t="shared" si="144"/>
        <v>30</v>
      </c>
      <c r="X125" s="134">
        <f t="shared" ref="X125:X127" si="149">X124+1</f>
        <v>118</v>
      </c>
      <c r="Y125" s="22"/>
      <c r="Z125" s="22">
        <f>Z124+90</f>
        <v>10135</v>
      </c>
      <c r="AA125" s="22">
        <f>AA124+45</f>
        <v>5605</v>
      </c>
      <c r="AB125" s="22">
        <f t="shared" ref="AB125:AE125" si="145">AB124</f>
        <v>5115</v>
      </c>
      <c r="AC125" s="22">
        <f t="shared" si="145"/>
        <v>2805</v>
      </c>
      <c r="AD125" s="22">
        <f t="shared" si="145"/>
        <v>5715</v>
      </c>
      <c r="AE125" s="22">
        <f t="shared" si="145"/>
        <v>3405</v>
      </c>
      <c r="AF125" s="134"/>
      <c r="AG125" s="134"/>
      <c r="AH125" s="22"/>
      <c r="AI125" s="153">
        <f t="shared" si="9"/>
        <v>472</v>
      </c>
      <c r="AJ125" s="22">
        <v>59.0</v>
      </c>
      <c r="AK125" s="134">
        <v>30.0</v>
      </c>
      <c r="AL125" s="134">
        <v>30.0</v>
      </c>
      <c r="AM125" s="134">
        <f t="shared" si="10"/>
        <v>118</v>
      </c>
      <c r="AN125" s="22">
        <v>24960.0</v>
      </c>
      <c r="AO125" s="161">
        <v>10325.0</v>
      </c>
      <c r="AP125" s="22">
        <v>12640.0</v>
      </c>
      <c r="AQ125" s="22">
        <v>5165.0</v>
      </c>
      <c r="AR125" s="134">
        <v>13820.0</v>
      </c>
      <c r="AS125" s="134">
        <v>6345.0</v>
      </c>
      <c r="AT125" s="134"/>
      <c r="AU125" s="134"/>
      <c r="AV125" s="90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</row>
    <row r="126" ht="12.75" customHeight="1">
      <c r="A126" s="8"/>
      <c r="B126" s="8"/>
      <c r="C126" s="22" t="s">
        <v>101</v>
      </c>
      <c r="D126" s="217" t="s">
        <v>101</v>
      </c>
      <c r="E126" s="22" t="s">
        <v>181</v>
      </c>
      <c r="F126" s="8"/>
      <c r="G126" s="8"/>
      <c r="H126" s="8"/>
      <c r="I126" s="8"/>
      <c r="J126" s="8"/>
      <c r="K126" s="8"/>
      <c r="L126" s="8"/>
      <c r="M126" s="8"/>
      <c r="N126" s="8"/>
      <c r="O126" s="142"/>
      <c r="P126" s="88">
        <f t="shared" si="107"/>
        <v>476</v>
      </c>
      <c r="Q126" s="160">
        <f>Q125+1</f>
        <v>31</v>
      </c>
      <c r="R126" s="152">
        <f t="shared" ref="R126:S126" si="146">R125-1</f>
        <v>15</v>
      </c>
      <c r="S126" s="152">
        <f t="shared" si="146"/>
        <v>15</v>
      </c>
      <c r="T126" s="134">
        <f t="shared" ref="T126:U126" si="147">T125+1</f>
        <v>60</v>
      </c>
      <c r="U126" s="134">
        <f t="shared" si="147"/>
        <v>60</v>
      </c>
      <c r="V126" s="134">
        <f t="shared" ref="V126:W126" si="148">V125</f>
        <v>30</v>
      </c>
      <c r="W126" s="134">
        <f t="shared" si="148"/>
        <v>30</v>
      </c>
      <c r="X126" s="134">
        <f t="shared" si="149"/>
        <v>119</v>
      </c>
      <c r="Y126" s="22"/>
      <c r="Z126" s="22">
        <f>Z125+80</f>
        <v>10215</v>
      </c>
      <c r="AA126" s="22">
        <f>AA125+50</f>
        <v>5655</v>
      </c>
      <c r="AB126" s="22">
        <f>AB125+70</f>
        <v>5185</v>
      </c>
      <c r="AC126" s="22">
        <f>AC125+45</f>
        <v>2850</v>
      </c>
      <c r="AD126" s="22">
        <f>AD125+70</f>
        <v>5785</v>
      </c>
      <c r="AE126" s="22">
        <f>45+AE125</f>
        <v>3450</v>
      </c>
      <c r="AF126" s="22"/>
      <c r="AG126" s="22"/>
      <c r="AH126" s="22"/>
      <c r="AI126" s="153">
        <f t="shared" si="9"/>
        <v>476</v>
      </c>
      <c r="AJ126" s="22">
        <v>60.0</v>
      </c>
      <c r="AK126" s="134">
        <v>30.0</v>
      </c>
      <c r="AL126" s="134">
        <v>30.0</v>
      </c>
      <c r="AM126" s="134">
        <f t="shared" si="10"/>
        <v>119</v>
      </c>
      <c r="AN126" s="22">
        <v>25240.0</v>
      </c>
      <c r="AO126" s="161">
        <v>10415.0</v>
      </c>
      <c r="AP126" s="134">
        <v>12780.0</v>
      </c>
      <c r="AQ126" s="134">
        <v>5250.0</v>
      </c>
      <c r="AR126" s="134">
        <v>13980.0</v>
      </c>
      <c r="AS126" s="134">
        <v>6450.0</v>
      </c>
      <c r="AT126" s="134"/>
      <c r="AU126" s="134"/>
      <c r="AV126" s="90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</row>
    <row r="127" ht="12.75" customHeight="1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142"/>
      <c r="P127" s="88">
        <f t="shared" si="107"/>
        <v>480</v>
      </c>
      <c r="Q127" s="160">
        <f>Q126-1</f>
        <v>30</v>
      </c>
      <c r="R127" s="152">
        <f t="shared" ref="R127:W127" si="150">R126</f>
        <v>15</v>
      </c>
      <c r="S127" s="152">
        <f t="shared" si="150"/>
        <v>15</v>
      </c>
      <c r="T127" s="134">
        <f t="shared" si="150"/>
        <v>60</v>
      </c>
      <c r="U127" s="134">
        <f t="shared" si="150"/>
        <v>60</v>
      </c>
      <c r="V127" s="134">
        <f t="shared" si="150"/>
        <v>30</v>
      </c>
      <c r="W127" s="134">
        <f t="shared" si="150"/>
        <v>30</v>
      </c>
      <c r="X127" s="134">
        <f t="shared" si="149"/>
        <v>120</v>
      </c>
      <c r="Y127" s="22"/>
      <c r="Z127" s="22">
        <f>Z126+70</f>
        <v>10285</v>
      </c>
      <c r="AA127" s="22">
        <f>AA126+45</f>
        <v>5700</v>
      </c>
      <c r="AB127" s="22">
        <f t="shared" ref="AB127:AE127" si="151">AB126</f>
        <v>5185</v>
      </c>
      <c r="AC127" s="22">
        <f t="shared" si="151"/>
        <v>2850</v>
      </c>
      <c r="AD127" s="22">
        <f t="shared" si="151"/>
        <v>5785</v>
      </c>
      <c r="AE127" s="22">
        <f t="shared" si="151"/>
        <v>3450</v>
      </c>
      <c r="AF127" s="22"/>
      <c r="AG127" s="22"/>
      <c r="AH127" s="22"/>
      <c r="AI127" s="153">
        <f t="shared" si="9"/>
        <v>480</v>
      </c>
      <c r="AJ127" s="22">
        <v>60.0</v>
      </c>
      <c r="AK127" s="134">
        <v>30.0</v>
      </c>
      <c r="AL127" s="134">
        <v>30.0</v>
      </c>
      <c r="AM127" s="134">
        <f t="shared" si="10"/>
        <v>120</v>
      </c>
      <c r="AN127" s="22">
        <v>25380.0</v>
      </c>
      <c r="AO127" s="161">
        <v>10500.0</v>
      </c>
      <c r="AP127" s="22">
        <v>12780.0</v>
      </c>
      <c r="AQ127" s="226">
        <v>5250.0</v>
      </c>
      <c r="AR127" s="134">
        <v>13980.0</v>
      </c>
      <c r="AS127" s="134">
        <v>6450.0</v>
      </c>
      <c r="AT127" s="134"/>
      <c r="AU127" s="134"/>
      <c r="AV127" s="90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</row>
    <row r="128" ht="12.75" customHeight="1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142"/>
      <c r="P128" s="88">
        <f t="shared" si="107"/>
        <v>484</v>
      </c>
      <c r="Q128" s="160">
        <f t="shared" ref="Q128:X128" si="152">Q127+1</f>
        <v>31</v>
      </c>
      <c r="R128" s="152">
        <f t="shared" si="152"/>
        <v>16</v>
      </c>
      <c r="S128" s="152">
        <f t="shared" si="152"/>
        <v>16</v>
      </c>
      <c r="T128" s="134">
        <f t="shared" si="152"/>
        <v>61</v>
      </c>
      <c r="U128" s="134">
        <f t="shared" si="152"/>
        <v>61</v>
      </c>
      <c r="V128" s="134">
        <f t="shared" si="152"/>
        <v>31</v>
      </c>
      <c r="W128" s="134">
        <f t="shared" si="152"/>
        <v>31</v>
      </c>
      <c r="X128" s="134">
        <f t="shared" si="152"/>
        <v>121</v>
      </c>
      <c r="Y128" s="22"/>
      <c r="Z128" s="22">
        <f>Z127+100</f>
        <v>10385</v>
      </c>
      <c r="AA128" s="22">
        <f>AA127+50</f>
        <v>5750</v>
      </c>
      <c r="AB128" s="22">
        <f>AB127+100</f>
        <v>5285</v>
      </c>
      <c r="AC128" s="22">
        <f>AC127+50</f>
        <v>2900</v>
      </c>
      <c r="AD128" s="22">
        <f>AD127+120</f>
        <v>5905</v>
      </c>
      <c r="AE128" s="22">
        <f>AE127+70</f>
        <v>3520</v>
      </c>
      <c r="AF128" s="22"/>
      <c r="AG128" s="22"/>
      <c r="AH128" s="22"/>
      <c r="AI128" s="153">
        <f t="shared" si="9"/>
        <v>484</v>
      </c>
      <c r="AJ128" s="22">
        <v>61.0</v>
      </c>
      <c r="AK128" s="134">
        <v>31.0</v>
      </c>
      <c r="AL128" s="134">
        <v>31.0</v>
      </c>
      <c r="AM128" s="134">
        <f t="shared" si="10"/>
        <v>121</v>
      </c>
      <c r="AN128" s="22">
        <v>25660.0</v>
      </c>
      <c r="AO128" s="161">
        <v>10590.0</v>
      </c>
      <c r="AP128" s="134">
        <v>13060.0</v>
      </c>
      <c r="AQ128" s="134">
        <v>5340.0</v>
      </c>
      <c r="AR128" s="134">
        <v>14280.0</v>
      </c>
      <c r="AS128" s="134">
        <v>6560.0</v>
      </c>
      <c r="AT128" s="134"/>
      <c r="AU128" s="134"/>
      <c r="AV128" s="90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</row>
    <row r="129" ht="12.75" customHeight="1">
      <c r="A129" s="8"/>
      <c r="B129" s="8"/>
      <c r="C129" s="8"/>
      <c r="D129" s="232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142"/>
      <c r="P129" s="88">
        <f t="shared" si="107"/>
        <v>488</v>
      </c>
      <c r="Q129" s="160">
        <f t="shared" ref="Q129:W129" si="153">Q128</f>
        <v>31</v>
      </c>
      <c r="R129" s="152">
        <f t="shared" si="153"/>
        <v>16</v>
      </c>
      <c r="S129" s="152">
        <f t="shared" si="153"/>
        <v>16</v>
      </c>
      <c r="T129" s="134">
        <f t="shared" si="153"/>
        <v>61</v>
      </c>
      <c r="U129" s="134">
        <f t="shared" si="153"/>
        <v>61</v>
      </c>
      <c r="V129" s="134">
        <f t="shared" si="153"/>
        <v>31</v>
      </c>
      <c r="W129" s="134">
        <f t="shared" si="153"/>
        <v>31</v>
      </c>
      <c r="X129" s="134">
        <f t="shared" ref="X129:X131" si="158">X128+1</f>
        <v>122</v>
      </c>
      <c r="Y129" s="22"/>
      <c r="Z129" s="22">
        <f>Z128+90</f>
        <v>10475</v>
      </c>
      <c r="AA129" s="22">
        <f>AA128+45</f>
        <v>5795</v>
      </c>
      <c r="AB129" s="22">
        <f t="shared" ref="AB129:AE129" si="154">AB128</f>
        <v>5285</v>
      </c>
      <c r="AC129" s="22">
        <f t="shared" si="154"/>
        <v>2900</v>
      </c>
      <c r="AD129" s="22">
        <f t="shared" si="154"/>
        <v>5905</v>
      </c>
      <c r="AE129" s="22">
        <f t="shared" si="154"/>
        <v>3520</v>
      </c>
      <c r="AF129" s="22"/>
      <c r="AG129" s="22"/>
      <c r="AH129" s="22"/>
      <c r="AI129" s="153">
        <f t="shared" si="9"/>
        <v>488</v>
      </c>
      <c r="AJ129" s="22">
        <v>61.0</v>
      </c>
      <c r="AK129" s="134">
        <v>31.0</v>
      </c>
      <c r="AL129" s="134">
        <v>31.0</v>
      </c>
      <c r="AM129" s="134">
        <f t="shared" si="10"/>
        <v>122</v>
      </c>
      <c r="AN129" s="22">
        <v>25800.0</v>
      </c>
      <c r="AO129" s="161">
        <v>10675.0</v>
      </c>
      <c r="AP129" s="22">
        <v>13060.0</v>
      </c>
      <c r="AQ129" s="22">
        <v>5340.0</v>
      </c>
      <c r="AR129" s="134">
        <v>14280.0</v>
      </c>
      <c r="AS129" s="134">
        <v>6560.0</v>
      </c>
      <c r="AT129" s="134"/>
      <c r="AU129" s="134"/>
      <c r="AV129" s="90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</row>
    <row r="130" ht="12.75" customHeight="1">
      <c r="A130" s="8"/>
      <c r="B130" s="8"/>
      <c r="C130" s="8"/>
      <c r="D130" s="232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142"/>
      <c r="P130" s="88">
        <f t="shared" si="107"/>
        <v>492</v>
      </c>
      <c r="Q130" s="160">
        <f>Q129+1</f>
        <v>32</v>
      </c>
      <c r="R130" s="152">
        <f t="shared" ref="R130:S130" si="155">R129</f>
        <v>16</v>
      </c>
      <c r="S130" s="152">
        <f t="shared" si="155"/>
        <v>16</v>
      </c>
      <c r="T130" s="134">
        <f t="shared" ref="T130:U130" si="156">T129+1</f>
        <v>62</v>
      </c>
      <c r="U130" s="134">
        <f t="shared" si="156"/>
        <v>62</v>
      </c>
      <c r="V130" s="134">
        <f t="shared" ref="V130:W130" si="157">V129</f>
        <v>31</v>
      </c>
      <c r="W130" s="134">
        <f t="shared" si="157"/>
        <v>31</v>
      </c>
      <c r="X130" s="134">
        <f t="shared" si="158"/>
        <v>123</v>
      </c>
      <c r="Y130" s="22"/>
      <c r="Z130" s="22">
        <f>Z129+80</f>
        <v>10555</v>
      </c>
      <c r="AA130" s="22">
        <f>AA129+50</f>
        <v>5845</v>
      </c>
      <c r="AB130" s="22">
        <f>AB129+90</f>
        <v>5375</v>
      </c>
      <c r="AC130" s="22">
        <f>AC129+45</f>
        <v>2945</v>
      </c>
      <c r="AD130" s="22">
        <f>AD129+90</f>
        <v>5995</v>
      </c>
      <c r="AE130" s="22">
        <f>45+AE129</f>
        <v>3565</v>
      </c>
      <c r="AF130" s="22"/>
      <c r="AG130" s="22"/>
      <c r="AH130" s="22"/>
      <c r="AI130" s="153">
        <f t="shared" si="9"/>
        <v>492</v>
      </c>
      <c r="AJ130" s="22">
        <v>62.0</v>
      </c>
      <c r="AK130" s="134">
        <v>31.0</v>
      </c>
      <c r="AL130" s="134">
        <v>31.0</v>
      </c>
      <c r="AM130" s="134">
        <f t="shared" si="10"/>
        <v>123</v>
      </c>
      <c r="AN130" s="22">
        <v>26080.0</v>
      </c>
      <c r="AO130" s="161">
        <v>10765.0</v>
      </c>
      <c r="AP130" s="134">
        <v>13200.0</v>
      </c>
      <c r="AQ130" s="134">
        <v>5425.0</v>
      </c>
      <c r="AR130" s="134">
        <v>14440.0</v>
      </c>
      <c r="AS130" s="134">
        <v>6665.0</v>
      </c>
      <c r="AT130" s="134"/>
      <c r="AU130" s="134"/>
      <c r="AV130" s="90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</row>
    <row r="131" ht="12.75" customHeight="1">
      <c r="A131" s="8"/>
      <c r="B131" s="8"/>
      <c r="C131" s="8"/>
      <c r="D131" s="232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142"/>
      <c r="P131" s="88">
        <f t="shared" si="107"/>
        <v>496</v>
      </c>
      <c r="Q131" s="160">
        <f>Q130-1</f>
        <v>31</v>
      </c>
      <c r="R131" s="152">
        <f t="shared" ref="R131:W131" si="159">R130</f>
        <v>16</v>
      </c>
      <c r="S131" s="152">
        <f t="shared" si="159"/>
        <v>16</v>
      </c>
      <c r="T131" s="134">
        <f t="shared" si="159"/>
        <v>62</v>
      </c>
      <c r="U131" s="134">
        <f t="shared" si="159"/>
        <v>62</v>
      </c>
      <c r="V131" s="134">
        <f t="shared" si="159"/>
        <v>31</v>
      </c>
      <c r="W131" s="134">
        <f t="shared" si="159"/>
        <v>31</v>
      </c>
      <c r="X131" s="134">
        <f t="shared" si="158"/>
        <v>124</v>
      </c>
      <c r="Y131" s="22"/>
      <c r="Z131" s="22">
        <f>Z130+70</f>
        <v>10625</v>
      </c>
      <c r="AA131" s="22">
        <f>AA130+45</f>
        <v>5890</v>
      </c>
      <c r="AB131" s="22">
        <f t="shared" ref="AB131:AE131" si="160">AB130</f>
        <v>5375</v>
      </c>
      <c r="AC131" s="22">
        <f t="shared" si="160"/>
        <v>2945</v>
      </c>
      <c r="AD131" s="22">
        <f t="shared" si="160"/>
        <v>5995</v>
      </c>
      <c r="AE131" s="22">
        <f t="shared" si="160"/>
        <v>3565</v>
      </c>
      <c r="AF131" s="22"/>
      <c r="AG131" s="22"/>
      <c r="AH131" s="22"/>
      <c r="AI131" s="153">
        <f t="shared" si="9"/>
        <v>496</v>
      </c>
      <c r="AJ131" s="22">
        <v>62.0</v>
      </c>
      <c r="AK131" s="134">
        <v>31.0</v>
      </c>
      <c r="AL131" s="134">
        <v>31.0</v>
      </c>
      <c r="AM131" s="134">
        <f t="shared" si="10"/>
        <v>124</v>
      </c>
      <c r="AN131" s="22">
        <v>26220.0</v>
      </c>
      <c r="AO131" s="161">
        <v>10850.0</v>
      </c>
      <c r="AP131" s="22">
        <v>13200.0</v>
      </c>
      <c r="AQ131" s="226">
        <v>5425.0</v>
      </c>
      <c r="AR131" s="134">
        <v>14440.0</v>
      </c>
      <c r="AS131" s="134">
        <v>6665.0</v>
      </c>
      <c r="AT131" s="134"/>
      <c r="AU131" s="134"/>
      <c r="AV131" s="90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</row>
    <row r="132" ht="12.75" customHeight="1">
      <c r="A132" s="8"/>
      <c r="B132" s="8"/>
      <c r="C132" s="8"/>
      <c r="D132" s="232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142"/>
      <c r="P132" s="88">
        <f t="shared" si="107"/>
        <v>500</v>
      </c>
      <c r="Q132" s="160">
        <f t="shared" ref="Q132:X132" si="161">Q131+1</f>
        <v>32</v>
      </c>
      <c r="R132" s="152">
        <f t="shared" si="161"/>
        <v>17</v>
      </c>
      <c r="S132" s="152">
        <f t="shared" si="161"/>
        <v>17</v>
      </c>
      <c r="T132" s="134">
        <f t="shared" si="161"/>
        <v>63</v>
      </c>
      <c r="U132" s="134">
        <f t="shared" si="161"/>
        <v>63</v>
      </c>
      <c r="V132" s="134">
        <f t="shared" si="161"/>
        <v>32</v>
      </c>
      <c r="W132" s="134">
        <f t="shared" si="161"/>
        <v>32</v>
      </c>
      <c r="X132" s="134">
        <f t="shared" si="161"/>
        <v>125</v>
      </c>
      <c r="Y132" s="22"/>
      <c r="Z132" s="22">
        <f>Z131+100</f>
        <v>10725</v>
      </c>
      <c r="AA132" s="22">
        <f>AA131+50</f>
        <v>5940</v>
      </c>
      <c r="AB132" s="22">
        <f>AB131+80</f>
        <v>5455</v>
      </c>
      <c r="AC132" s="22">
        <f>AC131+50</f>
        <v>2995</v>
      </c>
      <c r="AD132" s="22">
        <f>AD131+100</f>
        <v>6095</v>
      </c>
      <c r="AE132" s="22">
        <f>AE131+70</f>
        <v>3635</v>
      </c>
      <c r="AF132" s="22"/>
      <c r="AG132" s="22"/>
      <c r="AH132" s="22"/>
      <c r="AI132" s="153">
        <f t="shared" si="9"/>
        <v>500</v>
      </c>
      <c r="AJ132" s="22">
        <v>63.0</v>
      </c>
      <c r="AK132" s="134">
        <v>32.0</v>
      </c>
      <c r="AL132" s="134">
        <v>32.0</v>
      </c>
      <c r="AM132" s="134">
        <f t="shared" si="10"/>
        <v>125</v>
      </c>
      <c r="AN132" s="22">
        <v>26500.0</v>
      </c>
      <c r="AO132" s="161">
        <v>10940.0</v>
      </c>
      <c r="AP132" s="22">
        <v>13480.0</v>
      </c>
      <c r="AQ132" s="134">
        <v>5515.0</v>
      </c>
      <c r="AR132" s="134">
        <v>14740.0</v>
      </c>
      <c r="AS132" s="134">
        <v>6775.0</v>
      </c>
      <c r="AT132" s="134"/>
      <c r="AU132" s="134"/>
      <c r="AV132" s="90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</row>
    <row r="133" ht="12.75" customHeight="1">
      <c r="A133" s="8"/>
      <c r="B133" s="8"/>
      <c r="C133" s="8"/>
      <c r="D133" s="232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142"/>
      <c r="P133" s="88">
        <f t="shared" si="107"/>
        <v>504</v>
      </c>
      <c r="Q133" s="160">
        <f t="shared" ref="Q133:W133" si="162">Q132</f>
        <v>32</v>
      </c>
      <c r="R133" s="152">
        <f t="shared" si="162"/>
        <v>17</v>
      </c>
      <c r="S133" s="152">
        <f t="shared" si="162"/>
        <v>17</v>
      </c>
      <c r="T133" s="134">
        <f t="shared" si="162"/>
        <v>63</v>
      </c>
      <c r="U133" s="134">
        <f t="shared" si="162"/>
        <v>63</v>
      </c>
      <c r="V133" s="134">
        <f t="shared" si="162"/>
        <v>32</v>
      </c>
      <c r="W133" s="134">
        <f t="shared" si="162"/>
        <v>32</v>
      </c>
      <c r="X133" s="134">
        <f t="shared" ref="X133:X135" si="167">X132+1</f>
        <v>126</v>
      </c>
      <c r="Y133" s="22"/>
      <c r="Z133" s="22">
        <f>Z132+90</f>
        <v>10815</v>
      </c>
      <c r="AA133" s="22">
        <f>AA132+45</f>
        <v>5985</v>
      </c>
      <c r="AB133" s="22">
        <f t="shared" ref="AB133:AE133" si="163">AB132</f>
        <v>5455</v>
      </c>
      <c r="AC133" s="22">
        <f t="shared" si="163"/>
        <v>2995</v>
      </c>
      <c r="AD133" s="22">
        <f t="shared" si="163"/>
        <v>6095</v>
      </c>
      <c r="AE133" s="22">
        <f t="shared" si="163"/>
        <v>3635</v>
      </c>
      <c r="AF133" s="22"/>
      <c r="AG133" s="22"/>
      <c r="AH133" s="22"/>
      <c r="AI133" s="153"/>
      <c r="AJ133" s="22"/>
      <c r="AK133" s="22"/>
      <c r="AL133" s="22"/>
      <c r="AM133" s="22"/>
      <c r="AN133" s="22"/>
      <c r="AO133" s="22"/>
      <c r="AP133" s="22"/>
      <c r="AQ133" s="22"/>
      <c r="AR133" s="134"/>
      <c r="AS133" s="134"/>
      <c r="AT133" s="134"/>
      <c r="AU133" s="134"/>
      <c r="AV133" s="90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</row>
    <row r="134" ht="12.75" customHeight="1">
      <c r="A134" s="8"/>
      <c r="B134" s="8"/>
      <c r="C134" s="8"/>
      <c r="D134" s="232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142"/>
      <c r="P134" s="88">
        <f t="shared" si="107"/>
        <v>508</v>
      </c>
      <c r="Q134" s="160">
        <f>Q133+1</f>
        <v>33</v>
      </c>
      <c r="R134" s="152">
        <f t="shared" ref="R134:S134" si="164">R133-1</f>
        <v>16</v>
      </c>
      <c r="S134" s="152">
        <f t="shared" si="164"/>
        <v>16</v>
      </c>
      <c r="T134" s="134">
        <f t="shared" ref="T134:U134" si="165">T133+1</f>
        <v>64</v>
      </c>
      <c r="U134" s="134">
        <f t="shared" si="165"/>
        <v>64</v>
      </c>
      <c r="V134" s="134">
        <f t="shared" ref="V134:W134" si="166">V133</f>
        <v>32</v>
      </c>
      <c r="W134" s="134">
        <f t="shared" si="166"/>
        <v>32</v>
      </c>
      <c r="X134" s="134">
        <f t="shared" si="167"/>
        <v>127</v>
      </c>
      <c r="Y134" s="22"/>
      <c r="Z134" s="22">
        <f>Z133+80</f>
        <v>10895</v>
      </c>
      <c r="AA134" s="22">
        <f>AA133+50</f>
        <v>6035</v>
      </c>
      <c r="AB134" s="22">
        <f>AB133+70</f>
        <v>5525</v>
      </c>
      <c r="AC134" s="22">
        <f>AC133+45</f>
        <v>3040</v>
      </c>
      <c r="AD134" s="22">
        <f>AD133+70</f>
        <v>6165</v>
      </c>
      <c r="AE134" s="22">
        <f>45+AE133</f>
        <v>3680</v>
      </c>
      <c r="AF134" s="22"/>
      <c r="AG134" s="22"/>
      <c r="AH134" s="22"/>
      <c r="AI134" s="153"/>
      <c r="AJ134" s="22"/>
      <c r="AK134" s="22"/>
      <c r="AL134" s="22"/>
      <c r="AM134" s="22"/>
      <c r="AN134" s="22"/>
      <c r="AO134" s="22"/>
      <c r="AP134" s="22"/>
      <c r="AQ134" s="134"/>
      <c r="AR134" s="134"/>
      <c r="AS134" s="134"/>
      <c r="AT134" s="134"/>
      <c r="AU134" s="134"/>
      <c r="AV134" s="90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</row>
    <row r="135" ht="12.75" customHeight="1">
      <c r="A135" s="8"/>
      <c r="B135" s="8"/>
      <c r="C135" s="8" t="s">
        <v>182</v>
      </c>
      <c r="D135" s="232" t="s">
        <v>129</v>
      </c>
      <c r="E135" s="232" t="s">
        <v>183</v>
      </c>
      <c r="F135" s="8"/>
      <c r="G135" s="8"/>
      <c r="H135" s="8"/>
      <c r="I135" s="8"/>
      <c r="J135" s="8"/>
      <c r="K135" s="8"/>
      <c r="L135" s="8"/>
      <c r="M135" s="8"/>
      <c r="N135" s="8"/>
      <c r="O135" s="142"/>
      <c r="P135" s="88">
        <f t="shared" si="107"/>
        <v>512</v>
      </c>
      <c r="Q135" s="160">
        <f>Q134-1</f>
        <v>32</v>
      </c>
      <c r="R135" s="152">
        <f t="shared" ref="R135:W135" si="168">R134</f>
        <v>16</v>
      </c>
      <c r="S135" s="152">
        <f t="shared" si="168"/>
        <v>16</v>
      </c>
      <c r="T135" s="134">
        <f t="shared" si="168"/>
        <v>64</v>
      </c>
      <c r="U135" s="134">
        <f t="shared" si="168"/>
        <v>64</v>
      </c>
      <c r="V135" s="134">
        <f t="shared" si="168"/>
        <v>32</v>
      </c>
      <c r="W135" s="134">
        <f t="shared" si="168"/>
        <v>32</v>
      </c>
      <c r="X135" s="134">
        <f t="shared" si="167"/>
        <v>128</v>
      </c>
      <c r="Y135" s="22"/>
      <c r="Z135" s="22">
        <f>Z134+70</f>
        <v>10965</v>
      </c>
      <c r="AA135" s="22">
        <f>AA134+45</f>
        <v>6080</v>
      </c>
      <c r="AB135" s="22">
        <f t="shared" ref="AB135:AE135" si="169">AB134</f>
        <v>5525</v>
      </c>
      <c r="AC135" s="22">
        <f t="shared" si="169"/>
        <v>3040</v>
      </c>
      <c r="AD135" s="22">
        <f t="shared" si="169"/>
        <v>6165</v>
      </c>
      <c r="AE135" s="22">
        <f t="shared" si="169"/>
        <v>3680</v>
      </c>
      <c r="AF135" s="22"/>
      <c r="AG135" s="22"/>
      <c r="AH135" s="22"/>
      <c r="AI135" s="153"/>
      <c r="AJ135" s="22"/>
      <c r="AK135" s="22"/>
      <c r="AL135" s="22"/>
      <c r="AM135" s="22"/>
      <c r="AN135" s="22"/>
      <c r="AO135" s="22"/>
      <c r="AP135" s="22"/>
      <c r="AQ135" s="226"/>
      <c r="AR135" s="134"/>
      <c r="AS135" s="134"/>
      <c r="AT135" s="134"/>
      <c r="AU135" s="134"/>
      <c r="AV135" s="90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</row>
    <row r="136" ht="12.75" customHeight="1">
      <c r="A136" s="8"/>
      <c r="B136" s="8"/>
      <c r="C136" s="8" t="s">
        <v>184</v>
      </c>
      <c r="D136" s="232" t="s">
        <v>137</v>
      </c>
      <c r="E136" s="232" t="s">
        <v>185</v>
      </c>
      <c r="F136" s="8"/>
      <c r="G136" s="8"/>
      <c r="H136" s="8"/>
      <c r="I136" s="8"/>
      <c r="J136" s="8"/>
      <c r="K136" s="8"/>
      <c r="L136" s="8"/>
      <c r="M136" s="8"/>
      <c r="N136" s="8"/>
      <c r="O136" s="142"/>
      <c r="P136" s="88">
        <f t="shared" si="107"/>
        <v>516</v>
      </c>
      <c r="Q136" s="160">
        <f t="shared" ref="Q136:X136" si="170">Q135+1</f>
        <v>33</v>
      </c>
      <c r="R136" s="152">
        <f t="shared" si="170"/>
        <v>17</v>
      </c>
      <c r="S136" s="152">
        <f t="shared" si="170"/>
        <v>17</v>
      </c>
      <c r="T136" s="134">
        <f t="shared" si="170"/>
        <v>65</v>
      </c>
      <c r="U136" s="134">
        <f t="shared" si="170"/>
        <v>65</v>
      </c>
      <c r="V136" s="134">
        <f t="shared" si="170"/>
        <v>33</v>
      </c>
      <c r="W136" s="134">
        <f t="shared" si="170"/>
        <v>33</v>
      </c>
      <c r="X136" s="134">
        <f t="shared" si="170"/>
        <v>129</v>
      </c>
      <c r="Y136" s="22"/>
      <c r="Z136" s="22">
        <f>Z135+100</f>
        <v>11065</v>
      </c>
      <c r="AA136" s="22">
        <f>AA135+50</f>
        <v>6130</v>
      </c>
      <c r="AB136" s="22">
        <f>AB135+100</f>
        <v>5625</v>
      </c>
      <c r="AC136" s="22">
        <f>AC135+50</f>
        <v>3090</v>
      </c>
      <c r="AD136" s="22">
        <f>AD135+120</f>
        <v>6285</v>
      </c>
      <c r="AE136" s="22">
        <f>AE135+70</f>
        <v>3750</v>
      </c>
      <c r="AF136" s="22"/>
      <c r="AG136" s="22"/>
      <c r="AH136" s="22"/>
      <c r="AI136" s="153"/>
      <c r="AJ136" s="22"/>
      <c r="AK136" s="22"/>
      <c r="AL136" s="22"/>
      <c r="AM136" s="22"/>
      <c r="AN136" s="22"/>
      <c r="AO136" s="22"/>
      <c r="AP136" s="22"/>
      <c r="AQ136" s="134"/>
      <c r="AR136" s="134"/>
      <c r="AS136" s="134"/>
      <c r="AT136" s="134"/>
      <c r="AU136" s="134"/>
      <c r="AV136" s="90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</row>
    <row r="137" ht="12.75" customHeight="1">
      <c r="A137" s="8"/>
      <c r="B137" s="8"/>
      <c r="C137" s="8" t="s">
        <v>186</v>
      </c>
      <c r="D137" s="1" t="s">
        <v>147</v>
      </c>
      <c r="E137" s="233" t="s">
        <v>187</v>
      </c>
      <c r="F137" s="8"/>
      <c r="G137" s="8"/>
      <c r="H137" s="8"/>
      <c r="I137" s="8"/>
      <c r="J137" s="8"/>
      <c r="K137" s="8"/>
      <c r="L137" s="8"/>
      <c r="M137" s="8"/>
      <c r="N137" s="8"/>
      <c r="O137" s="142"/>
      <c r="P137" s="88">
        <f t="shared" si="107"/>
        <v>520</v>
      </c>
      <c r="Q137" s="160">
        <f t="shared" ref="Q137:W137" si="171">Q136</f>
        <v>33</v>
      </c>
      <c r="R137" s="152">
        <f t="shared" si="171"/>
        <v>17</v>
      </c>
      <c r="S137" s="152">
        <f t="shared" si="171"/>
        <v>17</v>
      </c>
      <c r="T137" s="134">
        <f t="shared" si="171"/>
        <v>65</v>
      </c>
      <c r="U137" s="134">
        <f t="shared" si="171"/>
        <v>65</v>
      </c>
      <c r="V137" s="134">
        <f t="shared" si="171"/>
        <v>33</v>
      </c>
      <c r="W137" s="134">
        <f t="shared" si="171"/>
        <v>33</v>
      </c>
      <c r="X137" s="134">
        <f t="shared" ref="X137:X139" si="176">X136+1</f>
        <v>130</v>
      </c>
      <c r="Y137" s="22"/>
      <c r="Z137" s="22">
        <f>Z136+90</f>
        <v>11155</v>
      </c>
      <c r="AA137" s="22">
        <f>AA136+45</f>
        <v>6175</v>
      </c>
      <c r="AB137" s="22">
        <f t="shared" ref="AB137:AE137" si="172">AB136</f>
        <v>5625</v>
      </c>
      <c r="AC137" s="22">
        <f t="shared" si="172"/>
        <v>3090</v>
      </c>
      <c r="AD137" s="22">
        <f t="shared" si="172"/>
        <v>6285</v>
      </c>
      <c r="AE137" s="22">
        <f t="shared" si="172"/>
        <v>3750</v>
      </c>
      <c r="AF137" s="22"/>
      <c r="AG137" s="22"/>
      <c r="AH137" s="22"/>
      <c r="AI137" s="153"/>
      <c r="AJ137" s="22"/>
      <c r="AK137" s="22"/>
      <c r="AL137" s="22"/>
      <c r="AM137" s="22"/>
      <c r="AN137" s="22"/>
      <c r="AO137" s="22"/>
      <c r="AP137" s="22"/>
      <c r="AQ137" s="22"/>
      <c r="AR137" s="134"/>
      <c r="AS137" s="134"/>
      <c r="AT137" s="134"/>
      <c r="AU137" s="134"/>
      <c r="AV137" s="90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</row>
    <row r="138" ht="12.75" customHeight="1">
      <c r="A138" s="8"/>
      <c r="B138" s="8"/>
      <c r="C138" s="8" t="s">
        <v>188</v>
      </c>
      <c r="D138" s="1" t="s">
        <v>147</v>
      </c>
      <c r="E138" s="8" t="s">
        <v>189</v>
      </c>
      <c r="F138" s="8"/>
      <c r="G138" s="8"/>
      <c r="H138" s="8"/>
      <c r="I138" s="8"/>
      <c r="J138" s="8"/>
      <c r="K138" s="8"/>
      <c r="L138" s="8"/>
      <c r="M138" s="8"/>
      <c r="N138" s="8"/>
      <c r="O138" s="142"/>
      <c r="P138" s="88">
        <f t="shared" si="107"/>
        <v>524</v>
      </c>
      <c r="Q138" s="160">
        <f>Q137+1</f>
        <v>34</v>
      </c>
      <c r="R138" s="152">
        <f t="shared" ref="R138:S138" si="173">R137</f>
        <v>17</v>
      </c>
      <c r="S138" s="152">
        <f t="shared" si="173"/>
        <v>17</v>
      </c>
      <c r="T138" s="134">
        <f t="shared" ref="T138:U138" si="174">T137+1</f>
        <v>66</v>
      </c>
      <c r="U138" s="134">
        <f t="shared" si="174"/>
        <v>66</v>
      </c>
      <c r="V138" s="134">
        <f t="shared" ref="V138:W138" si="175">V137</f>
        <v>33</v>
      </c>
      <c r="W138" s="134">
        <f t="shared" si="175"/>
        <v>33</v>
      </c>
      <c r="X138" s="134">
        <f t="shared" si="176"/>
        <v>131</v>
      </c>
      <c r="Y138" s="22"/>
      <c r="Z138" s="22">
        <f>Z137+80</f>
        <v>11235</v>
      </c>
      <c r="AA138" s="22">
        <f>AA137+50</f>
        <v>6225</v>
      </c>
      <c r="AB138" s="22">
        <f>AB137+90</f>
        <v>5715</v>
      </c>
      <c r="AC138" s="22">
        <f>AC137+45</f>
        <v>3135</v>
      </c>
      <c r="AD138" s="22">
        <f>AD137+90</f>
        <v>6375</v>
      </c>
      <c r="AE138" s="22">
        <f>45+AE137</f>
        <v>3795</v>
      </c>
      <c r="AF138" s="22"/>
      <c r="AG138" s="22"/>
      <c r="AH138" s="22"/>
      <c r="AI138" s="153"/>
      <c r="AJ138" s="22"/>
      <c r="AK138" s="22"/>
      <c r="AL138" s="22"/>
      <c r="AM138" s="22"/>
      <c r="AN138" s="22"/>
      <c r="AO138" s="22"/>
      <c r="AP138" s="22"/>
      <c r="AQ138" s="22"/>
      <c r="AR138" s="134"/>
      <c r="AS138" s="134"/>
      <c r="AT138" s="134"/>
      <c r="AU138" s="134"/>
      <c r="AV138" s="90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</row>
    <row r="139" ht="12.75" customHeight="1">
      <c r="A139" s="8"/>
      <c r="B139" s="8"/>
      <c r="C139" s="8"/>
      <c r="D139" s="1" t="s">
        <v>147</v>
      </c>
      <c r="E139" s="1"/>
      <c r="F139" s="8"/>
      <c r="G139" s="8"/>
      <c r="H139" s="8"/>
      <c r="I139" s="8"/>
      <c r="J139" s="8"/>
      <c r="K139" s="8"/>
      <c r="L139" s="8"/>
      <c r="M139" s="8"/>
      <c r="N139" s="8"/>
      <c r="O139" s="142"/>
      <c r="P139" s="88">
        <f t="shared" si="107"/>
        <v>528</v>
      </c>
      <c r="Q139" s="160">
        <f>Q138-1</f>
        <v>33</v>
      </c>
      <c r="R139" s="152">
        <f t="shared" ref="R139:W139" si="177">R138</f>
        <v>17</v>
      </c>
      <c r="S139" s="152">
        <f t="shared" si="177"/>
        <v>17</v>
      </c>
      <c r="T139" s="134">
        <f t="shared" si="177"/>
        <v>66</v>
      </c>
      <c r="U139" s="134">
        <f t="shared" si="177"/>
        <v>66</v>
      </c>
      <c r="V139" s="134">
        <f t="shared" si="177"/>
        <v>33</v>
      </c>
      <c r="W139" s="134">
        <f t="shared" si="177"/>
        <v>33</v>
      </c>
      <c r="X139" s="134">
        <f t="shared" si="176"/>
        <v>132</v>
      </c>
      <c r="Y139" s="22"/>
      <c r="Z139" s="22">
        <f>Z138+70</f>
        <v>11305</v>
      </c>
      <c r="AA139" s="22">
        <f>AA138+45</f>
        <v>6270</v>
      </c>
      <c r="AB139" s="22">
        <f t="shared" ref="AB139:AE139" si="178">AB138</f>
        <v>5715</v>
      </c>
      <c r="AC139" s="22">
        <f t="shared" si="178"/>
        <v>3135</v>
      </c>
      <c r="AD139" s="22">
        <f t="shared" si="178"/>
        <v>6375</v>
      </c>
      <c r="AE139" s="22">
        <f t="shared" si="178"/>
        <v>3795</v>
      </c>
      <c r="AF139" s="22"/>
      <c r="AG139" s="22"/>
      <c r="AH139" s="22"/>
      <c r="AI139" s="153"/>
      <c r="AJ139" s="22"/>
      <c r="AK139" s="22"/>
      <c r="AL139" s="22"/>
      <c r="AM139" s="22"/>
      <c r="AN139" s="22"/>
      <c r="AO139" s="22"/>
      <c r="AP139" s="22"/>
      <c r="AQ139" s="134"/>
      <c r="AR139" s="134"/>
      <c r="AS139" s="90"/>
      <c r="AT139" s="91"/>
      <c r="AU139" s="91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</row>
    <row r="140" ht="12.75" customHeight="1">
      <c r="A140" s="8"/>
      <c r="B140" s="8"/>
      <c r="C140" s="232"/>
      <c r="D140" s="232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142"/>
      <c r="P140" s="88">
        <f t="shared" si="107"/>
        <v>532</v>
      </c>
      <c r="Q140" s="160">
        <f t="shared" ref="Q140:X140" si="179">Q139+1</f>
        <v>34</v>
      </c>
      <c r="R140" s="152">
        <f t="shared" si="179"/>
        <v>18</v>
      </c>
      <c r="S140" s="152">
        <f t="shared" si="179"/>
        <v>18</v>
      </c>
      <c r="T140" s="134">
        <f t="shared" si="179"/>
        <v>67</v>
      </c>
      <c r="U140" s="134">
        <f t="shared" si="179"/>
        <v>67</v>
      </c>
      <c r="V140" s="134">
        <f t="shared" si="179"/>
        <v>34</v>
      </c>
      <c r="W140" s="134">
        <f t="shared" si="179"/>
        <v>34</v>
      </c>
      <c r="X140" s="134">
        <f t="shared" si="179"/>
        <v>133</v>
      </c>
      <c r="Y140" s="22"/>
      <c r="Z140" s="22">
        <f>Z139+100</f>
        <v>11405</v>
      </c>
      <c r="AA140" s="22">
        <f>AA139+50</f>
        <v>6320</v>
      </c>
      <c r="AB140" s="22">
        <f>AB139+80</f>
        <v>5795</v>
      </c>
      <c r="AC140" s="22">
        <f>AC139+50</f>
        <v>3185</v>
      </c>
      <c r="AD140" s="22">
        <f>AD139+100</f>
        <v>6475</v>
      </c>
      <c r="AE140" s="22">
        <f>AE139+70</f>
        <v>3865</v>
      </c>
      <c r="AF140" s="22"/>
      <c r="AG140" s="22"/>
      <c r="AH140" s="22"/>
      <c r="AI140" s="153"/>
      <c r="AJ140" s="22"/>
      <c r="AK140" s="22"/>
      <c r="AL140" s="22"/>
      <c r="AM140" s="22"/>
      <c r="AN140" s="22"/>
      <c r="AO140" s="22"/>
      <c r="AP140" s="22"/>
      <c r="AQ140" s="134"/>
      <c r="AR140" s="134"/>
      <c r="AS140" s="90"/>
      <c r="AT140" s="91"/>
      <c r="AU140" s="91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</row>
    <row r="141" ht="12.75" customHeight="1">
      <c r="A141" s="8">
        <v>8.0</v>
      </c>
      <c r="B141" s="8">
        <v>4.0</v>
      </c>
      <c r="C141" s="232"/>
      <c r="D141" s="232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142"/>
      <c r="P141" s="88">
        <f t="shared" si="107"/>
        <v>536</v>
      </c>
      <c r="Q141" s="160">
        <f t="shared" ref="Q141:W141" si="180">Q140</f>
        <v>34</v>
      </c>
      <c r="R141" s="152">
        <f t="shared" si="180"/>
        <v>18</v>
      </c>
      <c r="S141" s="152">
        <f t="shared" si="180"/>
        <v>18</v>
      </c>
      <c r="T141" s="134">
        <f t="shared" si="180"/>
        <v>67</v>
      </c>
      <c r="U141" s="134">
        <f t="shared" si="180"/>
        <v>67</v>
      </c>
      <c r="V141" s="134">
        <f t="shared" si="180"/>
        <v>34</v>
      </c>
      <c r="W141" s="134">
        <f t="shared" si="180"/>
        <v>34</v>
      </c>
      <c r="X141" s="134">
        <f t="shared" ref="X141:X143" si="185">X140+1</f>
        <v>134</v>
      </c>
      <c r="Y141" s="22"/>
      <c r="Z141" s="22">
        <f>Z140+90</f>
        <v>11495</v>
      </c>
      <c r="AA141" s="22">
        <f>AA140+45</f>
        <v>6365</v>
      </c>
      <c r="AB141" s="22">
        <f t="shared" ref="AB141:AE141" si="181">AB140</f>
        <v>5795</v>
      </c>
      <c r="AC141" s="22">
        <f t="shared" si="181"/>
        <v>3185</v>
      </c>
      <c r="AD141" s="22">
        <f t="shared" si="181"/>
        <v>6475</v>
      </c>
      <c r="AE141" s="22">
        <f t="shared" si="181"/>
        <v>3865</v>
      </c>
      <c r="AF141" s="22"/>
      <c r="AG141" s="22"/>
      <c r="AH141" s="22"/>
      <c r="AI141" s="153"/>
      <c r="AJ141" s="22"/>
      <c r="AK141" s="22"/>
      <c r="AL141" s="22"/>
      <c r="AM141" s="22"/>
      <c r="AN141" s="22"/>
      <c r="AO141" s="22"/>
      <c r="AP141" s="22"/>
      <c r="AQ141" s="134"/>
      <c r="AR141" s="134"/>
      <c r="AS141" s="90"/>
      <c r="AT141" s="91"/>
      <c r="AU141" s="91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</row>
    <row r="142" ht="12.75" customHeight="1">
      <c r="A142" s="8">
        <f t="shared" ref="A142:A230" si="186">A141+8</f>
        <v>16</v>
      </c>
      <c r="B142" s="8">
        <f t="shared" ref="B142:B320" si="187">B141+4</f>
        <v>8</v>
      </c>
      <c r="C142" s="232"/>
      <c r="D142" s="232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142"/>
      <c r="P142" s="88">
        <f t="shared" si="107"/>
        <v>540</v>
      </c>
      <c r="Q142" s="160">
        <f>Q141+1</f>
        <v>35</v>
      </c>
      <c r="R142" s="152">
        <f t="shared" ref="R142:S142" si="182">R141-1</f>
        <v>17</v>
      </c>
      <c r="S142" s="152">
        <f t="shared" si="182"/>
        <v>17</v>
      </c>
      <c r="T142" s="134">
        <f t="shared" ref="T142:U142" si="183">T141+1</f>
        <v>68</v>
      </c>
      <c r="U142" s="134">
        <f t="shared" si="183"/>
        <v>68</v>
      </c>
      <c r="V142" s="134">
        <f t="shared" ref="V142:W142" si="184">V141</f>
        <v>34</v>
      </c>
      <c r="W142" s="134">
        <f t="shared" si="184"/>
        <v>34</v>
      </c>
      <c r="X142" s="134">
        <f t="shared" si="185"/>
        <v>135</v>
      </c>
      <c r="Y142" s="22"/>
      <c r="Z142" s="22">
        <f>Z141+80</f>
        <v>11575</v>
      </c>
      <c r="AA142" s="22">
        <f>AA141+50</f>
        <v>6415</v>
      </c>
      <c r="AB142" s="22">
        <f>AB141+70</f>
        <v>5865</v>
      </c>
      <c r="AC142" s="22">
        <f>AC141+45</f>
        <v>3230</v>
      </c>
      <c r="AD142" s="22">
        <f>AD141+70</f>
        <v>6545</v>
      </c>
      <c r="AE142" s="22">
        <f>45+AE141</f>
        <v>3910</v>
      </c>
      <c r="AF142" s="22"/>
      <c r="AG142" s="22"/>
      <c r="AH142" s="22"/>
      <c r="AI142" s="153"/>
      <c r="AJ142" s="22"/>
      <c r="AK142" s="22"/>
      <c r="AL142" s="22"/>
      <c r="AM142" s="22"/>
      <c r="AN142" s="22"/>
      <c r="AO142" s="22"/>
      <c r="AP142" s="22"/>
      <c r="AQ142" s="134"/>
      <c r="AR142" s="134"/>
      <c r="AS142" s="90"/>
      <c r="AT142" s="91"/>
      <c r="AU142" s="91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</row>
    <row r="143" ht="12.75" customHeight="1">
      <c r="A143" s="8">
        <f t="shared" si="186"/>
        <v>24</v>
      </c>
      <c r="B143" s="8">
        <f t="shared" si="187"/>
        <v>12</v>
      </c>
      <c r="C143" s="232"/>
      <c r="D143" s="232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142"/>
      <c r="P143" s="88">
        <f t="shared" si="107"/>
        <v>544</v>
      </c>
      <c r="Q143" s="160">
        <f>Q142-1</f>
        <v>34</v>
      </c>
      <c r="R143" s="152">
        <f t="shared" ref="R143:W143" si="188">R142</f>
        <v>17</v>
      </c>
      <c r="S143" s="152">
        <f t="shared" si="188"/>
        <v>17</v>
      </c>
      <c r="T143" s="134">
        <f t="shared" si="188"/>
        <v>68</v>
      </c>
      <c r="U143" s="134">
        <f t="shared" si="188"/>
        <v>68</v>
      </c>
      <c r="V143" s="134">
        <f t="shared" si="188"/>
        <v>34</v>
      </c>
      <c r="W143" s="134">
        <f t="shared" si="188"/>
        <v>34</v>
      </c>
      <c r="X143" s="134">
        <f t="shared" si="185"/>
        <v>136</v>
      </c>
      <c r="Y143" s="22"/>
      <c r="Z143" s="22">
        <f>Z142+70</f>
        <v>11645</v>
      </c>
      <c r="AA143" s="22">
        <f>AA142+45</f>
        <v>6460</v>
      </c>
      <c r="AB143" s="22">
        <f t="shared" ref="AB143:AE143" si="189">AB142</f>
        <v>5865</v>
      </c>
      <c r="AC143" s="22">
        <f t="shared" si="189"/>
        <v>3230</v>
      </c>
      <c r="AD143" s="22">
        <f t="shared" si="189"/>
        <v>6545</v>
      </c>
      <c r="AE143" s="22">
        <f t="shared" si="189"/>
        <v>3910</v>
      </c>
      <c r="AF143" s="22"/>
      <c r="AG143" s="22"/>
      <c r="AH143" s="22"/>
      <c r="AI143" s="153"/>
      <c r="AJ143" s="22"/>
      <c r="AK143" s="22"/>
      <c r="AL143" s="22"/>
      <c r="AM143" s="22"/>
      <c r="AN143" s="22"/>
      <c r="AO143" s="22"/>
      <c r="AP143" s="22"/>
      <c r="AQ143" s="134"/>
      <c r="AR143" s="134"/>
      <c r="AS143" s="90"/>
      <c r="AT143" s="91"/>
      <c r="AU143" s="91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</row>
    <row r="144" ht="12.75" customHeight="1">
      <c r="A144" s="8">
        <f t="shared" si="186"/>
        <v>32</v>
      </c>
      <c r="B144" s="8">
        <f t="shared" si="187"/>
        <v>16</v>
      </c>
      <c r="C144" s="232"/>
      <c r="D144" s="232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142"/>
      <c r="P144" s="88">
        <f t="shared" si="107"/>
        <v>548</v>
      </c>
      <c r="Q144" s="160">
        <f t="shared" ref="Q144:X144" si="190">Q143+1</f>
        <v>35</v>
      </c>
      <c r="R144" s="152">
        <f t="shared" si="190"/>
        <v>18</v>
      </c>
      <c r="S144" s="152">
        <f t="shared" si="190"/>
        <v>18</v>
      </c>
      <c r="T144" s="134">
        <f t="shared" si="190"/>
        <v>69</v>
      </c>
      <c r="U144" s="134">
        <f t="shared" si="190"/>
        <v>69</v>
      </c>
      <c r="V144" s="134">
        <f t="shared" si="190"/>
        <v>35</v>
      </c>
      <c r="W144" s="134">
        <f t="shared" si="190"/>
        <v>35</v>
      </c>
      <c r="X144" s="134">
        <f t="shared" si="190"/>
        <v>137</v>
      </c>
      <c r="Y144" s="22"/>
      <c r="Z144" s="22">
        <f>Z143+100</f>
        <v>11745</v>
      </c>
      <c r="AA144" s="22">
        <f>AA143+50</f>
        <v>6510</v>
      </c>
      <c r="AB144" s="22">
        <f>AB143+100</f>
        <v>5965</v>
      </c>
      <c r="AC144" s="22">
        <f>AC143+50</f>
        <v>3280</v>
      </c>
      <c r="AD144" s="22">
        <f>AD143+120</f>
        <v>6665</v>
      </c>
      <c r="AE144" s="22">
        <f>AE143+70</f>
        <v>3980</v>
      </c>
      <c r="AF144" s="22"/>
      <c r="AG144" s="22"/>
      <c r="AH144" s="22"/>
      <c r="AI144" s="153"/>
      <c r="AJ144" s="22"/>
      <c r="AK144" s="22"/>
      <c r="AL144" s="22"/>
      <c r="AM144" s="22"/>
      <c r="AN144" s="22"/>
      <c r="AO144" s="22"/>
      <c r="AP144" s="22"/>
      <c r="AQ144" s="134"/>
      <c r="AR144" s="134"/>
      <c r="AS144" s="90"/>
      <c r="AT144" s="91"/>
      <c r="AU144" s="91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</row>
    <row r="145" ht="12.75" customHeight="1">
      <c r="A145" s="8">
        <f t="shared" si="186"/>
        <v>40</v>
      </c>
      <c r="B145" s="8">
        <f t="shared" si="187"/>
        <v>20</v>
      </c>
      <c r="C145" s="232"/>
      <c r="D145" s="232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142"/>
      <c r="P145" s="88">
        <f t="shared" si="107"/>
        <v>552</v>
      </c>
      <c r="Q145" s="160">
        <f t="shared" ref="Q145:W145" si="191">Q144</f>
        <v>35</v>
      </c>
      <c r="R145" s="152">
        <f t="shared" si="191"/>
        <v>18</v>
      </c>
      <c r="S145" s="152">
        <f t="shared" si="191"/>
        <v>18</v>
      </c>
      <c r="T145" s="134">
        <f t="shared" si="191"/>
        <v>69</v>
      </c>
      <c r="U145" s="134">
        <f t="shared" si="191"/>
        <v>69</v>
      </c>
      <c r="V145" s="134">
        <f t="shared" si="191"/>
        <v>35</v>
      </c>
      <c r="W145" s="134">
        <f t="shared" si="191"/>
        <v>35</v>
      </c>
      <c r="X145" s="134">
        <f t="shared" ref="X145:X147" si="196">X144+1</f>
        <v>138</v>
      </c>
      <c r="Y145" s="22"/>
      <c r="Z145" s="22">
        <f>Z144+90</f>
        <v>11835</v>
      </c>
      <c r="AA145" s="22">
        <f>AA144+45</f>
        <v>6555</v>
      </c>
      <c r="AB145" s="22">
        <f t="shared" ref="AB145:AE145" si="192">AB144</f>
        <v>5965</v>
      </c>
      <c r="AC145" s="22">
        <f t="shared" si="192"/>
        <v>3280</v>
      </c>
      <c r="AD145" s="22">
        <f t="shared" si="192"/>
        <v>6665</v>
      </c>
      <c r="AE145" s="22">
        <f t="shared" si="192"/>
        <v>3980</v>
      </c>
      <c r="AF145" s="22"/>
      <c r="AG145" s="22"/>
      <c r="AH145" s="22"/>
      <c r="AI145" s="153"/>
      <c r="AJ145" s="22"/>
      <c r="AK145" s="22"/>
      <c r="AL145" s="22"/>
      <c r="AM145" s="22"/>
      <c r="AN145" s="22"/>
      <c r="AO145" s="22"/>
      <c r="AP145" s="22"/>
      <c r="AQ145" s="134"/>
      <c r="AR145" s="134"/>
      <c r="AS145" s="90"/>
      <c r="AT145" s="91"/>
      <c r="AU145" s="91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</row>
    <row r="146" ht="12.75" customHeight="1">
      <c r="A146" s="8">
        <f t="shared" si="186"/>
        <v>48</v>
      </c>
      <c r="B146" s="8">
        <f t="shared" si="187"/>
        <v>24</v>
      </c>
      <c r="C146" s="232"/>
      <c r="D146" s="232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142"/>
      <c r="P146" s="88">
        <f t="shared" si="107"/>
        <v>556</v>
      </c>
      <c r="Q146" s="160">
        <f>Q145+1</f>
        <v>36</v>
      </c>
      <c r="R146" s="152">
        <f t="shared" ref="R146:S146" si="193">R145</f>
        <v>18</v>
      </c>
      <c r="S146" s="152">
        <f t="shared" si="193"/>
        <v>18</v>
      </c>
      <c r="T146" s="134">
        <f t="shared" ref="T146:U146" si="194">T145+1</f>
        <v>70</v>
      </c>
      <c r="U146" s="134">
        <f t="shared" si="194"/>
        <v>70</v>
      </c>
      <c r="V146" s="134">
        <f t="shared" ref="V146:W146" si="195">V145</f>
        <v>35</v>
      </c>
      <c r="W146" s="134">
        <f t="shared" si="195"/>
        <v>35</v>
      </c>
      <c r="X146" s="134">
        <f t="shared" si="196"/>
        <v>139</v>
      </c>
      <c r="Y146" s="22"/>
      <c r="Z146" s="22">
        <f>Z145+80</f>
        <v>11915</v>
      </c>
      <c r="AA146" s="22">
        <f>AA145+50</f>
        <v>6605</v>
      </c>
      <c r="AB146" s="22">
        <f>AB145+90</f>
        <v>6055</v>
      </c>
      <c r="AC146" s="22">
        <f>AC145+45</f>
        <v>3325</v>
      </c>
      <c r="AD146" s="22">
        <f>AD145+90</f>
        <v>6755</v>
      </c>
      <c r="AE146" s="22">
        <f>45+AE145</f>
        <v>4025</v>
      </c>
      <c r="AF146" s="22"/>
      <c r="AG146" s="22"/>
      <c r="AH146" s="22"/>
      <c r="AI146" s="153"/>
      <c r="AJ146" s="22"/>
      <c r="AK146" s="22"/>
      <c r="AL146" s="22"/>
      <c r="AM146" s="22"/>
      <c r="AN146" s="22"/>
      <c r="AO146" s="22"/>
      <c r="AP146" s="22"/>
      <c r="AQ146" s="134"/>
      <c r="AR146" s="134"/>
      <c r="AS146" s="90"/>
      <c r="AT146" s="91"/>
      <c r="AU146" s="91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</row>
    <row r="147" ht="12.75" customHeight="1">
      <c r="A147" s="8">
        <f t="shared" si="186"/>
        <v>56</v>
      </c>
      <c r="B147" s="8">
        <f t="shared" si="187"/>
        <v>28</v>
      </c>
      <c r="C147" s="8" t="s">
        <v>105</v>
      </c>
      <c r="D147" s="232" t="s">
        <v>190</v>
      </c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142"/>
      <c r="P147" s="88">
        <f t="shared" si="107"/>
        <v>560</v>
      </c>
      <c r="Q147" s="160">
        <f>Q146-1</f>
        <v>35</v>
      </c>
      <c r="R147" s="152">
        <f t="shared" ref="R147:W147" si="197">R146</f>
        <v>18</v>
      </c>
      <c r="S147" s="152">
        <f t="shared" si="197"/>
        <v>18</v>
      </c>
      <c r="T147" s="134">
        <f t="shared" si="197"/>
        <v>70</v>
      </c>
      <c r="U147" s="134">
        <f t="shared" si="197"/>
        <v>70</v>
      </c>
      <c r="V147" s="134">
        <f t="shared" si="197"/>
        <v>35</v>
      </c>
      <c r="W147" s="134">
        <f t="shared" si="197"/>
        <v>35</v>
      </c>
      <c r="X147" s="134">
        <f t="shared" si="196"/>
        <v>140</v>
      </c>
      <c r="Y147" s="22"/>
      <c r="Z147" s="22">
        <f>Z146+70</f>
        <v>11985</v>
      </c>
      <c r="AA147" s="22">
        <f>AA146+45</f>
        <v>6650</v>
      </c>
      <c r="AB147" s="22">
        <f t="shared" ref="AB147:AE147" si="198">AB146</f>
        <v>6055</v>
      </c>
      <c r="AC147" s="22">
        <f t="shared" si="198"/>
        <v>3325</v>
      </c>
      <c r="AD147" s="22">
        <f t="shared" si="198"/>
        <v>6755</v>
      </c>
      <c r="AE147" s="22">
        <f t="shared" si="198"/>
        <v>4025</v>
      </c>
      <c r="AF147" s="22"/>
      <c r="AG147" s="22"/>
      <c r="AH147" s="22"/>
      <c r="AI147" s="153"/>
      <c r="AJ147" s="22"/>
      <c r="AK147" s="22"/>
      <c r="AL147" s="22"/>
      <c r="AM147" s="22"/>
      <c r="AN147" s="22"/>
      <c r="AO147" s="22"/>
      <c r="AP147" s="22"/>
      <c r="AQ147" s="134"/>
      <c r="AR147" s="134"/>
      <c r="AS147" s="90"/>
      <c r="AT147" s="91"/>
      <c r="AU147" s="91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</row>
    <row r="148" ht="12.75" customHeight="1">
      <c r="A148" s="8">
        <f t="shared" si="186"/>
        <v>64</v>
      </c>
      <c r="B148" s="8">
        <f t="shared" si="187"/>
        <v>32</v>
      </c>
      <c r="C148" s="8" t="s">
        <v>106</v>
      </c>
      <c r="D148" s="232" t="s">
        <v>191</v>
      </c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142"/>
      <c r="P148" s="88">
        <f t="shared" si="107"/>
        <v>564</v>
      </c>
      <c r="Q148" s="160">
        <f t="shared" ref="Q148:X148" si="199">Q147+1</f>
        <v>36</v>
      </c>
      <c r="R148" s="152">
        <f t="shared" si="199"/>
        <v>19</v>
      </c>
      <c r="S148" s="152">
        <f t="shared" si="199"/>
        <v>19</v>
      </c>
      <c r="T148" s="134">
        <f t="shared" si="199"/>
        <v>71</v>
      </c>
      <c r="U148" s="134">
        <f t="shared" si="199"/>
        <v>71</v>
      </c>
      <c r="V148" s="134">
        <f t="shared" si="199"/>
        <v>36</v>
      </c>
      <c r="W148" s="134">
        <f t="shared" si="199"/>
        <v>36</v>
      </c>
      <c r="X148" s="134">
        <f t="shared" si="199"/>
        <v>141</v>
      </c>
      <c r="Y148" s="22"/>
      <c r="Z148" s="22">
        <f>Z147+100</f>
        <v>12085</v>
      </c>
      <c r="AA148" s="22">
        <f>AA147+50</f>
        <v>6700</v>
      </c>
      <c r="AB148" s="22">
        <f>AB147+80</f>
        <v>6135</v>
      </c>
      <c r="AC148" s="22">
        <f>AC147+50</f>
        <v>3375</v>
      </c>
      <c r="AD148" s="22">
        <f>AD147+100</f>
        <v>6855</v>
      </c>
      <c r="AE148" s="22">
        <f>AE147+70</f>
        <v>4095</v>
      </c>
      <c r="AF148" s="22"/>
      <c r="AG148" s="22"/>
      <c r="AH148" s="22"/>
      <c r="AI148" s="153"/>
      <c r="AJ148" s="22"/>
      <c r="AK148" s="22"/>
      <c r="AL148" s="22"/>
      <c r="AM148" s="22"/>
      <c r="AN148" s="22"/>
      <c r="AO148" s="22"/>
      <c r="AP148" s="22"/>
      <c r="AQ148" s="134"/>
      <c r="AR148" s="134"/>
      <c r="AS148" s="90"/>
      <c r="AT148" s="91"/>
      <c r="AU148" s="91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</row>
    <row r="149" ht="12.75" customHeight="1">
      <c r="A149" s="8">
        <f t="shared" si="186"/>
        <v>72</v>
      </c>
      <c r="B149" s="8">
        <f t="shared" si="187"/>
        <v>36</v>
      </c>
      <c r="C149" s="1" t="s">
        <v>74</v>
      </c>
      <c r="D149" s="232" t="s">
        <v>192</v>
      </c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142"/>
      <c r="P149" s="88">
        <f t="shared" si="107"/>
        <v>568</v>
      </c>
      <c r="Q149" s="160">
        <f t="shared" ref="Q149:W149" si="200">Q148</f>
        <v>36</v>
      </c>
      <c r="R149" s="152">
        <f t="shared" si="200"/>
        <v>19</v>
      </c>
      <c r="S149" s="152">
        <f t="shared" si="200"/>
        <v>19</v>
      </c>
      <c r="T149" s="134">
        <f t="shared" si="200"/>
        <v>71</v>
      </c>
      <c r="U149" s="134">
        <f t="shared" si="200"/>
        <v>71</v>
      </c>
      <c r="V149" s="134">
        <f t="shared" si="200"/>
        <v>36</v>
      </c>
      <c r="W149" s="134">
        <f t="shared" si="200"/>
        <v>36</v>
      </c>
      <c r="X149" s="134">
        <f t="shared" ref="X149:X151" si="205">X148+1</f>
        <v>142</v>
      </c>
      <c r="Y149" s="22"/>
      <c r="Z149" s="22">
        <f>Z148+90</f>
        <v>12175</v>
      </c>
      <c r="AA149" s="22">
        <f>AA148+45</f>
        <v>6745</v>
      </c>
      <c r="AB149" s="22">
        <f t="shared" ref="AB149:AE149" si="201">AB148</f>
        <v>6135</v>
      </c>
      <c r="AC149" s="22">
        <f t="shared" si="201"/>
        <v>3375</v>
      </c>
      <c r="AD149" s="22">
        <f t="shared" si="201"/>
        <v>6855</v>
      </c>
      <c r="AE149" s="22">
        <f t="shared" si="201"/>
        <v>4095</v>
      </c>
      <c r="AF149" s="22"/>
      <c r="AG149" s="22"/>
      <c r="AH149" s="22"/>
      <c r="AI149" s="153"/>
      <c r="AJ149" s="22"/>
      <c r="AK149" s="22"/>
      <c r="AL149" s="22"/>
      <c r="AM149" s="22"/>
      <c r="AN149" s="22"/>
      <c r="AO149" s="22"/>
      <c r="AP149" s="22"/>
      <c r="AQ149" s="134"/>
      <c r="AR149" s="134"/>
      <c r="AS149" s="90"/>
      <c r="AT149" s="91"/>
      <c r="AU149" s="91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</row>
    <row r="150" ht="12.75" customHeight="1">
      <c r="A150" s="8">
        <f t="shared" si="186"/>
        <v>80</v>
      </c>
      <c r="B150" s="8">
        <f t="shared" si="187"/>
        <v>40</v>
      </c>
      <c r="C150" s="1" t="s">
        <v>87</v>
      </c>
      <c r="D150" s="232" t="s">
        <v>67</v>
      </c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142"/>
      <c r="P150" s="88">
        <f t="shared" si="107"/>
        <v>572</v>
      </c>
      <c r="Q150" s="160">
        <f>Q149+1</f>
        <v>37</v>
      </c>
      <c r="R150" s="152">
        <f t="shared" ref="R150:S150" si="202">R149-1</f>
        <v>18</v>
      </c>
      <c r="S150" s="152">
        <f t="shared" si="202"/>
        <v>18</v>
      </c>
      <c r="T150" s="134">
        <f t="shared" ref="T150:U150" si="203">T149+1</f>
        <v>72</v>
      </c>
      <c r="U150" s="134">
        <f t="shared" si="203"/>
        <v>72</v>
      </c>
      <c r="V150" s="134">
        <f t="shared" ref="V150:W150" si="204">V149</f>
        <v>36</v>
      </c>
      <c r="W150" s="134">
        <f t="shared" si="204"/>
        <v>36</v>
      </c>
      <c r="X150" s="134">
        <f t="shared" si="205"/>
        <v>143</v>
      </c>
      <c r="Y150" s="22"/>
      <c r="Z150" s="22">
        <f>Z149+80</f>
        <v>12255</v>
      </c>
      <c r="AA150" s="22">
        <f>AA149+50</f>
        <v>6795</v>
      </c>
      <c r="AB150" s="22">
        <f>AB149+70</f>
        <v>6205</v>
      </c>
      <c r="AC150" s="22">
        <f>AC149+45</f>
        <v>3420</v>
      </c>
      <c r="AD150" s="22">
        <f>AD149+70</f>
        <v>6925</v>
      </c>
      <c r="AE150" s="22">
        <f>45+AE149</f>
        <v>4140</v>
      </c>
      <c r="AF150" s="22"/>
      <c r="AG150" s="22"/>
      <c r="AH150" s="22"/>
      <c r="AI150" s="153"/>
      <c r="AJ150" s="22"/>
      <c r="AK150" s="22"/>
      <c r="AL150" s="22"/>
      <c r="AM150" s="22"/>
      <c r="AN150" s="22"/>
      <c r="AO150" s="22"/>
      <c r="AP150" s="22"/>
      <c r="AQ150" s="134"/>
      <c r="AR150" s="134"/>
      <c r="AS150" s="90"/>
      <c r="AT150" s="91"/>
      <c r="AU150" s="91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</row>
    <row r="151" ht="12.75" customHeight="1">
      <c r="A151" s="8">
        <f t="shared" si="186"/>
        <v>88</v>
      </c>
      <c r="B151" s="8">
        <f t="shared" si="187"/>
        <v>44</v>
      </c>
      <c r="C151" s="232"/>
      <c r="D151" s="232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142"/>
      <c r="P151" s="88">
        <f t="shared" si="107"/>
        <v>576</v>
      </c>
      <c r="Q151" s="160">
        <f>Q150-1</f>
        <v>36</v>
      </c>
      <c r="R151" s="152">
        <f t="shared" ref="R151:W151" si="206">R150</f>
        <v>18</v>
      </c>
      <c r="S151" s="152">
        <f t="shared" si="206"/>
        <v>18</v>
      </c>
      <c r="T151" s="134">
        <f t="shared" si="206"/>
        <v>72</v>
      </c>
      <c r="U151" s="134">
        <f t="shared" si="206"/>
        <v>72</v>
      </c>
      <c r="V151" s="134">
        <f t="shared" si="206"/>
        <v>36</v>
      </c>
      <c r="W151" s="134">
        <f t="shared" si="206"/>
        <v>36</v>
      </c>
      <c r="X151" s="134">
        <f t="shared" si="205"/>
        <v>144</v>
      </c>
      <c r="Y151" s="22"/>
      <c r="Z151" s="22">
        <f>Z150+70</f>
        <v>12325</v>
      </c>
      <c r="AA151" s="22">
        <f>AA150+45</f>
        <v>6840</v>
      </c>
      <c r="AB151" s="22">
        <f t="shared" ref="AB151:AE151" si="207">AB150</f>
        <v>6205</v>
      </c>
      <c r="AC151" s="22">
        <f t="shared" si="207"/>
        <v>3420</v>
      </c>
      <c r="AD151" s="22">
        <f t="shared" si="207"/>
        <v>6925</v>
      </c>
      <c r="AE151" s="22">
        <f t="shared" si="207"/>
        <v>4140</v>
      </c>
      <c r="AF151" s="22"/>
      <c r="AG151" s="22"/>
      <c r="AH151" s="22"/>
      <c r="AI151" s="153"/>
      <c r="AJ151" s="22"/>
      <c r="AK151" s="22"/>
      <c r="AL151" s="22"/>
      <c r="AM151" s="22"/>
      <c r="AN151" s="22"/>
      <c r="AO151" s="22"/>
      <c r="AP151" s="22"/>
      <c r="AQ151" s="134"/>
      <c r="AR151" s="134"/>
      <c r="AS151" s="90"/>
      <c r="AT151" s="91"/>
      <c r="AU151" s="91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</row>
    <row r="152" ht="12.75" customHeight="1">
      <c r="A152" s="8">
        <f t="shared" si="186"/>
        <v>96</v>
      </c>
      <c r="B152" s="8">
        <f t="shared" si="187"/>
        <v>48</v>
      </c>
      <c r="C152" s="232"/>
      <c r="D152" s="232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142"/>
      <c r="P152" s="88">
        <f t="shared" si="107"/>
        <v>580</v>
      </c>
      <c r="Q152" s="160">
        <f t="shared" ref="Q152:X152" si="208">Q151+1</f>
        <v>37</v>
      </c>
      <c r="R152" s="152">
        <f t="shared" si="208"/>
        <v>19</v>
      </c>
      <c r="S152" s="152">
        <f t="shared" si="208"/>
        <v>19</v>
      </c>
      <c r="T152" s="134">
        <f t="shared" si="208"/>
        <v>73</v>
      </c>
      <c r="U152" s="134">
        <f t="shared" si="208"/>
        <v>73</v>
      </c>
      <c r="V152" s="134">
        <f t="shared" si="208"/>
        <v>37</v>
      </c>
      <c r="W152" s="134">
        <f t="shared" si="208"/>
        <v>37</v>
      </c>
      <c r="X152" s="134">
        <f t="shared" si="208"/>
        <v>145</v>
      </c>
      <c r="Y152" s="22"/>
      <c r="Z152" s="22">
        <f>Z151+100</f>
        <v>12425</v>
      </c>
      <c r="AA152" s="22">
        <f>AA151+50</f>
        <v>6890</v>
      </c>
      <c r="AB152" s="22">
        <f>AB151+100</f>
        <v>6305</v>
      </c>
      <c r="AC152" s="22">
        <f>AC151+50</f>
        <v>3470</v>
      </c>
      <c r="AD152" s="22">
        <f>AD151+120</f>
        <v>7045</v>
      </c>
      <c r="AE152" s="22">
        <f>AE151+70</f>
        <v>4210</v>
      </c>
      <c r="AF152" s="22"/>
      <c r="AG152" s="22"/>
      <c r="AH152" s="22"/>
      <c r="AI152" s="153"/>
      <c r="AJ152" s="22"/>
      <c r="AK152" s="22"/>
      <c r="AL152" s="22"/>
      <c r="AM152" s="22"/>
      <c r="AN152" s="22"/>
      <c r="AO152" s="22"/>
      <c r="AP152" s="22"/>
      <c r="AQ152" s="134"/>
      <c r="AR152" s="134"/>
      <c r="AS152" s="90"/>
      <c r="AT152" s="91"/>
      <c r="AU152" s="91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</row>
    <row r="153" ht="12.75" customHeight="1">
      <c r="A153" s="8">
        <f t="shared" si="186"/>
        <v>104</v>
      </c>
      <c r="B153" s="8">
        <f t="shared" si="187"/>
        <v>52</v>
      </c>
      <c r="C153" s="8" t="s">
        <v>105</v>
      </c>
      <c r="D153" s="232" t="s">
        <v>193</v>
      </c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142"/>
      <c r="P153" s="88">
        <f t="shared" si="107"/>
        <v>584</v>
      </c>
      <c r="Q153" s="160">
        <f t="shared" ref="Q153:W153" si="209">Q152</f>
        <v>37</v>
      </c>
      <c r="R153" s="152">
        <f t="shared" si="209"/>
        <v>19</v>
      </c>
      <c r="S153" s="152">
        <f t="shared" si="209"/>
        <v>19</v>
      </c>
      <c r="T153" s="134">
        <f t="shared" si="209"/>
        <v>73</v>
      </c>
      <c r="U153" s="134">
        <f t="shared" si="209"/>
        <v>73</v>
      </c>
      <c r="V153" s="134">
        <f t="shared" si="209"/>
        <v>37</v>
      </c>
      <c r="W153" s="134">
        <f t="shared" si="209"/>
        <v>37</v>
      </c>
      <c r="X153" s="134">
        <f t="shared" ref="X153:X155" si="214">X152+1</f>
        <v>146</v>
      </c>
      <c r="Y153" s="22"/>
      <c r="Z153" s="22">
        <f>Z152+90</f>
        <v>12515</v>
      </c>
      <c r="AA153" s="22">
        <f>AA152+45</f>
        <v>6935</v>
      </c>
      <c r="AB153" s="22">
        <f t="shared" ref="AB153:AE153" si="210">AB152</f>
        <v>6305</v>
      </c>
      <c r="AC153" s="22">
        <f t="shared" si="210"/>
        <v>3470</v>
      </c>
      <c r="AD153" s="22">
        <f t="shared" si="210"/>
        <v>7045</v>
      </c>
      <c r="AE153" s="22">
        <f t="shared" si="210"/>
        <v>4210</v>
      </c>
      <c r="AF153" s="22"/>
      <c r="AG153" s="22"/>
      <c r="AH153" s="22"/>
      <c r="AI153" s="153"/>
      <c r="AJ153" s="22"/>
      <c r="AK153" s="22"/>
      <c r="AL153" s="22"/>
      <c r="AM153" s="22"/>
      <c r="AN153" s="22"/>
      <c r="AO153" s="22"/>
      <c r="AP153" s="22"/>
      <c r="AQ153" s="134"/>
      <c r="AR153" s="134"/>
      <c r="AS153" s="90"/>
      <c r="AT153" s="91"/>
      <c r="AU153" s="91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</row>
    <row r="154" ht="12.75" customHeight="1">
      <c r="A154" s="8">
        <f t="shared" si="186"/>
        <v>112</v>
      </c>
      <c r="B154" s="8">
        <f t="shared" si="187"/>
        <v>56</v>
      </c>
      <c r="C154" s="8" t="s">
        <v>106</v>
      </c>
      <c r="D154" s="232" t="s">
        <v>194</v>
      </c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142"/>
      <c r="P154" s="88">
        <f t="shared" si="107"/>
        <v>588</v>
      </c>
      <c r="Q154" s="160">
        <f>Q153+1</f>
        <v>38</v>
      </c>
      <c r="R154" s="152">
        <f t="shared" ref="R154:S154" si="211">R153</f>
        <v>19</v>
      </c>
      <c r="S154" s="152">
        <f t="shared" si="211"/>
        <v>19</v>
      </c>
      <c r="T154" s="134">
        <f t="shared" ref="T154:U154" si="212">T153+1</f>
        <v>74</v>
      </c>
      <c r="U154" s="134">
        <f t="shared" si="212"/>
        <v>74</v>
      </c>
      <c r="V154" s="134">
        <f t="shared" ref="V154:W154" si="213">V153</f>
        <v>37</v>
      </c>
      <c r="W154" s="134">
        <f t="shared" si="213"/>
        <v>37</v>
      </c>
      <c r="X154" s="134">
        <f t="shared" si="214"/>
        <v>147</v>
      </c>
      <c r="Y154" s="22"/>
      <c r="Z154" s="22">
        <f>Z153+80</f>
        <v>12595</v>
      </c>
      <c r="AA154" s="22">
        <f>AA153+50</f>
        <v>6985</v>
      </c>
      <c r="AB154" s="22">
        <f>AB153+90</f>
        <v>6395</v>
      </c>
      <c r="AC154" s="22">
        <f>AC153+45</f>
        <v>3515</v>
      </c>
      <c r="AD154" s="22">
        <f>AD153+90</f>
        <v>7135</v>
      </c>
      <c r="AE154" s="22">
        <f>45+AE153</f>
        <v>4255</v>
      </c>
      <c r="AF154" s="22"/>
      <c r="AG154" s="22"/>
      <c r="AH154" s="22"/>
      <c r="AI154" s="153"/>
      <c r="AJ154" s="22"/>
      <c r="AK154" s="22"/>
      <c r="AL154" s="22"/>
      <c r="AM154" s="22"/>
      <c r="AN154" s="22"/>
      <c r="AO154" s="22"/>
      <c r="AP154" s="22"/>
      <c r="AQ154" s="134"/>
      <c r="AR154" s="134"/>
      <c r="AS154" s="90"/>
      <c r="AT154" s="91"/>
      <c r="AU154" s="91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</row>
    <row r="155" ht="12.75" customHeight="1">
      <c r="A155" s="8">
        <f t="shared" si="186"/>
        <v>120</v>
      </c>
      <c r="B155" s="8">
        <f t="shared" si="187"/>
        <v>60</v>
      </c>
      <c r="C155" s="1" t="s">
        <v>74</v>
      </c>
      <c r="D155" s="232" t="s">
        <v>195</v>
      </c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142"/>
      <c r="P155" s="88">
        <f t="shared" si="107"/>
        <v>592</v>
      </c>
      <c r="Q155" s="160">
        <f>Q154-1</f>
        <v>37</v>
      </c>
      <c r="R155" s="152">
        <f t="shared" ref="R155:W155" si="215">R154</f>
        <v>19</v>
      </c>
      <c r="S155" s="152">
        <f t="shared" si="215"/>
        <v>19</v>
      </c>
      <c r="T155" s="134">
        <f t="shared" si="215"/>
        <v>74</v>
      </c>
      <c r="U155" s="134">
        <f t="shared" si="215"/>
        <v>74</v>
      </c>
      <c r="V155" s="134">
        <f t="shared" si="215"/>
        <v>37</v>
      </c>
      <c r="W155" s="134">
        <f t="shared" si="215"/>
        <v>37</v>
      </c>
      <c r="X155" s="134">
        <f t="shared" si="214"/>
        <v>148</v>
      </c>
      <c r="Y155" s="22"/>
      <c r="Z155" s="22">
        <f>Z154+70</f>
        <v>12665</v>
      </c>
      <c r="AA155" s="22">
        <f>AA154+45</f>
        <v>7030</v>
      </c>
      <c r="AB155" s="22">
        <f t="shared" ref="AB155:AE155" si="216">AB154</f>
        <v>6395</v>
      </c>
      <c r="AC155" s="22">
        <f t="shared" si="216"/>
        <v>3515</v>
      </c>
      <c r="AD155" s="22">
        <f t="shared" si="216"/>
        <v>7135</v>
      </c>
      <c r="AE155" s="22">
        <f t="shared" si="216"/>
        <v>4255</v>
      </c>
      <c r="AF155" s="22"/>
      <c r="AG155" s="22"/>
      <c r="AH155" s="22"/>
      <c r="AI155" s="153"/>
      <c r="AJ155" s="22"/>
      <c r="AK155" s="22"/>
      <c r="AL155" s="22"/>
      <c r="AM155" s="22"/>
      <c r="AN155" s="22"/>
      <c r="AO155" s="22"/>
      <c r="AP155" s="22"/>
      <c r="AQ155" s="134"/>
      <c r="AR155" s="134"/>
      <c r="AS155" s="90"/>
      <c r="AT155" s="91"/>
      <c r="AU155" s="91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</row>
    <row r="156" ht="12.75" customHeight="1">
      <c r="A156" s="8">
        <f t="shared" si="186"/>
        <v>128</v>
      </c>
      <c r="B156" s="8">
        <f t="shared" si="187"/>
        <v>64</v>
      </c>
      <c r="C156" s="1" t="s">
        <v>87</v>
      </c>
      <c r="D156" s="232" t="s">
        <v>196</v>
      </c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142"/>
      <c r="P156" s="88">
        <f t="shared" si="107"/>
        <v>596</v>
      </c>
      <c r="Q156" s="160">
        <f t="shared" ref="Q156:X156" si="217">Q155+1</f>
        <v>38</v>
      </c>
      <c r="R156" s="152">
        <f t="shared" si="217"/>
        <v>20</v>
      </c>
      <c r="S156" s="152">
        <f t="shared" si="217"/>
        <v>20</v>
      </c>
      <c r="T156" s="134">
        <f t="shared" si="217"/>
        <v>75</v>
      </c>
      <c r="U156" s="134">
        <f t="shared" si="217"/>
        <v>75</v>
      </c>
      <c r="V156" s="134">
        <f t="shared" si="217"/>
        <v>38</v>
      </c>
      <c r="W156" s="134">
        <f t="shared" si="217"/>
        <v>38</v>
      </c>
      <c r="X156" s="134">
        <f t="shared" si="217"/>
        <v>149</v>
      </c>
      <c r="Y156" s="22"/>
      <c r="Z156" s="22">
        <f>Z155+100</f>
        <v>12765</v>
      </c>
      <c r="AA156" s="22">
        <f>AA155+50</f>
        <v>7080</v>
      </c>
      <c r="AB156" s="22">
        <f>AB155+80</f>
        <v>6475</v>
      </c>
      <c r="AC156" s="22">
        <f>AC155+50</f>
        <v>3565</v>
      </c>
      <c r="AD156" s="22">
        <f>AD155+100</f>
        <v>7235</v>
      </c>
      <c r="AE156" s="22">
        <f>AE155+70</f>
        <v>4325</v>
      </c>
      <c r="AF156" s="22"/>
      <c r="AG156" s="22"/>
      <c r="AH156" s="22"/>
      <c r="AI156" s="153"/>
      <c r="AJ156" s="22"/>
      <c r="AK156" s="22"/>
      <c r="AL156" s="22"/>
      <c r="AM156" s="22"/>
      <c r="AN156" s="22"/>
      <c r="AO156" s="22"/>
      <c r="AP156" s="22"/>
      <c r="AQ156" s="134"/>
      <c r="AR156" s="134"/>
      <c r="AS156" s="90"/>
      <c r="AT156" s="91"/>
      <c r="AU156" s="91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</row>
    <row r="157" ht="12.75" customHeight="1">
      <c r="A157" s="8">
        <f t="shared" si="186"/>
        <v>136</v>
      </c>
      <c r="B157" s="8">
        <f t="shared" si="187"/>
        <v>68</v>
      </c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142"/>
      <c r="P157" s="88">
        <f t="shared" si="107"/>
        <v>600</v>
      </c>
      <c r="Q157" s="160">
        <f t="shared" ref="Q157:W157" si="218">Q156</f>
        <v>38</v>
      </c>
      <c r="R157" s="152">
        <f t="shared" si="218"/>
        <v>20</v>
      </c>
      <c r="S157" s="152">
        <f t="shared" si="218"/>
        <v>20</v>
      </c>
      <c r="T157" s="134">
        <f t="shared" si="218"/>
        <v>75</v>
      </c>
      <c r="U157" s="134">
        <f t="shared" si="218"/>
        <v>75</v>
      </c>
      <c r="V157" s="134">
        <f t="shared" si="218"/>
        <v>38</v>
      </c>
      <c r="W157" s="134">
        <f t="shared" si="218"/>
        <v>38</v>
      </c>
      <c r="X157" s="134">
        <f t="shared" ref="X157:X159" si="223">X156+1</f>
        <v>150</v>
      </c>
      <c r="Y157" s="22"/>
      <c r="Z157" s="22">
        <f>Z156+90</f>
        <v>12855</v>
      </c>
      <c r="AA157" s="22">
        <f>AA156+45</f>
        <v>7125</v>
      </c>
      <c r="AB157" s="22">
        <f t="shared" ref="AB157:AE157" si="219">AB156</f>
        <v>6475</v>
      </c>
      <c r="AC157" s="22">
        <f t="shared" si="219"/>
        <v>3565</v>
      </c>
      <c r="AD157" s="22">
        <f t="shared" si="219"/>
        <v>7235</v>
      </c>
      <c r="AE157" s="22">
        <f t="shared" si="219"/>
        <v>4325</v>
      </c>
      <c r="AF157" s="22"/>
      <c r="AG157" s="22"/>
      <c r="AH157" s="22"/>
      <c r="AI157" s="153"/>
      <c r="AJ157" s="22"/>
      <c r="AK157" s="22"/>
      <c r="AL157" s="22"/>
      <c r="AM157" s="22"/>
      <c r="AN157" s="22"/>
      <c r="AO157" s="22"/>
      <c r="AP157" s="22"/>
      <c r="AQ157" s="134"/>
      <c r="AR157" s="134"/>
      <c r="AS157" s="90"/>
      <c r="AT157" s="91"/>
      <c r="AU157" s="91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</row>
    <row r="158" ht="12.75" customHeight="1">
      <c r="A158" s="8">
        <f t="shared" si="186"/>
        <v>144</v>
      </c>
      <c r="B158" s="8">
        <f t="shared" si="187"/>
        <v>72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142"/>
      <c r="P158" s="88">
        <f t="shared" si="107"/>
        <v>604</v>
      </c>
      <c r="Q158" s="160">
        <f>Q157+1</f>
        <v>39</v>
      </c>
      <c r="R158" s="152">
        <f t="shared" ref="R158:S158" si="220">R157-1</f>
        <v>19</v>
      </c>
      <c r="S158" s="152">
        <f t="shared" si="220"/>
        <v>19</v>
      </c>
      <c r="T158" s="134">
        <f t="shared" ref="T158:U158" si="221">T157+1</f>
        <v>76</v>
      </c>
      <c r="U158" s="134">
        <f t="shared" si="221"/>
        <v>76</v>
      </c>
      <c r="V158" s="134">
        <f t="shared" ref="V158:W158" si="222">V157</f>
        <v>38</v>
      </c>
      <c r="W158" s="134">
        <f t="shared" si="222"/>
        <v>38</v>
      </c>
      <c r="X158" s="134">
        <f t="shared" si="223"/>
        <v>151</v>
      </c>
      <c r="Y158" s="22"/>
      <c r="Z158" s="22">
        <f>Z157+80</f>
        <v>12935</v>
      </c>
      <c r="AA158" s="22">
        <f>AA157+50</f>
        <v>7175</v>
      </c>
      <c r="AB158" s="22">
        <f>AB157+70</f>
        <v>6545</v>
      </c>
      <c r="AC158" s="22">
        <f>AC157+45</f>
        <v>3610</v>
      </c>
      <c r="AD158" s="22">
        <f>AD157+70</f>
        <v>7305</v>
      </c>
      <c r="AE158" s="22">
        <f>45+AE157</f>
        <v>4370</v>
      </c>
      <c r="AF158" s="22"/>
      <c r="AG158" s="22"/>
      <c r="AH158" s="22"/>
      <c r="AI158" s="153"/>
      <c r="AJ158" s="22"/>
      <c r="AK158" s="22"/>
      <c r="AL158" s="22"/>
      <c r="AM158" s="22"/>
      <c r="AN158" s="22"/>
      <c r="AO158" s="22"/>
      <c r="AP158" s="22"/>
      <c r="AQ158" s="134"/>
      <c r="AR158" s="134"/>
      <c r="AS158" s="90"/>
      <c r="AT158" s="91"/>
      <c r="AU158" s="91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</row>
    <row r="159" ht="12.75" customHeight="1">
      <c r="A159" s="8">
        <f t="shared" si="186"/>
        <v>152</v>
      </c>
      <c r="B159" s="8">
        <f t="shared" si="187"/>
        <v>76</v>
      </c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142"/>
      <c r="P159" s="88">
        <f t="shared" si="107"/>
        <v>608</v>
      </c>
      <c r="Q159" s="160">
        <f>Q158-1</f>
        <v>38</v>
      </c>
      <c r="R159" s="152">
        <f t="shared" ref="R159:W159" si="224">R158</f>
        <v>19</v>
      </c>
      <c r="S159" s="152">
        <f t="shared" si="224"/>
        <v>19</v>
      </c>
      <c r="T159" s="134">
        <f t="shared" si="224"/>
        <v>76</v>
      </c>
      <c r="U159" s="134">
        <f t="shared" si="224"/>
        <v>76</v>
      </c>
      <c r="V159" s="134">
        <f t="shared" si="224"/>
        <v>38</v>
      </c>
      <c r="W159" s="134">
        <f t="shared" si="224"/>
        <v>38</v>
      </c>
      <c r="X159" s="134">
        <f t="shared" si="223"/>
        <v>152</v>
      </c>
      <c r="Y159" s="22"/>
      <c r="Z159" s="22">
        <f>Z158+70</f>
        <v>13005</v>
      </c>
      <c r="AA159" s="22">
        <f>AA158+45</f>
        <v>7220</v>
      </c>
      <c r="AB159" s="22">
        <f t="shared" ref="AB159:AE159" si="225">AB158</f>
        <v>6545</v>
      </c>
      <c r="AC159" s="22">
        <f t="shared" si="225"/>
        <v>3610</v>
      </c>
      <c r="AD159" s="22">
        <f t="shared" si="225"/>
        <v>7305</v>
      </c>
      <c r="AE159" s="22">
        <f t="shared" si="225"/>
        <v>4370</v>
      </c>
      <c r="AF159" s="22"/>
      <c r="AG159" s="22"/>
      <c r="AH159" s="22"/>
      <c r="AI159" s="153"/>
      <c r="AJ159" s="22"/>
      <c r="AK159" s="22"/>
      <c r="AL159" s="22"/>
      <c r="AM159" s="22"/>
      <c r="AN159" s="22"/>
      <c r="AO159" s="22"/>
      <c r="AP159" s="22"/>
      <c r="AQ159" s="134"/>
      <c r="AR159" s="134"/>
      <c r="AS159" s="90"/>
      <c r="AT159" s="91"/>
      <c r="AU159" s="91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</row>
    <row r="160" ht="12.75" customHeight="1">
      <c r="A160" s="8">
        <f t="shared" si="186"/>
        <v>160</v>
      </c>
      <c r="B160" s="8">
        <f t="shared" si="187"/>
        <v>80</v>
      </c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142"/>
      <c r="P160" s="88">
        <f t="shared" si="107"/>
        <v>612</v>
      </c>
      <c r="Q160" s="160">
        <f t="shared" ref="Q160:X160" si="226">Q159+1</f>
        <v>39</v>
      </c>
      <c r="R160" s="152">
        <f t="shared" si="226"/>
        <v>20</v>
      </c>
      <c r="S160" s="152">
        <f t="shared" si="226"/>
        <v>20</v>
      </c>
      <c r="T160" s="134">
        <f t="shared" si="226"/>
        <v>77</v>
      </c>
      <c r="U160" s="134">
        <f t="shared" si="226"/>
        <v>77</v>
      </c>
      <c r="V160" s="134">
        <f t="shared" si="226"/>
        <v>39</v>
      </c>
      <c r="W160" s="134">
        <f t="shared" si="226"/>
        <v>39</v>
      </c>
      <c r="X160" s="134">
        <f t="shared" si="226"/>
        <v>153</v>
      </c>
      <c r="Y160" s="22"/>
      <c r="Z160" s="22">
        <f>Z159+100</f>
        <v>13105</v>
      </c>
      <c r="AA160" s="22">
        <f>AA159+50</f>
        <v>7270</v>
      </c>
      <c r="AB160" s="22">
        <f>AB159+100</f>
        <v>6645</v>
      </c>
      <c r="AC160" s="22">
        <f>AC159+50</f>
        <v>3660</v>
      </c>
      <c r="AD160" s="22">
        <f>AD159+120</f>
        <v>7425</v>
      </c>
      <c r="AE160" s="22">
        <f>AE159+70</f>
        <v>4440</v>
      </c>
      <c r="AF160" s="22"/>
      <c r="AG160" s="22"/>
      <c r="AH160" s="22"/>
      <c r="AI160" s="153"/>
      <c r="AJ160" s="22"/>
      <c r="AK160" s="22"/>
      <c r="AL160" s="22"/>
      <c r="AM160" s="22"/>
      <c r="AN160" s="22"/>
      <c r="AO160" s="22"/>
      <c r="AP160" s="22"/>
      <c r="AQ160" s="22"/>
      <c r="AR160" s="22"/>
      <c r="AS160" s="91"/>
      <c r="AT160" s="91"/>
      <c r="AU160" s="91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</row>
    <row r="161" ht="12.75" customHeight="1">
      <c r="A161" s="8">
        <f t="shared" si="186"/>
        <v>168</v>
      </c>
      <c r="B161" s="8">
        <f t="shared" si="187"/>
        <v>84</v>
      </c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142"/>
      <c r="P161" s="88">
        <f t="shared" si="107"/>
        <v>616</v>
      </c>
      <c r="Q161" s="160">
        <f t="shared" ref="Q161:W161" si="227">Q160</f>
        <v>39</v>
      </c>
      <c r="R161" s="152">
        <f t="shared" si="227"/>
        <v>20</v>
      </c>
      <c r="S161" s="152">
        <f t="shared" si="227"/>
        <v>20</v>
      </c>
      <c r="T161" s="134">
        <f t="shared" si="227"/>
        <v>77</v>
      </c>
      <c r="U161" s="134">
        <f t="shared" si="227"/>
        <v>77</v>
      </c>
      <c r="V161" s="134">
        <f t="shared" si="227"/>
        <v>39</v>
      </c>
      <c r="W161" s="134">
        <f t="shared" si="227"/>
        <v>39</v>
      </c>
      <c r="X161" s="134">
        <f t="shared" ref="X161:X163" si="232">X160+1</f>
        <v>154</v>
      </c>
      <c r="Y161" s="22"/>
      <c r="Z161" s="22">
        <f>Z160+90</f>
        <v>13195</v>
      </c>
      <c r="AA161" s="22">
        <f>AA160+45</f>
        <v>7315</v>
      </c>
      <c r="AB161" s="22">
        <f t="shared" ref="AB161:AE161" si="228">AB160</f>
        <v>6645</v>
      </c>
      <c r="AC161" s="22">
        <f t="shared" si="228"/>
        <v>3660</v>
      </c>
      <c r="AD161" s="22">
        <f t="shared" si="228"/>
        <v>7425</v>
      </c>
      <c r="AE161" s="22">
        <f t="shared" si="228"/>
        <v>4440</v>
      </c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91"/>
      <c r="AT161" s="91"/>
      <c r="AU161" s="91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</row>
    <row r="162" ht="12.75" customHeight="1">
      <c r="A162" s="8">
        <f t="shared" si="186"/>
        <v>176</v>
      </c>
      <c r="B162" s="8">
        <f t="shared" si="187"/>
        <v>88</v>
      </c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142"/>
      <c r="P162" s="88">
        <f t="shared" si="107"/>
        <v>620</v>
      </c>
      <c r="Q162" s="160">
        <f>Q161+1</f>
        <v>40</v>
      </c>
      <c r="R162" s="152">
        <f t="shared" ref="R162:S162" si="229">R161</f>
        <v>20</v>
      </c>
      <c r="S162" s="152">
        <f t="shared" si="229"/>
        <v>20</v>
      </c>
      <c r="T162" s="134">
        <f t="shared" ref="T162:U162" si="230">T161+1</f>
        <v>78</v>
      </c>
      <c r="U162" s="134">
        <f t="shared" si="230"/>
        <v>78</v>
      </c>
      <c r="V162" s="134">
        <f t="shared" ref="V162:W162" si="231">V161</f>
        <v>39</v>
      </c>
      <c r="W162" s="134">
        <f t="shared" si="231"/>
        <v>39</v>
      </c>
      <c r="X162" s="134">
        <f t="shared" si="232"/>
        <v>155</v>
      </c>
      <c r="Y162" s="22"/>
      <c r="Z162" s="22">
        <f>Z161+80</f>
        <v>13275</v>
      </c>
      <c r="AA162" s="22">
        <f>AA161+50</f>
        <v>7365</v>
      </c>
      <c r="AB162" s="22">
        <f>AB161+90</f>
        <v>6735</v>
      </c>
      <c r="AC162" s="22">
        <f>AC161+45</f>
        <v>3705</v>
      </c>
      <c r="AD162" s="22">
        <f>AD161+90</f>
        <v>7515</v>
      </c>
      <c r="AE162" s="22">
        <f>45+AE161</f>
        <v>4485</v>
      </c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91"/>
      <c r="AT162" s="91"/>
      <c r="AU162" s="91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</row>
    <row r="163" ht="12.75" customHeight="1">
      <c r="A163" s="8">
        <f t="shared" si="186"/>
        <v>184</v>
      </c>
      <c r="B163" s="8">
        <f t="shared" si="187"/>
        <v>92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142"/>
      <c r="P163" s="88">
        <f t="shared" si="107"/>
        <v>624</v>
      </c>
      <c r="Q163" s="160">
        <f>Q162-1</f>
        <v>39</v>
      </c>
      <c r="R163" s="152">
        <f t="shared" ref="R163:W163" si="233">R162</f>
        <v>20</v>
      </c>
      <c r="S163" s="152">
        <f t="shared" si="233"/>
        <v>20</v>
      </c>
      <c r="T163" s="134">
        <f t="shared" si="233"/>
        <v>78</v>
      </c>
      <c r="U163" s="134">
        <f t="shared" si="233"/>
        <v>78</v>
      </c>
      <c r="V163" s="134">
        <f t="shared" si="233"/>
        <v>39</v>
      </c>
      <c r="W163" s="134">
        <f t="shared" si="233"/>
        <v>39</v>
      </c>
      <c r="X163" s="134">
        <f t="shared" si="232"/>
        <v>156</v>
      </c>
      <c r="Y163" s="22"/>
      <c r="Z163" s="22">
        <f>Z162+70</f>
        <v>13345</v>
      </c>
      <c r="AA163" s="22">
        <f>AA162+45</f>
        <v>7410</v>
      </c>
      <c r="AB163" s="22">
        <f t="shared" ref="AB163:AE163" si="234">AB162</f>
        <v>6735</v>
      </c>
      <c r="AC163" s="22">
        <f t="shared" si="234"/>
        <v>3705</v>
      </c>
      <c r="AD163" s="22">
        <f t="shared" si="234"/>
        <v>7515</v>
      </c>
      <c r="AE163" s="22">
        <f t="shared" si="234"/>
        <v>4485</v>
      </c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91"/>
      <c r="AT163" s="91"/>
      <c r="AU163" s="91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</row>
    <row r="164" ht="12.75" customHeight="1">
      <c r="A164" s="8">
        <f t="shared" si="186"/>
        <v>192</v>
      </c>
      <c r="B164" s="8">
        <f t="shared" si="187"/>
        <v>96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142"/>
      <c r="P164" s="88">
        <f t="shared" si="107"/>
        <v>628</v>
      </c>
      <c r="Q164" s="160">
        <f t="shared" ref="Q164:X164" si="235">Q163+1</f>
        <v>40</v>
      </c>
      <c r="R164" s="152">
        <f t="shared" si="235"/>
        <v>21</v>
      </c>
      <c r="S164" s="152">
        <f t="shared" si="235"/>
        <v>21</v>
      </c>
      <c r="T164" s="134">
        <f t="shared" si="235"/>
        <v>79</v>
      </c>
      <c r="U164" s="134">
        <f t="shared" si="235"/>
        <v>79</v>
      </c>
      <c r="V164" s="134">
        <f t="shared" si="235"/>
        <v>40</v>
      </c>
      <c r="W164" s="134">
        <f t="shared" si="235"/>
        <v>40</v>
      </c>
      <c r="X164" s="134">
        <f t="shared" si="235"/>
        <v>157</v>
      </c>
      <c r="Y164" s="22"/>
      <c r="Z164" s="22">
        <f>Z163+100</f>
        <v>13445</v>
      </c>
      <c r="AA164" s="22">
        <f>AA163+50</f>
        <v>7460</v>
      </c>
      <c r="AB164" s="22">
        <f>AB163+80</f>
        <v>6815</v>
      </c>
      <c r="AC164" s="22">
        <f>AC163+50</f>
        <v>3755</v>
      </c>
      <c r="AD164" s="22">
        <f>AD163+100</f>
        <v>7615</v>
      </c>
      <c r="AE164" s="22">
        <f>AE163+70</f>
        <v>4555</v>
      </c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91"/>
      <c r="AT164" s="91"/>
      <c r="AU164" s="91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</row>
    <row r="165" ht="12.75" customHeight="1">
      <c r="A165" s="8">
        <f t="shared" si="186"/>
        <v>200</v>
      </c>
      <c r="B165" s="8">
        <f t="shared" si="187"/>
        <v>100</v>
      </c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142"/>
      <c r="P165" s="88">
        <f t="shared" si="107"/>
        <v>632</v>
      </c>
      <c r="Q165" s="160">
        <f t="shared" ref="Q165:W165" si="236">Q164</f>
        <v>40</v>
      </c>
      <c r="R165" s="152">
        <f t="shared" si="236"/>
        <v>21</v>
      </c>
      <c r="S165" s="152">
        <f t="shared" si="236"/>
        <v>21</v>
      </c>
      <c r="T165" s="134">
        <f t="shared" si="236"/>
        <v>79</v>
      </c>
      <c r="U165" s="134">
        <f t="shared" si="236"/>
        <v>79</v>
      </c>
      <c r="V165" s="134">
        <f t="shared" si="236"/>
        <v>40</v>
      </c>
      <c r="W165" s="134">
        <f t="shared" si="236"/>
        <v>40</v>
      </c>
      <c r="X165" s="134">
        <f t="shared" ref="X165:X167" si="241">X164+1</f>
        <v>158</v>
      </c>
      <c r="Y165" s="22"/>
      <c r="Z165" s="22">
        <f>Z164+90</f>
        <v>13535</v>
      </c>
      <c r="AA165" s="22">
        <f>AA164+45</f>
        <v>7505</v>
      </c>
      <c r="AB165" s="22">
        <f t="shared" ref="AB165:AE165" si="237">AB164</f>
        <v>6815</v>
      </c>
      <c r="AC165" s="22">
        <f t="shared" si="237"/>
        <v>3755</v>
      </c>
      <c r="AD165" s="22">
        <f t="shared" si="237"/>
        <v>7615</v>
      </c>
      <c r="AE165" s="22">
        <f t="shared" si="237"/>
        <v>4555</v>
      </c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91"/>
      <c r="AT165" s="91"/>
      <c r="AU165" s="91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</row>
    <row r="166" ht="12.75" customHeight="1">
      <c r="A166" s="8">
        <f t="shared" si="186"/>
        <v>208</v>
      </c>
      <c r="B166" s="8">
        <f t="shared" si="187"/>
        <v>104</v>
      </c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142"/>
      <c r="P166" s="88">
        <f t="shared" si="107"/>
        <v>636</v>
      </c>
      <c r="Q166" s="160">
        <f>Q165+1</f>
        <v>41</v>
      </c>
      <c r="R166" s="152">
        <f t="shared" ref="R166:S166" si="238">R165-1</f>
        <v>20</v>
      </c>
      <c r="S166" s="152">
        <f t="shared" si="238"/>
        <v>20</v>
      </c>
      <c r="T166" s="134">
        <f t="shared" ref="T166:U166" si="239">T165+1</f>
        <v>80</v>
      </c>
      <c r="U166" s="134">
        <f t="shared" si="239"/>
        <v>80</v>
      </c>
      <c r="V166" s="134">
        <f t="shared" ref="V166:W166" si="240">V165</f>
        <v>40</v>
      </c>
      <c r="W166" s="134">
        <f t="shared" si="240"/>
        <v>40</v>
      </c>
      <c r="X166" s="134">
        <f t="shared" si="241"/>
        <v>159</v>
      </c>
      <c r="Y166" s="22"/>
      <c r="Z166" s="22">
        <f>Z165+80</f>
        <v>13615</v>
      </c>
      <c r="AA166" s="22">
        <f>AA165+50</f>
        <v>7555</v>
      </c>
      <c r="AB166" s="22">
        <f>AB165+70</f>
        <v>6885</v>
      </c>
      <c r="AC166" s="22">
        <f>AC165+45</f>
        <v>3800</v>
      </c>
      <c r="AD166" s="22">
        <f>AD165+70</f>
        <v>7685</v>
      </c>
      <c r="AE166" s="22">
        <f>45+AE165</f>
        <v>4600</v>
      </c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91"/>
      <c r="AT166" s="91"/>
      <c r="AU166" s="91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</row>
    <row r="167" ht="12.75" customHeight="1">
      <c r="A167" s="8">
        <f t="shared" si="186"/>
        <v>216</v>
      </c>
      <c r="B167" s="8">
        <f t="shared" si="187"/>
        <v>108</v>
      </c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142"/>
      <c r="P167" s="88">
        <f t="shared" si="107"/>
        <v>640</v>
      </c>
      <c r="Q167" s="160">
        <f>Q166-1</f>
        <v>40</v>
      </c>
      <c r="R167" s="152">
        <f t="shared" ref="R167:W167" si="242">R166</f>
        <v>20</v>
      </c>
      <c r="S167" s="152">
        <f t="shared" si="242"/>
        <v>20</v>
      </c>
      <c r="T167" s="134">
        <f t="shared" si="242"/>
        <v>80</v>
      </c>
      <c r="U167" s="134">
        <f t="shared" si="242"/>
        <v>80</v>
      </c>
      <c r="V167" s="134">
        <f t="shared" si="242"/>
        <v>40</v>
      </c>
      <c r="W167" s="134">
        <f t="shared" si="242"/>
        <v>40</v>
      </c>
      <c r="X167" s="134">
        <f t="shared" si="241"/>
        <v>160</v>
      </c>
      <c r="Y167" s="22"/>
      <c r="Z167" s="22">
        <f>Z166+70</f>
        <v>13685</v>
      </c>
      <c r="AA167" s="22">
        <f>AA166+45</f>
        <v>7600</v>
      </c>
      <c r="AB167" s="22">
        <f t="shared" ref="AB167:AE167" si="243">AB166</f>
        <v>6885</v>
      </c>
      <c r="AC167" s="22">
        <f t="shared" si="243"/>
        <v>3800</v>
      </c>
      <c r="AD167" s="22">
        <f t="shared" si="243"/>
        <v>7685</v>
      </c>
      <c r="AE167" s="22">
        <f t="shared" si="243"/>
        <v>4600</v>
      </c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91"/>
      <c r="AT167" s="91"/>
      <c r="AU167" s="91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</row>
    <row r="168" ht="12.75" customHeight="1">
      <c r="A168" s="8">
        <f t="shared" si="186"/>
        <v>224</v>
      </c>
      <c r="B168" s="8">
        <f t="shared" si="187"/>
        <v>112</v>
      </c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142"/>
      <c r="P168" s="88">
        <f t="shared" si="107"/>
        <v>644</v>
      </c>
      <c r="Q168" s="160">
        <f t="shared" ref="Q168:X168" si="244">Q167+1</f>
        <v>41</v>
      </c>
      <c r="R168" s="152">
        <f t="shared" si="244"/>
        <v>21</v>
      </c>
      <c r="S168" s="152">
        <f t="shared" si="244"/>
        <v>21</v>
      </c>
      <c r="T168" s="134">
        <f t="shared" si="244"/>
        <v>81</v>
      </c>
      <c r="U168" s="134">
        <f t="shared" si="244"/>
        <v>81</v>
      </c>
      <c r="V168" s="134">
        <f t="shared" si="244"/>
        <v>41</v>
      </c>
      <c r="W168" s="134">
        <f t="shared" si="244"/>
        <v>41</v>
      </c>
      <c r="X168" s="134">
        <f t="shared" si="244"/>
        <v>161</v>
      </c>
      <c r="Y168" s="22"/>
      <c r="Z168" s="22">
        <f>Z167+100</f>
        <v>13785</v>
      </c>
      <c r="AA168" s="22">
        <f>AA167+50</f>
        <v>7650</v>
      </c>
      <c r="AB168" s="22">
        <f>AB167+100</f>
        <v>6985</v>
      </c>
      <c r="AC168" s="22">
        <f>AC167+50</f>
        <v>3850</v>
      </c>
      <c r="AD168" s="22">
        <f>AD167+120</f>
        <v>7805</v>
      </c>
      <c r="AE168" s="22">
        <f>AE167+70</f>
        <v>4670</v>
      </c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91"/>
      <c r="AT168" s="91"/>
      <c r="AU168" s="91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</row>
    <row r="169" ht="12.75" customHeight="1">
      <c r="A169" s="8">
        <f t="shared" si="186"/>
        <v>232</v>
      </c>
      <c r="B169" s="8">
        <f t="shared" si="187"/>
        <v>116</v>
      </c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142"/>
      <c r="P169" s="88">
        <f t="shared" si="107"/>
        <v>648</v>
      </c>
      <c r="Q169" s="160">
        <f t="shared" ref="Q169:W169" si="245">Q168</f>
        <v>41</v>
      </c>
      <c r="R169" s="152">
        <f t="shared" si="245"/>
        <v>21</v>
      </c>
      <c r="S169" s="152">
        <f t="shared" si="245"/>
        <v>21</v>
      </c>
      <c r="T169" s="134">
        <f t="shared" si="245"/>
        <v>81</v>
      </c>
      <c r="U169" s="134">
        <f t="shared" si="245"/>
        <v>81</v>
      </c>
      <c r="V169" s="134">
        <f t="shared" si="245"/>
        <v>41</v>
      </c>
      <c r="W169" s="134">
        <f t="shared" si="245"/>
        <v>41</v>
      </c>
      <c r="X169" s="134">
        <f t="shared" ref="X169:X171" si="250">X168+1</f>
        <v>162</v>
      </c>
      <c r="Y169" s="22"/>
      <c r="Z169" s="22">
        <f>Z168+90</f>
        <v>13875</v>
      </c>
      <c r="AA169" s="22">
        <f>AA168+45</f>
        <v>7695</v>
      </c>
      <c r="AB169" s="22">
        <f t="shared" ref="AB169:AE169" si="246">AB168</f>
        <v>6985</v>
      </c>
      <c r="AC169" s="22">
        <f t="shared" si="246"/>
        <v>3850</v>
      </c>
      <c r="AD169" s="22">
        <f t="shared" si="246"/>
        <v>7805</v>
      </c>
      <c r="AE169" s="22">
        <f t="shared" si="246"/>
        <v>4670</v>
      </c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91"/>
      <c r="AT169" s="91"/>
      <c r="AU169" s="91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</row>
    <row r="170" ht="12.75" customHeight="1">
      <c r="A170" s="8">
        <f t="shared" si="186"/>
        <v>240</v>
      </c>
      <c r="B170" s="8">
        <f t="shared" si="187"/>
        <v>120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142"/>
      <c r="P170" s="88">
        <f t="shared" si="107"/>
        <v>652</v>
      </c>
      <c r="Q170" s="160">
        <f>Q169+1</f>
        <v>42</v>
      </c>
      <c r="R170" s="152">
        <f t="shared" ref="R170:S170" si="247">R169</f>
        <v>21</v>
      </c>
      <c r="S170" s="152">
        <f t="shared" si="247"/>
        <v>21</v>
      </c>
      <c r="T170" s="134">
        <f t="shared" ref="T170:U170" si="248">T169+1</f>
        <v>82</v>
      </c>
      <c r="U170" s="134">
        <f t="shared" si="248"/>
        <v>82</v>
      </c>
      <c r="V170" s="134">
        <f t="shared" ref="V170:W170" si="249">V169</f>
        <v>41</v>
      </c>
      <c r="W170" s="134">
        <f t="shared" si="249"/>
        <v>41</v>
      </c>
      <c r="X170" s="134">
        <f t="shared" si="250"/>
        <v>163</v>
      </c>
      <c r="Y170" s="22"/>
      <c r="Z170" s="22">
        <f>Z169+80</f>
        <v>13955</v>
      </c>
      <c r="AA170" s="22">
        <f>AA169+50</f>
        <v>7745</v>
      </c>
      <c r="AB170" s="22">
        <f>AB169+90</f>
        <v>7075</v>
      </c>
      <c r="AC170" s="22">
        <f>AC169+45</f>
        <v>3895</v>
      </c>
      <c r="AD170" s="22">
        <f>AD169+90</f>
        <v>7895</v>
      </c>
      <c r="AE170" s="22">
        <f>45+AE169</f>
        <v>4715</v>
      </c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91"/>
      <c r="AT170" s="91"/>
      <c r="AU170" s="91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</row>
    <row r="171" ht="12.75" customHeight="1">
      <c r="A171" s="8">
        <f t="shared" si="186"/>
        <v>248</v>
      </c>
      <c r="B171" s="8">
        <f t="shared" si="187"/>
        <v>124</v>
      </c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142"/>
      <c r="P171" s="88">
        <f t="shared" si="107"/>
        <v>656</v>
      </c>
      <c r="Q171" s="160">
        <f>Q170-1</f>
        <v>41</v>
      </c>
      <c r="R171" s="152">
        <f t="shared" ref="R171:W171" si="251">R170</f>
        <v>21</v>
      </c>
      <c r="S171" s="152">
        <f t="shared" si="251"/>
        <v>21</v>
      </c>
      <c r="T171" s="134">
        <f t="shared" si="251"/>
        <v>82</v>
      </c>
      <c r="U171" s="134">
        <f t="shared" si="251"/>
        <v>82</v>
      </c>
      <c r="V171" s="134">
        <f t="shared" si="251"/>
        <v>41</v>
      </c>
      <c r="W171" s="134">
        <f t="shared" si="251"/>
        <v>41</v>
      </c>
      <c r="X171" s="134">
        <f t="shared" si="250"/>
        <v>164</v>
      </c>
      <c r="Y171" s="22"/>
      <c r="Z171" s="22">
        <f>Z170+70</f>
        <v>14025</v>
      </c>
      <c r="AA171" s="22">
        <f>AA170+45</f>
        <v>7790</v>
      </c>
      <c r="AB171" s="22">
        <f t="shared" ref="AB171:AE171" si="252">AB170</f>
        <v>7075</v>
      </c>
      <c r="AC171" s="22">
        <f t="shared" si="252"/>
        <v>3895</v>
      </c>
      <c r="AD171" s="22">
        <f t="shared" si="252"/>
        <v>7895</v>
      </c>
      <c r="AE171" s="22">
        <f t="shared" si="252"/>
        <v>4715</v>
      </c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91"/>
      <c r="AT171" s="91"/>
      <c r="AU171" s="91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</row>
    <row r="172" ht="12.75" customHeight="1">
      <c r="A172" s="8">
        <f t="shared" si="186"/>
        <v>256</v>
      </c>
      <c r="B172" s="8">
        <f t="shared" si="187"/>
        <v>128</v>
      </c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142"/>
      <c r="P172" s="88">
        <f t="shared" si="107"/>
        <v>660</v>
      </c>
      <c r="Q172" s="160">
        <f t="shared" ref="Q172:X172" si="253">Q171+1</f>
        <v>42</v>
      </c>
      <c r="R172" s="152">
        <f t="shared" si="253"/>
        <v>22</v>
      </c>
      <c r="S172" s="152">
        <f t="shared" si="253"/>
        <v>22</v>
      </c>
      <c r="T172" s="134">
        <f t="shared" si="253"/>
        <v>83</v>
      </c>
      <c r="U172" s="134">
        <f t="shared" si="253"/>
        <v>83</v>
      </c>
      <c r="V172" s="134">
        <f t="shared" si="253"/>
        <v>42</v>
      </c>
      <c r="W172" s="134">
        <f t="shared" si="253"/>
        <v>42</v>
      </c>
      <c r="X172" s="134">
        <f t="shared" si="253"/>
        <v>165</v>
      </c>
      <c r="Y172" s="22"/>
      <c r="Z172" s="22">
        <f>Z171+100</f>
        <v>14125</v>
      </c>
      <c r="AA172" s="22">
        <f>AA171+50</f>
        <v>7840</v>
      </c>
      <c r="AB172" s="22">
        <f>AB171+80</f>
        <v>7155</v>
      </c>
      <c r="AC172" s="22">
        <f>AC171+50</f>
        <v>3945</v>
      </c>
      <c r="AD172" s="22">
        <f>AD171+100</f>
        <v>7995</v>
      </c>
      <c r="AE172" s="22">
        <f>AE171+70</f>
        <v>4785</v>
      </c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91"/>
      <c r="AT172" s="91"/>
      <c r="AU172" s="91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</row>
    <row r="173" ht="12.75" customHeight="1">
      <c r="A173" s="8">
        <f t="shared" si="186"/>
        <v>264</v>
      </c>
      <c r="B173" s="8">
        <f t="shared" si="187"/>
        <v>132</v>
      </c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142"/>
      <c r="P173" s="88">
        <f t="shared" si="107"/>
        <v>664</v>
      </c>
      <c r="Q173" s="160">
        <f t="shared" ref="Q173:W173" si="254">Q172</f>
        <v>42</v>
      </c>
      <c r="R173" s="152">
        <f t="shared" si="254"/>
        <v>22</v>
      </c>
      <c r="S173" s="152">
        <f t="shared" si="254"/>
        <v>22</v>
      </c>
      <c r="T173" s="134">
        <f t="shared" si="254"/>
        <v>83</v>
      </c>
      <c r="U173" s="134">
        <f t="shared" si="254"/>
        <v>83</v>
      </c>
      <c r="V173" s="134">
        <f t="shared" si="254"/>
        <v>42</v>
      </c>
      <c r="W173" s="134">
        <f t="shared" si="254"/>
        <v>42</v>
      </c>
      <c r="X173" s="134">
        <f t="shared" ref="X173:X175" si="259">X172+1</f>
        <v>166</v>
      </c>
      <c r="Y173" s="22"/>
      <c r="Z173" s="22">
        <f>Z172+90</f>
        <v>14215</v>
      </c>
      <c r="AA173" s="22">
        <f>AA172+45</f>
        <v>7885</v>
      </c>
      <c r="AB173" s="22">
        <f t="shared" ref="AB173:AE173" si="255">AB172</f>
        <v>7155</v>
      </c>
      <c r="AC173" s="22">
        <f t="shared" si="255"/>
        <v>3945</v>
      </c>
      <c r="AD173" s="22">
        <f t="shared" si="255"/>
        <v>7995</v>
      </c>
      <c r="AE173" s="22">
        <f t="shared" si="255"/>
        <v>4785</v>
      </c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91"/>
      <c r="AT173" s="91"/>
      <c r="AU173" s="91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</row>
    <row r="174" ht="12.75" customHeight="1">
      <c r="A174" s="8">
        <f t="shared" si="186"/>
        <v>272</v>
      </c>
      <c r="B174" s="8">
        <f t="shared" si="187"/>
        <v>136</v>
      </c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142"/>
      <c r="P174" s="88">
        <f t="shared" si="107"/>
        <v>668</v>
      </c>
      <c r="Q174" s="160">
        <f>Q173+1</f>
        <v>43</v>
      </c>
      <c r="R174" s="152">
        <f t="shared" ref="R174:S174" si="256">R173-1</f>
        <v>21</v>
      </c>
      <c r="S174" s="152">
        <f t="shared" si="256"/>
        <v>21</v>
      </c>
      <c r="T174" s="134">
        <f t="shared" ref="T174:U174" si="257">T173+1</f>
        <v>84</v>
      </c>
      <c r="U174" s="134">
        <f t="shared" si="257"/>
        <v>84</v>
      </c>
      <c r="V174" s="134">
        <f t="shared" ref="V174:W174" si="258">V173</f>
        <v>42</v>
      </c>
      <c r="W174" s="134">
        <f t="shared" si="258"/>
        <v>42</v>
      </c>
      <c r="X174" s="134">
        <f t="shared" si="259"/>
        <v>167</v>
      </c>
      <c r="Y174" s="22"/>
      <c r="Z174" s="22">
        <f>Z173+80</f>
        <v>14295</v>
      </c>
      <c r="AA174" s="22">
        <f>AA173+50</f>
        <v>7935</v>
      </c>
      <c r="AB174" s="22">
        <f>AB173+70</f>
        <v>7225</v>
      </c>
      <c r="AC174" s="22">
        <f>AC173+45</f>
        <v>3990</v>
      </c>
      <c r="AD174" s="22">
        <f>AD173+70</f>
        <v>8065</v>
      </c>
      <c r="AE174" s="22">
        <f>45+AE173</f>
        <v>4830</v>
      </c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91"/>
      <c r="AT174" s="91"/>
      <c r="AU174" s="91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</row>
    <row r="175" ht="12.75" customHeight="1">
      <c r="A175" s="8">
        <f t="shared" si="186"/>
        <v>280</v>
      </c>
      <c r="B175" s="8">
        <f t="shared" si="187"/>
        <v>140</v>
      </c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142"/>
      <c r="P175" s="88">
        <f t="shared" si="107"/>
        <v>672</v>
      </c>
      <c r="Q175" s="160">
        <f>Q174-1</f>
        <v>42</v>
      </c>
      <c r="R175" s="152">
        <f t="shared" ref="R175:W175" si="260">R174</f>
        <v>21</v>
      </c>
      <c r="S175" s="152">
        <f t="shared" si="260"/>
        <v>21</v>
      </c>
      <c r="T175" s="134">
        <f t="shared" si="260"/>
        <v>84</v>
      </c>
      <c r="U175" s="134">
        <f t="shared" si="260"/>
        <v>84</v>
      </c>
      <c r="V175" s="134">
        <f t="shared" si="260"/>
        <v>42</v>
      </c>
      <c r="W175" s="134">
        <f t="shared" si="260"/>
        <v>42</v>
      </c>
      <c r="X175" s="134">
        <f t="shared" si="259"/>
        <v>168</v>
      </c>
      <c r="Y175" s="22"/>
      <c r="Z175" s="22">
        <f>Z174+70</f>
        <v>14365</v>
      </c>
      <c r="AA175" s="22">
        <f>AA174+45</f>
        <v>7980</v>
      </c>
      <c r="AB175" s="22">
        <f t="shared" ref="AB175:AE175" si="261">AB174</f>
        <v>7225</v>
      </c>
      <c r="AC175" s="22">
        <f t="shared" si="261"/>
        <v>3990</v>
      </c>
      <c r="AD175" s="22">
        <f t="shared" si="261"/>
        <v>8065</v>
      </c>
      <c r="AE175" s="22">
        <f t="shared" si="261"/>
        <v>4830</v>
      </c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91"/>
      <c r="AT175" s="91"/>
      <c r="AU175" s="91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</row>
    <row r="176" ht="12.75" customHeight="1">
      <c r="A176" s="8">
        <f t="shared" si="186"/>
        <v>288</v>
      </c>
      <c r="B176" s="8">
        <f t="shared" si="187"/>
        <v>144</v>
      </c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142"/>
      <c r="P176" s="88">
        <f t="shared" si="107"/>
        <v>676</v>
      </c>
      <c r="Q176" s="160">
        <f t="shared" ref="Q176:X176" si="262">Q175+1</f>
        <v>43</v>
      </c>
      <c r="R176" s="152">
        <f t="shared" si="262"/>
        <v>22</v>
      </c>
      <c r="S176" s="152">
        <f t="shared" si="262"/>
        <v>22</v>
      </c>
      <c r="T176" s="134">
        <f t="shared" si="262"/>
        <v>85</v>
      </c>
      <c r="U176" s="134">
        <f t="shared" si="262"/>
        <v>85</v>
      </c>
      <c r="V176" s="134">
        <f t="shared" si="262"/>
        <v>43</v>
      </c>
      <c r="W176" s="134">
        <f t="shared" si="262"/>
        <v>43</v>
      </c>
      <c r="X176" s="134">
        <f t="shared" si="262"/>
        <v>169</v>
      </c>
      <c r="Y176" s="22"/>
      <c r="Z176" s="22">
        <f>Z175+100</f>
        <v>14465</v>
      </c>
      <c r="AA176" s="22">
        <f>AA175+50</f>
        <v>8030</v>
      </c>
      <c r="AB176" s="22">
        <f>AB175+100</f>
        <v>7325</v>
      </c>
      <c r="AC176" s="22">
        <f>AC175+50</f>
        <v>4040</v>
      </c>
      <c r="AD176" s="22">
        <f>AD175+120</f>
        <v>8185</v>
      </c>
      <c r="AE176" s="22">
        <f>AE175+70</f>
        <v>4900</v>
      </c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91"/>
      <c r="AT176" s="91"/>
      <c r="AU176" s="91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</row>
    <row r="177" ht="12.75" customHeight="1">
      <c r="A177" s="8">
        <f t="shared" si="186"/>
        <v>296</v>
      </c>
      <c r="B177" s="8">
        <f t="shared" si="187"/>
        <v>148</v>
      </c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142"/>
      <c r="P177" s="88">
        <f t="shared" si="107"/>
        <v>680</v>
      </c>
      <c r="Q177" s="160">
        <f t="shared" ref="Q177:W177" si="263">Q176</f>
        <v>43</v>
      </c>
      <c r="R177" s="152">
        <f t="shared" si="263"/>
        <v>22</v>
      </c>
      <c r="S177" s="152">
        <f t="shared" si="263"/>
        <v>22</v>
      </c>
      <c r="T177" s="134">
        <f t="shared" si="263"/>
        <v>85</v>
      </c>
      <c r="U177" s="134">
        <f t="shared" si="263"/>
        <v>85</v>
      </c>
      <c r="V177" s="134">
        <f t="shared" si="263"/>
        <v>43</v>
      </c>
      <c r="W177" s="134">
        <f t="shared" si="263"/>
        <v>43</v>
      </c>
      <c r="X177" s="134">
        <f t="shared" ref="X177:X179" si="268">X176+1</f>
        <v>170</v>
      </c>
      <c r="Y177" s="22"/>
      <c r="Z177" s="22">
        <f>Z176+90</f>
        <v>14555</v>
      </c>
      <c r="AA177" s="22">
        <f>AA176+45</f>
        <v>8075</v>
      </c>
      <c r="AB177" s="22">
        <f t="shared" ref="AB177:AE177" si="264">AB176</f>
        <v>7325</v>
      </c>
      <c r="AC177" s="22">
        <f t="shared" si="264"/>
        <v>4040</v>
      </c>
      <c r="AD177" s="22">
        <f t="shared" si="264"/>
        <v>8185</v>
      </c>
      <c r="AE177" s="22">
        <f t="shared" si="264"/>
        <v>4900</v>
      </c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91"/>
      <c r="AT177" s="91"/>
      <c r="AU177" s="91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</row>
    <row r="178" ht="12.75" customHeight="1">
      <c r="A178" s="8">
        <f t="shared" si="186"/>
        <v>304</v>
      </c>
      <c r="B178" s="8">
        <f t="shared" si="187"/>
        <v>152</v>
      </c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142"/>
      <c r="P178" s="88">
        <f t="shared" si="107"/>
        <v>684</v>
      </c>
      <c r="Q178" s="160">
        <f>Q177+1</f>
        <v>44</v>
      </c>
      <c r="R178" s="152">
        <f t="shared" ref="R178:S178" si="265">R177</f>
        <v>22</v>
      </c>
      <c r="S178" s="152">
        <f t="shared" si="265"/>
        <v>22</v>
      </c>
      <c r="T178" s="134">
        <f t="shared" ref="T178:U178" si="266">T177+1</f>
        <v>86</v>
      </c>
      <c r="U178" s="134">
        <f t="shared" si="266"/>
        <v>86</v>
      </c>
      <c r="V178" s="134">
        <f t="shared" ref="V178:W178" si="267">V177</f>
        <v>43</v>
      </c>
      <c r="W178" s="134">
        <f t="shared" si="267"/>
        <v>43</v>
      </c>
      <c r="X178" s="134">
        <f t="shared" si="268"/>
        <v>171</v>
      </c>
      <c r="Y178" s="22"/>
      <c r="Z178" s="22">
        <f>Z177+80</f>
        <v>14635</v>
      </c>
      <c r="AA178" s="22">
        <f>AA177+50</f>
        <v>8125</v>
      </c>
      <c r="AB178" s="22">
        <f>AB177+90</f>
        <v>7415</v>
      </c>
      <c r="AC178" s="22">
        <f>AC177+45</f>
        <v>4085</v>
      </c>
      <c r="AD178" s="22">
        <f>AD177+90</f>
        <v>8275</v>
      </c>
      <c r="AE178" s="22">
        <f>45+AE177</f>
        <v>4945</v>
      </c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91"/>
      <c r="AT178" s="91"/>
      <c r="AU178" s="91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</row>
    <row r="179" ht="12.75" customHeight="1">
      <c r="A179" s="8">
        <f t="shared" si="186"/>
        <v>312</v>
      </c>
      <c r="B179" s="8">
        <f t="shared" si="187"/>
        <v>156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142"/>
      <c r="P179" s="88">
        <f t="shared" si="107"/>
        <v>688</v>
      </c>
      <c r="Q179" s="160">
        <f>Q178-1</f>
        <v>43</v>
      </c>
      <c r="R179" s="152">
        <f t="shared" ref="R179:W179" si="269">R178</f>
        <v>22</v>
      </c>
      <c r="S179" s="152">
        <f t="shared" si="269"/>
        <v>22</v>
      </c>
      <c r="T179" s="134">
        <f t="shared" si="269"/>
        <v>86</v>
      </c>
      <c r="U179" s="134">
        <f t="shared" si="269"/>
        <v>86</v>
      </c>
      <c r="V179" s="134">
        <f t="shared" si="269"/>
        <v>43</v>
      </c>
      <c r="W179" s="134">
        <f t="shared" si="269"/>
        <v>43</v>
      </c>
      <c r="X179" s="134">
        <f t="shared" si="268"/>
        <v>172</v>
      </c>
      <c r="Y179" s="22"/>
      <c r="Z179" s="22">
        <f>Z178+70</f>
        <v>14705</v>
      </c>
      <c r="AA179" s="22">
        <f>AA178+45</f>
        <v>8170</v>
      </c>
      <c r="AB179" s="22">
        <f t="shared" ref="AB179:AE179" si="270">AB178</f>
        <v>7415</v>
      </c>
      <c r="AC179" s="22">
        <f t="shared" si="270"/>
        <v>4085</v>
      </c>
      <c r="AD179" s="22">
        <f t="shared" si="270"/>
        <v>8275</v>
      </c>
      <c r="AE179" s="22">
        <f t="shared" si="270"/>
        <v>4945</v>
      </c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91"/>
      <c r="AT179" s="91"/>
      <c r="AU179" s="91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</row>
    <row r="180" ht="12.75" customHeight="1">
      <c r="A180" s="8">
        <f t="shared" si="186"/>
        <v>320</v>
      </c>
      <c r="B180" s="8">
        <f t="shared" si="187"/>
        <v>160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142"/>
      <c r="P180" s="88">
        <f t="shared" si="107"/>
        <v>692</v>
      </c>
      <c r="Q180" s="160">
        <f t="shared" ref="Q180:X180" si="271">Q179+1</f>
        <v>44</v>
      </c>
      <c r="R180" s="152">
        <f t="shared" si="271"/>
        <v>23</v>
      </c>
      <c r="S180" s="152">
        <f t="shared" si="271"/>
        <v>23</v>
      </c>
      <c r="T180" s="134">
        <f t="shared" si="271"/>
        <v>87</v>
      </c>
      <c r="U180" s="134">
        <f t="shared" si="271"/>
        <v>87</v>
      </c>
      <c r="V180" s="134">
        <f t="shared" si="271"/>
        <v>44</v>
      </c>
      <c r="W180" s="134">
        <f t="shared" si="271"/>
        <v>44</v>
      </c>
      <c r="X180" s="134">
        <f t="shared" si="271"/>
        <v>173</v>
      </c>
      <c r="Y180" s="22"/>
      <c r="Z180" s="22">
        <f>Z179+100</f>
        <v>14805</v>
      </c>
      <c r="AA180" s="22">
        <f>AA179+50</f>
        <v>8220</v>
      </c>
      <c r="AB180" s="22">
        <f>AB179+80</f>
        <v>7495</v>
      </c>
      <c r="AC180" s="22">
        <f>AC179+50</f>
        <v>4135</v>
      </c>
      <c r="AD180" s="22">
        <f>AD179+100</f>
        <v>8375</v>
      </c>
      <c r="AE180" s="22">
        <f>AE179+70</f>
        <v>5015</v>
      </c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91"/>
      <c r="AT180" s="91"/>
      <c r="AU180" s="91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</row>
    <row r="181" ht="12.75" customHeight="1">
      <c r="A181" s="8">
        <f t="shared" si="186"/>
        <v>328</v>
      </c>
      <c r="B181" s="8">
        <f t="shared" si="187"/>
        <v>164</v>
      </c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142"/>
      <c r="P181" s="88">
        <f t="shared" si="107"/>
        <v>696</v>
      </c>
      <c r="Q181" s="160">
        <f t="shared" ref="Q181:W181" si="272">Q180</f>
        <v>44</v>
      </c>
      <c r="R181" s="152">
        <f t="shared" si="272"/>
        <v>23</v>
      </c>
      <c r="S181" s="152">
        <f t="shared" si="272"/>
        <v>23</v>
      </c>
      <c r="T181" s="134">
        <f t="shared" si="272"/>
        <v>87</v>
      </c>
      <c r="U181" s="134">
        <f t="shared" si="272"/>
        <v>87</v>
      </c>
      <c r="V181" s="134">
        <f t="shared" si="272"/>
        <v>44</v>
      </c>
      <c r="W181" s="134">
        <f t="shared" si="272"/>
        <v>44</v>
      </c>
      <c r="X181" s="134">
        <f t="shared" ref="X181:X183" si="277">X180+1</f>
        <v>174</v>
      </c>
      <c r="Y181" s="22"/>
      <c r="Z181" s="22">
        <f>Z180+90</f>
        <v>14895</v>
      </c>
      <c r="AA181" s="22">
        <f>AA180+45</f>
        <v>8265</v>
      </c>
      <c r="AB181" s="22">
        <f t="shared" ref="AB181:AE181" si="273">AB180</f>
        <v>7495</v>
      </c>
      <c r="AC181" s="22">
        <f t="shared" si="273"/>
        <v>4135</v>
      </c>
      <c r="AD181" s="22">
        <f t="shared" si="273"/>
        <v>8375</v>
      </c>
      <c r="AE181" s="22">
        <f t="shared" si="273"/>
        <v>5015</v>
      </c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91"/>
      <c r="AT181" s="91"/>
      <c r="AU181" s="91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</row>
    <row r="182" ht="12.75" customHeight="1">
      <c r="A182" s="8">
        <f t="shared" si="186"/>
        <v>336</v>
      </c>
      <c r="B182" s="8">
        <f t="shared" si="187"/>
        <v>168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142"/>
      <c r="P182" s="88">
        <f t="shared" si="107"/>
        <v>700</v>
      </c>
      <c r="Q182" s="160">
        <f>Q181+1</f>
        <v>45</v>
      </c>
      <c r="R182" s="152">
        <f t="shared" ref="R182:S182" si="274">R181-1</f>
        <v>22</v>
      </c>
      <c r="S182" s="152">
        <f t="shared" si="274"/>
        <v>22</v>
      </c>
      <c r="T182" s="134">
        <f t="shared" ref="T182:U182" si="275">T181+1</f>
        <v>88</v>
      </c>
      <c r="U182" s="134">
        <f t="shared" si="275"/>
        <v>88</v>
      </c>
      <c r="V182" s="134">
        <f t="shared" ref="V182:W182" si="276">V181</f>
        <v>44</v>
      </c>
      <c r="W182" s="134">
        <f t="shared" si="276"/>
        <v>44</v>
      </c>
      <c r="X182" s="134">
        <f t="shared" si="277"/>
        <v>175</v>
      </c>
      <c r="Y182" s="22"/>
      <c r="Z182" s="22">
        <f>Z181+80</f>
        <v>14975</v>
      </c>
      <c r="AA182" s="22">
        <f>AA181+50</f>
        <v>8315</v>
      </c>
      <c r="AB182" s="22">
        <f>AB181+70</f>
        <v>7565</v>
      </c>
      <c r="AC182" s="22">
        <f>AC181+45</f>
        <v>4180</v>
      </c>
      <c r="AD182" s="22">
        <f>AD181+70</f>
        <v>8445</v>
      </c>
      <c r="AE182" s="22">
        <f>45+AE181</f>
        <v>5060</v>
      </c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91"/>
      <c r="AT182" s="91"/>
      <c r="AU182" s="91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</row>
    <row r="183" ht="12.75" customHeight="1">
      <c r="A183" s="8">
        <f t="shared" si="186"/>
        <v>344</v>
      </c>
      <c r="B183" s="8">
        <f t="shared" si="187"/>
        <v>172</v>
      </c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142"/>
      <c r="P183" s="88">
        <f t="shared" si="107"/>
        <v>704</v>
      </c>
      <c r="Q183" s="160">
        <f>Q182-1</f>
        <v>44</v>
      </c>
      <c r="R183" s="152">
        <f t="shared" ref="R183:W183" si="278">R182</f>
        <v>22</v>
      </c>
      <c r="S183" s="152">
        <f t="shared" si="278"/>
        <v>22</v>
      </c>
      <c r="T183" s="134">
        <f t="shared" si="278"/>
        <v>88</v>
      </c>
      <c r="U183" s="134">
        <f t="shared" si="278"/>
        <v>88</v>
      </c>
      <c r="V183" s="134">
        <f t="shared" si="278"/>
        <v>44</v>
      </c>
      <c r="W183" s="134">
        <f t="shared" si="278"/>
        <v>44</v>
      </c>
      <c r="X183" s="134">
        <f t="shared" si="277"/>
        <v>176</v>
      </c>
      <c r="Y183" s="22"/>
      <c r="Z183" s="22">
        <f>Z182+70</f>
        <v>15045</v>
      </c>
      <c r="AA183" s="22">
        <f>AA182+45</f>
        <v>8360</v>
      </c>
      <c r="AB183" s="22">
        <f t="shared" ref="AB183:AE183" si="279">AB182</f>
        <v>7565</v>
      </c>
      <c r="AC183" s="22">
        <f t="shared" si="279"/>
        <v>4180</v>
      </c>
      <c r="AD183" s="22">
        <f t="shared" si="279"/>
        <v>8445</v>
      </c>
      <c r="AE183" s="22">
        <f t="shared" si="279"/>
        <v>5060</v>
      </c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91"/>
      <c r="AT183" s="91"/>
      <c r="AU183" s="91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</row>
    <row r="184" ht="12.75" customHeight="1">
      <c r="A184" s="8">
        <f t="shared" si="186"/>
        <v>352</v>
      </c>
      <c r="B184" s="8">
        <f t="shared" si="187"/>
        <v>176</v>
      </c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142"/>
      <c r="P184" s="88">
        <f t="shared" si="107"/>
        <v>708</v>
      </c>
      <c r="Q184" s="160">
        <f t="shared" ref="Q184:X184" si="280">Q183+1</f>
        <v>45</v>
      </c>
      <c r="R184" s="152">
        <f t="shared" si="280"/>
        <v>23</v>
      </c>
      <c r="S184" s="152">
        <f t="shared" si="280"/>
        <v>23</v>
      </c>
      <c r="T184" s="134">
        <f t="shared" si="280"/>
        <v>89</v>
      </c>
      <c r="U184" s="134">
        <f t="shared" si="280"/>
        <v>89</v>
      </c>
      <c r="V184" s="134">
        <f t="shared" si="280"/>
        <v>45</v>
      </c>
      <c r="W184" s="134">
        <f t="shared" si="280"/>
        <v>45</v>
      </c>
      <c r="X184" s="134">
        <f t="shared" si="280"/>
        <v>177</v>
      </c>
      <c r="Y184" s="22"/>
      <c r="Z184" s="22">
        <f>Z183+100</f>
        <v>15145</v>
      </c>
      <c r="AA184" s="22">
        <f>AA183+50</f>
        <v>8410</v>
      </c>
      <c r="AB184" s="22">
        <f>AB183+100</f>
        <v>7665</v>
      </c>
      <c r="AC184" s="22">
        <f>AC183+50</f>
        <v>4230</v>
      </c>
      <c r="AD184" s="22">
        <f>AD183+120</f>
        <v>8565</v>
      </c>
      <c r="AE184" s="22">
        <f>AE183+70</f>
        <v>5130</v>
      </c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91"/>
      <c r="AT184" s="91"/>
      <c r="AU184" s="91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</row>
    <row r="185" ht="12.75" customHeight="1">
      <c r="A185" s="8">
        <f t="shared" si="186"/>
        <v>360</v>
      </c>
      <c r="B185" s="8">
        <f t="shared" si="187"/>
        <v>180</v>
      </c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142"/>
      <c r="P185" s="88">
        <f t="shared" si="107"/>
        <v>712</v>
      </c>
      <c r="Q185" s="160">
        <f t="shared" ref="Q185:W185" si="281">Q184</f>
        <v>45</v>
      </c>
      <c r="R185" s="152">
        <f t="shared" si="281"/>
        <v>23</v>
      </c>
      <c r="S185" s="152">
        <f t="shared" si="281"/>
        <v>23</v>
      </c>
      <c r="T185" s="134">
        <f t="shared" si="281"/>
        <v>89</v>
      </c>
      <c r="U185" s="134">
        <f t="shared" si="281"/>
        <v>89</v>
      </c>
      <c r="V185" s="134">
        <f t="shared" si="281"/>
        <v>45</v>
      </c>
      <c r="W185" s="134">
        <f t="shared" si="281"/>
        <v>45</v>
      </c>
      <c r="X185" s="134">
        <f t="shared" ref="X185:X187" si="286">X184+1</f>
        <v>178</v>
      </c>
      <c r="Y185" s="22"/>
      <c r="Z185" s="22">
        <f>Z184+90</f>
        <v>15235</v>
      </c>
      <c r="AA185" s="22">
        <f>AA184+45</f>
        <v>8455</v>
      </c>
      <c r="AB185" s="22">
        <f t="shared" ref="AB185:AE185" si="282">AB184</f>
        <v>7665</v>
      </c>
      <c r="AC185" s="22">
        <f t="shared" si="282"/>
        <v>4230</v>
      </c>
      <c r="AD185" s="22">
        <f t="shared" si="282"/>
        <v>8565</v>
      </c>
      <c r="AE185" s="22">
        <f t="shared" si="282"/>
        <v>5130</v>
      </c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91"/>
      <c r="AT185" s="91"/>
      <c r="AU185" s="91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</row>
    <row r="186" ht="12.75" customHeight="1">
      <c r="A186" s="8">
        <f t="shared" si="186"/>
        <v>368</v>
      </c>
      <c r="B186" s="8">
        <f t="shared" si="187"/>
        <v>184</v>
      </c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142"/>
      <c r="P186" s="88">
        <f t="shared" si="107"/>
        <v>716</v>
      </c>
      <c r="Q186" s="160">
        <f>Q185+1</f>
        <v>46</v>
      </c>
      <c r="R186" s="152">
        <f t="shared" ref="R186:S186" si="283">R185</f>
        <v>23</v>
      </c>
      <c r="S186" s="152">
        <f t="shared" si="283"/>
        <v>23</v>
      </c>
      <c r="T186" s="134">
        <f t="shared" ref="T186:U186" si="284">T185+1</f>
        <v>90</v>
      </c>
      <c r="U186" s="134">
        <f t="shared" si="284"/>
        <v>90</v>
      </c>
      <c r="V186" s="134">
        <f t="shared" ref="V186:W186" si="285">V185</f>
        <v>45</v>
      </c>
      <c r="W186" s="134">
        <f t="shared" si="285"/>
        <v>45</v>
      </c>
      <c r="X186" s="134">
        <f t="shared" si="286"/>
        <v>179</v>
      </c>
      <c r="Y186" s="22"/>
      <c r="Z186" s="22">
        <f>Z185+80</f>
        <v>15315</v>
      </c>
      <c r="AA186" s="22">
        <f>AA185+50</f>
        <v>8505</v>
      </c>
      <c r="AB186" s="22">
        <f>AB185+90</f>
        <v>7755</v>
      </c>
      <c r="AC186" s="22">
        <f>AC185+45</f>
        <v>4275</v>
      </c>
      <c r="AD186" s="22">
        <f>AD185+90</f>
        <v>8655</v>
      </c>
      <c r="AE186" s="22">
        <f>45+AE185</f>
        <v>5175</v>
      </c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91"/>
      <c r="AT186" s="91"/>
      <c r="AU186" s="91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</row>
    <row r="187" ht="12.75" customHeight="1">
      <c r="A187" s="8">
        <f t="shared" si="186"/>
        <v>376</v>
      </c>
      <c r="B187" s="8">
        <f t="shared" si="187"/>
        <v>188</v>
      </c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142"/>
      <c r="P187" s="88">
        <f t="shared" si="107"/>
        <v>720</v>
      </c>
      <c r="Q187" s="160">
        <f>Q186-1</f>
        <v>45</v>
      </c>
      <c r="R187" s="152">
        <f t="shared" ref="R187:W187" si="287">R186</f>
        <v>23</v>
      </c>
      <c r="S187" s="152">
        <f t="shared" si="287"/>
        <v>23</v>
      </c>
      <c r="T187" s="134">
        <f t="shared" si="287"/>
        <v>90</v>
      </c>
      <c r="U187" s="134">
        <f t="shared" si="287"/>
        <v>90</v>
      </c>
      <c r="V187" s="134">
        <f t="shared" si="287"/>
        <v>45</v>
      </c>
      <c r="W187" s="134">
        <f t="shared" si="287"/>
        <v>45</v>
      </c>
      <c r="X187" s="134">
        <f t="shared" si="286"/>
        <v>180</v>
      </c>
      <c r="Y187" s="22"/>
      <c r="Z187" s="22">
        <f>Z186+70</f>
        <v>15385</v>
      </c>
      <c r="AA187" s="22">
        <f>AA186+45</f>
        <v>8550</v>
      </c>
      <c r="AB187" s="22">
        <f t="shared" ref="AB187:AE187" si="288">AB186</f>
        <v>7755</v>
      </c>
      <c r="AC187" s="22">
        <f t="shared" si="288"/>
        <v>4275</v>
      </c>
      <c r="AD187" s="22">
        <f t="shared" si="288"/>
        <v>8655</v>
      </c>
      <c r="AE187" s="22">
        <f t="shared" si="288"/>
        <v>5175</v>
      </c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91"/>
      <c r="AT187" s="91"/>
      <c r="AU187" s="91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</row>
    <row r="188" ht="12.75" customHeight="1">
      <c r="A188" s="8">
        <f t="shared" si="186"/>
        <v>384</v>
      </c>
      <c r="B188" s="8">
        <f t="shared" si="187"/>
        <v>192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142"/>
      <c r="P188" s="88"/>
      <c r="Q188" s="22"/>
      <c r="R188" s="152"/>
      <c r="S188" s="22"/>
      <c r="T188" s="134"/>
      <c r="U188" s="22"/>
      <c r="V188" s="134"/>
      <c r="W188" s="134"/>
      <c r="X188" s="134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91"/>
      <c r="AT188" s="91"/>
      <c r="AU188" s="91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</row>
    <row r="189" ht="12.75" customHeight="1">
      <c r="A189" s="8">
        <f t="shared" si="186"/>
        <v>392</v>
      </c>
      <c r="B189" s="8">
        <f t="shared" si="187"/>
        <v>196</v>
      </c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142"/>
      <c r="P189" s="88"/>
      <c r="Q189" s="22"/>
      <c r="R189" s="152"/>
      <c r="S189" s="22"/>
      <c r="T189" s="134"/>
      <c r="U189" s="22"/>
      <c r="V189" s="134"/>
      <c r="W189" s="22"/>
      <c r="X189" s="134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91"/>
      <c r="AT189" s="91"/>
      <c r="AU189" s="91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</row>
    <row r="190" ht="12.75" customHeight="1">
      <c r="A190" s="8">
        <f t="shared" si="186"/>
        <v>400</v>
      </c>
      <c r="B190" s="8">
        <f t="shared" si="187"/>
        <v>200</v>
      </c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142"/>
      <c r="P190" s="88"/>
      <c r="Q190" s="22"/>
      <c r="R190" s="152"/>
      <c r="S190" s="22"/>
      <c r="T190" s="134"/>
      <c r="U190" s="22"/>
      <c r="V190" s="134"/>
      <c r="W190" s="22"/>
      <c r="X190" s="134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91"/>
      <c r="AT190" s="91"/>
      <c r="AU190" s="91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</row>
    <row r="191" ht="12.75" customHeight="1">
      <c r="A191" s="8">
        <f t="shared" si="186"/>
        <v>408</v>
      </c>
      <c r="B191" s="8">
        <f t="shared" si="187"/>
        <v>204</v>
      </c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142"/>
      <c r="P191" s="88"/>
      <c r="Q191" s="22"/>
      <c r="R191" s="152"/>
      <c r="S191" s="22"/>
      <c r="T191" s="134"/>
      <c r="U191" s="22"/>
      <c r="V191" s="134"/>
      <c r="W191" s="22"/>
      <c r="X191" s="134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91"/>
      <c r="AT191" s="91"/>
      <c r="AU191" s="91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</row>
    <row r="192" ht="12.75" customHeight="1">
      <c r="A192" s="8">
        <f t="shared" si="186"/>
        <v>416</v>
      </c>
      <c r="B192" s="8">
        <f t="shared" si="187"/>
        <v>208</v>
      </c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142"/>
      <c r="P192" s="88"/>
      <c r="Q192" s="22"/>
      <c r="R192" s="152"/>
      <c r="S192" s="22"/>
      <c r="T192" s="22"/>
      <c r="U192" s="22"/>
      <c r="V192" s="22"/>
      <c r="W192" s="22"/>
      <c r="X192" s="134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91"/>
      <c r="AT192" s="91"/>
      <c r="AU192" s="91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</row>
    <row r="193" ht="12.75" customHeight="1">
      <c r="A193" s="8">
        <f t="shared" si="186"/>
        <v>424</v>
      </c>
      <c r="B193" s="8">
        <f t="shared" si="187"/>
        <v>212</v>
      </c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142"/>
      <c r="P193" s="88"/>
      <c r="Q193" s="22"/>
      <c r="R193" s="152"/>
      <c r="S193" s="22"/>
      <c r="T193" s="22"/>
      <c r="U193" s="22"/>
      <c r="V193" s="22"/>
      <c r="W193" s="22"/>
      <c r="X193" s="134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91"/>
      <c r="AT193" s="91"/>
      <c r="AU193" s="91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</row>
    <row r="194" ht="12.75" customHeight="1">
      <c r="A194" s="8">
        <f t="shared" si="186"/>
        <v>432</v>
      </c>
      <c r="B194" s="8">
        <f t="shared" si="187"/>
        <v>216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142"/>
      <c r="P194" s="88"/>
      <c r="Q194" s="22"/>
      <c r="R194" s="152"/>
      <c r="S194" s="22"/>
      <c r="T194" s="22"/>
      <c r="U194" s="22"/>
      <c r="V194" s="22"/>
      <c r="W194" s="22"/>
      <c r="X194" s="134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91"/>
      <c r="AT194" s="91"/>
      <c r="AU194" s="91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</row>
    <row r="195" ht="12.75" customHeight="1">
      <c r="A195" s="8">
        <f t="shared" si="186"/>
        <v>440</v>
      </c>
      <c r="B195" s="8">
        <f t="shared" si="187"/>
        <v>220</v>
      </c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142"/>
      <c r="P195" s="88"/>
      <c r="Q195" s="22"/>
      <c r="R195" s="152"/>
      <c r="S195" s="22"/>
      <c r="T195" s="22"/>
      <c r="U195" s="22"/>
      <c r="V195" s="22"/>
      <c r="W195" s="22"/>
      <c r="X195" s="134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91"/>
      <c r="AT195" s="91"/>
      <c r="AU195" s="91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</row>
    <row r="196" ht="12.75" customHeight="1">
      <c r="A196" s="8">
        <f t="shared" si="186"/>
        <v>448</v>
      </c>
      <c r="B196" s="8">
        <f t="shared" si="187"/>
        <v>224</v>
      </c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142"/>
      <c r="P196" s="88"/>
      <c r="Q196" s="22"/>
      <c r="R196" s="152"/>
      <c r="S196" s="22"/>
      <c r="T196" s="22"/>
      <c r="U196" s="22"/>
      <c r="V196" s="22"/>
      <c r="W196" s="22"/>
      <c r="X196" s="134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91"/>
      <c r="AT196" s="91"/>
      <c r="AU196" s="91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</row>
    <row r="197" ht="12.75" customHeight="1">
      <c r="A197" s="8">
        <f t="shared" si="186"/>
        <v>456</v>
      </c>
      <c r="B197" s="8">
        <f t="shared" si="187"/>
        <v>228</v>
      </c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142"/>
      <c r="P197" s="88"/>
      <c r="Q197" s="22"/>
      <c r="R197" s="152"/>
      <c r="S197" s="22"/>
      <c r="T197" s="22"/>
      <c r="U197" s="22"/>
      <c r="V197" s="22"/>
      <c r="W197" s="22"/>
      <c r="X197" s="134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91"/>
      <c r="AT197" s="91"/>
      <c r="AU197" s="91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</row>
    <row r="198" ht="12.75" customHeight="1">
      <c r="A198" s="8">
        <f t="shared" si="186"/>
        <v>464</v>
      </c>
      <c r="B198" s="8">
        <f t="shared" si="187"/>
        <v>232</v>
      </c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142"/>
      <c r="P198" s="88"/>
      <c r="Q198" s="22"/>
      <c r="R198" s="152"/>
      <c r="S198" s="22"/>
      <c r="T198" s="22"/>
      <c r="U198" s="22"/>
      <c r="V198" s="22"/>
      <c r="W198" s="22"/>
      <c r="X198" s="134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91"/>
      <c r="AT198" s="91"/>
      <c r="AU198" s="91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</row>
    <row r="199" ht="12.75" customHeight="1">
      <c r="A199" s="8">
        <f t="shared" si="186"/>
        <v>472</v>
      </c>
      <c r="B199" s="8">
        <f t="shared" si="187"/>
        <v>236</v>
      </c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142"/>
      <c r="P199" s="88"/>
      <c r="Q199" s="22"/>
      <c r="R199" s="152"/>
      <c r="S199" s="22"/>
      <c r="T199" s="22"/>
      <c r="U199" s="22"/>
      <c r="V199" s="22"/>
      <c r="W199" s="22"/>
      <c r="X199" s="134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91"/>
      <c r="AT199" s="91"/>
      <c r="AU199" s="91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</row>
    <row r="200" ht="12.75" customHeight="1">
      <c r="A200" s="8">
        <f t="shared" si="186"/>
        <v>480</v>
      </c>
      <c r="B200" s="8">
        <f t="shared" si="187"/>
        <v>240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142"/>
      <c r="P200" s="88"/>
      <c r="Q200" s="22"/>
      <c r="R200" s="152"/>
      <c r="S200" s="22"/>
      <c r="T200" s="22"/>
      <c r="U200" s="22"/>
      <c r="V200" s="22"/>
      <c r="W200" s="22"/>
      <c r="X200" s="134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91"/>
      <c r="AT200" s="91"/>
      <c r="AU200" s="91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</row>
    <row r="201" ht="12.75" customHeight="1">
      <c r="A201" s="8">
        <f t="shared" si="186"/>
        <v>488</v>
      </c>
      <c r="B201" s="8">
        <f t="shared" si="187"/>
        <v>244</v>
      </c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142"/>
      <c r="P201" s="88"/>
      <c r="Q201" s="22"/>
      <c r="R201" s="152"/>
      <c r="S201" s="22"/>
      <c r="T201" s="22"/>
      <c r="U201" s="22"/>
      <c r="V201" s="22"/>
      <c r="W201" s="22"/>
      <c r="X201" s="134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91"/>
      <c r="AT201" s="91"/>
      <c r="AU201" s="91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</row>
    <row r="202" ht="12.75" customHeight="1">
      <c r="A202" s="8">
        <f t="shared" si="186"/>
        <v>496</v>
      </c>
      <c r="B202" s="8">
        <f t="shared" si="187"/>
        <v>248</v>
      </c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142"/>
      <c r="P202" s="88"/>
      <c r="Q202" s="22"/>
      <c r="R202" s="152"/>
      <c r="S202" s="22"/>
      <c r="T202" s="22"/>
      <c r="U202" s="22"/>
      <c r="V202" s="22"/>
      <c r="W202" s="22"/>
      <c r="X202" s="134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91"/>
      <c r="AT202" s="91"/>
      <c r="AU202" s="91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</row>
    <row r="203" ht="12.75" customHeight="1">
      <c r="A203" s="8">
        <f t="shared" si="186"/>
        <v>504</v>
      </c>
      <c r="B203" s="8">
        <f t="shared" si="187"/>
        <v>252</v>
      </c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142"/>
      <c r="P203" s="88"/>
      <c r="Q203" s="22"/>
      <c r="R203" s="152"/>
      <c r="S203" s="22"/>
      <c r="T203" s="22"/>
      <c r="U203" s="22"/>
      <c r="V203" s="22"/>
      <c r="W203" s="22"/>
      <c r="X203" s="134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91"/>
      <c r="AT203" s="91"/>
      <c r="AU203" s="91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</row>
    <row r="204" ht="12.75" customHeight="1">
      <c r="A204" s="8">
        <f t="shared" si="186"/>
        <v>512</v>
      </c>
      <c r="B204" s="8">
        <f t="shared" si="187"/>
        <v>256</v>
      </c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142"/>
      <c r="P204" s="88"/>
      <c r="Q204" s="22"/>
      <c r="R204" s="22"/>
      <c r="S204" s="22"/>
      <c r="T204" s="22"/>
      <c r="U204" s="22"/>
      <c r="V204" s="22"/>
      <c r="W204" s="22"/>
      <c r="X204" s="134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91"/>
      <c r="AT204" s="91"/>
      <c r="AU204" s="91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</row>
    <row r="205" ht="12.75" customHeight="1">
      <c r="A205" s="8">
        <f t="shared" si="186"/>
        <v>520</v>
      </c>
      <c r="B205" s="8">
        <f t="shared" si="187"/>
        <v>260</v>
      </c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142"/>
      <c r="P205" s="88"/>
      <c r="Q205" s="22"/>
      <c r="R205" s="22"/>
      <c r="S205" s="22"/>
      <c r="T205" s="22"/>
      <c r="U205" s="22"/>
      <c r="V205" s="22"/>
      <c r="W205" s="22"/>
      <c r="X205" s="134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91"/>
      <c r="AT205" s="91"/>
      <c r="AU205" s="91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</row>
    <row r="206" ht="12.75" customHeight="1">
      <c r="A206" s="8">
        <f t="shared" si="186"/>
        <v>528</v>
      </c>
      <c r="B206" s="8">
        <f t="shared" si="187"/>
        <v>264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142"/>
      <c r="P206" s="88"/>
      <c r="Q206" s="22"/>
      <c r="R206" s="22"/>
      <c r="S206" s="22"/>
      <c r="T206" s="22"/>
      <c r="U206" s="22"/>
      <c r="V206" s="22"/>
      <c r="W206" s="22"/>
      <c r="X206" s="134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91"/>
      <c r="AT206" s="91"/>
      <c r="AU206" s="91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</row>
    <row r="207" ht="12.75" customHeight="1">
      <c r="A207" s="8">
        <f t="shared" si="186"/>
        <v>536</v>
      </c>
      <c r="B207" s="8">
        <f t="shared" si="187"/>
        <v>268</v>
      </c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142"/>
      <c r="P207" s="88"/>
      <c r="Q207" s="22"/>
      <c r="R207" s="22"/>
      <c r="S207" s="22"/>
      <c r="T207" s="22"/>
      <c r="U207" s="22"/>
      <c r="V207" s="22"/>
      <c r="W207" s="22"/>
      <c r="X207" s="134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91"/>
      <c r="AT207" s="91"/>
      <c r="AU207" s="91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</row>
    <row r="208" ht="12.75" customHeight="1">
      <c r="A208" s="8">
        <f t="shared" si="186"/>
        <v>544</v>
      </c>
      <c r="B208" s="8">
        <f t="shared" si="187"/>
        <v>272</v>
      </c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142"/>
      <c r="P208" s="88"/>
      <c r="Q208" s="22"/>
      <c r="R208" s="22"/>
      <c r="S208" s="22"/>
      <c r="T208" s="22"/>
      <c r="U208" s="22"/>
      <c r="V208" s="22"/>
      <c r="W208" s="22"/>
      <c r="X208" s="134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91"/>
      <c r="AT208" s="91"/>
      <c r="AU208" s="91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</row>
    <row r="209" ht="12.75" customHeight="1">
      <c r="A209" s="8">
        <f t="shared" si="186"/>
        <v>552</v>
      </c>
      <c r="B209" s="8">
        <f t="shared" si="187"/>
        <v>276</v>
      </c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142"/>
      <c r="P209" s="88"/>
      <c r="Q209" s="22"/>
      <c r="R209" s="22"/>
      <c r="S209" s="22"/>
      <c r="T209" s="22"/>
      <c r="U209" s="22"/>
      <c r="V209" s="22"/>
      <c r="W209" s="22"/>
      <c r="X209" s="134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91"/>
      <c r="AT209" s="91"/>
      <c r="AU209" s="91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</row>
    <row r="210" ht="12.75" customHeight="1">
      <c r="A210" s="8">
        <f t="shared" si="186"/>
        <v>560</v>
      </c>
      <c r="B210" s="8">
        <f t="shared" si="187"/>
        <v>280</v>
      </c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142"/>
      <c r="P210" s="88"/>
      <c r="Q210" s="22"/>
      <c r="R210" s="22"/>
      <c r="S210" s="22"/>
      <c r="T210" s="22"/>
      <c r="U210" s="22"/>
      <c r="V210" s="22"/>
      <c r="W210" s="22"/>
      <c r="X210" s="134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91"/>
      <c r="AT210" s="91"/>
      <c r="AU210" s="91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</row>
    <row r="211" ht="12.75" customHeight="1">
      <c r="A211" s="8">
        <f t="shared" si="186"/>
        <v>568</v>
      </c>
      <c r="B211" s="8">
        <f t="shared" si="187"/>
        <v>284</v>
      </c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142"/>
      <c r="P211" s="88"/>
      <c r="Q211" s="22"/>
      <c r="R211" s="22"/>
      <c r="S211" s="22"/>
      <c r="T211" s="22"/>
      <c r="U211" s="22"/>
      <c r="V211" s="22"/>
      <c r="W211" s="22"/>
      <c r="X211" s="134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91"/>
      <c r="AT211" s="91"/>
      <c r="AU211" s="91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</row>
    <row r="212" ht="12.75" customHeight="1">
      <c r="A212" s="8">
        <f t="shared" si="186"/>
        <v>576</v>
      </c>
      <c r="B212" s="8">
        <f t="shared" si="187"/>
        <v>288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142"/>
      <c r="P212" s="88"/>
      <c r="Q212" s="22"/>
      <c r="R212" s="22"/>
      <c r="S212" s="22"/>
      <c r="T212" s="22"/>
      <c r="U212" s="22"/>
      <c r="V212" s="22"/>
      <c r="W212" s="22"/>
      <c r="X212" s="134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91"/>
      <c r="AT212" s="91"/>
      <c r="AU212" s="91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</row>
    <row r="213" ht="12.75" customHeight="1">
      <c r="A213" s="8">
        <f t="shared" si="186"/>
        <v>584</v>
      </c>
      <c r="B213" s="8">
        <f t="shared" si="187"/>
        <v>292</v>
      </c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142"/>
      <c r="P213" s="88"/>
      <c r="Q213" s="22"/>
      <c r="R213" s="22"/>
      <c r="S213" s="22"/>
      <c r="T213" s="22"/>
      <c r="U213" s="22"/>
      <c r="V213" s="22"/>
      <c r="W213" s="22"/>
      <c r="X213" s="134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91"/>
      <c r="AT213" s="91"/>
      <c r="AU213" s="91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</row>
    <row r="214" ht="12.75" customHeight="1">
      <c r="A214" s="8">
        <f t="shared" si="186"/>
        <v>592</v>
      </c>
      <c r="B214" s="8">
        <f t="shared" si="187"/>
        <v>296</v>
      </c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142"/>
      <c r="P214" s="88"/>
      <c r="Q214" s="22"/>
      <c r="R214" s="22"/>
      <c r="S214" s="22"/>
      <c r="T214" s="22"/>
      <c r="U214" s="22"/>
      <c r="V214" s="22"/>
      <c r="W214" s="22"/>
      <c r="X214" s="134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91"/>
      <c r="AT214" s="91"/>
      <c r="AU214" s="91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</row>
    <row r="215" ht="12.75" customHeight="1">
      <c r="A215" s="8">
        <f t="shared" si="186"/>
        <v>600</v>
      </c>
      <c r="B215" s="8">
        <f t="shared" si="187"/>
        <v>300</v>
      </c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142"/>
      <c r="P215" s="88"/>
      <c r="Q215" s="22"/>
      <c r="R215" s="22"/>
      <c r="S215" s="22"/>
      <c r="T215" s="22"/>
      <c r="U215" s="22"/>
      <c r="V215" s="22"/>
      <c r="W215" s="22"/>
      <c r="X215" s="134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91"/>
      <c r="AT215" s="91"/>
      <c r="AU215" s="91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</row>
    <row r="216" ht="12.75" customHeight="1">
      <c r="A216" s="8">
        <f t="shared" si="186"/>
        <v>608</v>
      </c>
      <c r="B216" s="8">
        <f t="shared" si="187"/>
        <v>304</v>
      </c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142"/>
      <c r="P216" s="88"/>
      <c r="Q216" s="22"/>
      <c r="R216" s="22"/>
      <c r="S216" s="22"/>
      <c r="T216" s="22"/>
      <c r="U216" s="22"/>
      <c r="V216" s="22"/>
      <c r="W216" s="22"/>
      <c r="X216" s="134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91"/>
      <c r="AT216" s="91"/>
      <c r="AU216" s="91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</row>
    <row r="217" ht="12.75" customHeight="1">
      <c r="A217" s="8">
        <f t="shared" si="186"/>
        <v>616</v>
      </c>
      <c r="B217" s="8">
        <f t="shared" si="187"/>
        <v>308</v>
      </c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142"/>
      <c r="P217" s="88"/>
      <c r="Q217" s="22"/>
      <c r="R217" s="22"/>
      <c r="S217" s="22"/>
      <c r="T217" s="22"/>
      <c r="U217" s="22"/>
      <c r="V217" s="22"/>
      <c r="W217" s="22"/>
      <c r="X217" s="134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91"/>
      <c r="AT217" s="91"/>
      <c r="AU217" s="91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</row>
    <row r="218" ht="12.75" customHeight="1">
      <c r="A218" s="8">
        <f t="shared" si="186"/>
        <v>624</v>
      </c>
      <c r="B218" s="8">
        <f t="shared" si="187"/>
        <v>312</v>
      </c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142"/>
      <c r="P218" s="88"/>
      <c r="Q218" s="22"/>
      <c r="R218" s="22"/>
      <c r="S218" s="22"/>
      <c r="T218" s="22"/>
      <c r="U218" s="22"/>
      <c r="V218" s="22"/>
      <c r="W218" s="22"/>
      <c r="X218" s="134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91"/>
      <c r="AT218" s="91"/>
      <c r="AU218" s="91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</row>
    <row r="219" ht="12.75" customHeight="1">
      <c r="A219" s="8">
        <f t="shared" si="186"/>
        <v>632</v>
      </c>
      <c r="B219" s="8">
        <f t="shared" si="187"/>
        <v>316</v>
      </c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142"/>
      <c r="P219" s="88"/>
      <c r="Q219" s="22"/>
      <c r="R219" s="22"/>
      <c r="S219" s="22"/>
      <c r="T219" s="22"/>
      <c r="U219" s="22"/>
      <c r="V219" s="22"/>
      <c r="W219" s="22"/>
      <c r="X219" s="134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91"/>
      <c r="AT219" s="91"/>
      <c r="AU219" s="91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</row>
    <row r="220" ht="12.75" customHeight="1">
      <c r="A220" s="8">
        <f t="shared" si="186"/>
        <v>640</v>
      </c>
      <c r="B220" s="8">
        <f t="shared" si="187"/>
        <v>320</v>
      </c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142"/>
      <c r="P220" s="88"/>
      <c r="Q220" s="22"/>
      <c r="R220" s="22"/>
      <c r="S220" s="22"/>
      <c r="T220" s="22"/>
      <c r="U220" s="22"/>
      <c r="V220" s="22"/>
      <c r="W220" s="22"/>
      <c r="X220" s="134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91"/>
      <c r="AT220" s="91"/>
      <c r="AU220" s="91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</row>
    <row r="221" ht="12.75" customHeight="1">
      <c r="A221" s="8">
        <f t="shared" si="186"/>
        <v>648</v>
      </c>
      <c r="B221" s="8">
        <f t="shared" si="187"/>
        <v>324</v>
      </c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142"/>
      <c r="P221" s="88"/>
      <c r="Q221" s="22"/>
      <c r="R221" s="22"/>
      <c r="S221" s="22"/>
      <c r="T221" s="22"/>
      <c r="U221" s="22"/>
      <c r="V221" s="22"/>
      <c r="W221" s="22"/>
      <c r="X221" s="134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91"/>
      <c r="AT221" s="91"/>
      <c r="AU221" s="91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</row>
    <row r="222" ht="12.75" customHeight="1">
      <c r="A222" s="8">
        <f t="shared" si="186"/>
        <v>656</v>
      </c>
      <c r="B222" s="8">
        <f t="shared" si="187"/>
        <v>328</v>
      </c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142"/>
      <c r="P222" s="88"/>
      <c r="Q222" s="22"/>
      <c r="R222" s="22"/>
      <c r="S222" s="22"/>
      <c r="T222" s="22"/>
      <c r="U222" s="22"/>
      <c r="V222" s="22"/>
      <c r="W222" s="22"/>
      <c r="X222" s="134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91"/>
      <c r="AT222" s="91"/>
      <c r="AU222" s="91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</row>
    <row r="223" ht="12.75" customHeight="1">
      <c r="A223" s="8">
        <f t="shared" si="186"/>
        <v>664</v>
      </c>
      <c r="B223" s="8">
        <f t="shared" si="187"/>
        <v>332</v>
      </c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142"/>
      <c r="P223" s="88"/>
      <c r="Q223" s="22"/>
      <c r="R223" s="22"/>
      <c r="S223" s="22"/>
      <c r="T223" s="22"/>
      <c r="U223" s="22"/>
      <c r="V223" s="22"/>
      <c r="W223" s="22"/>
      <c r="X223" s="134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91"/>
      <c r="AT223" s="91"/>
      <c r="AU223" s="91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</row>
    <row r="224" ht="12.75" customHeight="1">
      <c r="A224" s="8">
        <f t="shared" si="186"/>
        <v>672</v>
      </c>
      <c r="B224" s="8">
        <f t="shared" si="187"/>
        <v>336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142"/>
      <c r="P224" s="88"/>
      <c r="Q224" s="22"/>
      <c r="R224" s="22"/>
      <c r="S224" s="22"/>
      <c r="T224" s="22"/>
      <c r="U224" s="22"/>
      <c r="V224" s="22"/>
      <c r="W224" s="22"/>
      <c r="X224" s="134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91"/>
      <c r="AT224" s="91"/>
      <c r="AU224" s="91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</row>
    <row r="225" ht="12.75" customHeight="1">
      <c r="A225" s="8">
        <f t="shared" si="186"/>
        <v>680</v>
      </c>
      <c r="B225" s="8">
        <f t="shared" si="187"/>
        <v>340</v>
      </c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142"/>
      <c r="P225" s="88"/>
      <c r="Q225" s="22"/>
      <c r="R225" s="22"/>
      <c r="S225" s="22"/>
      <c r="T225" s="22"/>
      <c r="U225" s="22"/>
      <c r="V225" s="22"/>
      <c r="W225" s="22"/>
      <c r="X225" s="134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91"/>
      <c r="AT225" s="91"/>
      <c r="AU225" s="91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</row>
    <row r="226" ht="12.75" customHeight="1">
      <c r="A226" s="8">
        <f t="shared" si="186"/>
        <v>688</v>
      </c>
      <c r="B226" s="8">
        <f t="shared" si="187"/>
        <v>344</v>
      </c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142"/>
      <c r="P226" s="88"/>
      <c r="Q226" s="22"/>
      <c r="R226" s="22"/>
      <c r="S226" s="22"/>
      <c r="T226" s="22"/>
      <c r="U226" s="22"/>
      <c r="V226" s="22"/>
      <c r="W226" s="22"/>
      <c r="X226" s="134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91"/>
      <c r="AT226" s="91"/>
      <c r="AU226" s="91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</row>
    <row r="227" ht="12.75" customHeight="1">
      <c r="A227" s="8">
        <f t="shared" si="186"/>
        <v>696</v>
      </c>
      <c r="B227" s="8">
        <f t="shared" si="187"/>
        <v>348</v>
      </c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142"/>
      <c r="P227" s="88"/>
      <c r="Q227" s="22"/>
      <c r="R227" s="22"/>
      <c r="S227" s="22"/>
      <c r="T227" s="22"/>
      <c r="U227" s="22"/>
      <c r="V227" s="22"/>
      <c r="W227" s="22"/>
      <c r="X227" s="134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91"/>
      <c r="AT227" s="91"/>
      <c r="AU227" s="91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</row>
    <row r="228" ht="12.75" customHeight="1">
      <c r="A228" s="8">
        <f t="shared" si="186"/>
        <v>704</v>
      </c>
      <c r="B228" s="8">
        <f t="shared" si="187"/>
        <v>352</v>
      </c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142"/>
      <c r="P228" s="88"/>
      <c r="Q228" s="22"/>
      <c r="R228" s="22"/>
      <c r="S228" s="22"/>
      <c r="T228" s="22"/>
      <c r="U228" s="22"/>
      <c r="V228" s="22"/>
      <c r="W228" s="22"/>
      <c r="X228" s="134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91"/>
      <c r="AT228" s="91"/>
      <c r="AU228" s="91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</row>
    <row r="229" ht="12.75" customHeight="1">
      <c r="A229" s="8">
        <f t="shared" si="186"/>
        <v>712</v>
      </c>
      <c r="B229" s="8">
        <f t="shared" si="187"/>
        <v>356</v>
      </c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142"/>
      <c r="P229" s="88"/>
      <c r="Q229" s="22"/>
      <c r="R229" s="22"/>
      <c r="S229" s="22"/>
      <c r="T229" s="22"/>
      <c r="U229" s="22"/>
      <c r="V229" s="22"/>
      <c r="W229" s="22"/>
      <c r="X229" s="134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91"/>
      <c r="AT229" s="91"/>
      <c r="AU229" s="91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</row>
    <row r="230" ht="12.75" customHeight="1">
      <c r="A230" s="8">
        <f t="shared" si="186"/>
        <v>720</v>
      </c>
      <c r="B230" s="8">
        <f t="shared" si="187"/>
        <v>360</v>
      </c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142"/>
      <c r="P230" s="88"/>
      <c r="Q230" s="22"/>
      <c r="R230" s="22"/>
      <c r="S230" s="22"/>
      <c r="T230" s="22"/>
      <c r="U230" s="22"/>
      <c r="V230" s="22"/>
      <c r="W230" s="22"/>
      <c r="X230" s="134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91"/>
      <c r="AT230" s="91"/>
      <c r="AU230" s="91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</row>
    <row r="231" ht="12.75" customHeight="1">
      <c r="A231" s="8"/>
      <c r="B231" s="8">
        <f t="shared" si="187"/>
        <v>364</v>
      </c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142"/>
      <c r="P231" s="88"/>
      <c r="Q231" s="22"/>
      <c r="R231" s="22"/>
      <c r="S231" s="22"/>
      <c r="T231" s="22"/>
      <c r="U231" s="22"/>
      <c r="V231" s="22"/>
      <c r="W231" s="22"/>
      <c r="X231" s="134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91"/>
      <c r="AT231" s="91"/>
      <c r="AU231" s="91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</row>
    <row r="232" ht="12.75" customHeight="1">
      <c r="A232" s="8"/>
      <c r="B232" s="8">
        <f t="shared" si="187"/>
        <v>368</v>
      </c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142"/>
      <c r="P232" s="88"/>
      <c r="Q232" s="22"/>
      <c r="R232" s="22"/>
      <c r="S232" s="22"/>
      <c r="T232" s="22"/>
      <c r="U232" s="22"/>
      <c r="V232" s="22"/>
      <c r="W232" s="22"/>
      <c r="X232" s="134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91"/>
      <c r="AT232" s="91"/>
      <c r="AU232" s="91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</row>
    <row r="233" ht="12.75" customHeight="1">
      <c r="A233" s="8"/>
      <c r="B233" s="8">
        <f t="shared" si="187"/>
        <v>372</v>
      </c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142"/>
      <c r="P233" s="88"/>
      <c r="Q233" s="22"/>
      <c r="R233" s="22"/>
      <c r="S233" s="22"/>
      <c r="T233" s="22"/>
      <c r="U233" s="22"/>
      <c r="V233" s="22"/>
      <c r="W233" s="22"/>
      <c r="X233" s="134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91"/>
      <c r="AT233" s="91"/>
      <c r="AU233" s="91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</row>
    <row r="234" ht="12.75" customHeight="1">
      <c r="A234" s="8"/>
      <c r="B234" s="8">
        <f t="shared" si="187"/>
        <v>376</v>
      </c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142"/>
      <c r="P234" s="88"/>
      <c r="Q234" s="22"/>
      <c r="R234" s="22"/>
      <c r="S234" s="22"/>
      <c r="T234" s="22"/>
      <c r="U234" s="22"/>
      <c r="V234" s="22"/>
      <c r="W234" s="22"/>
      <c r="X234" s="134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91"/>
      <c r="AT234" s="91"/>
      <c r="AU234" s="91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</row>
    <row r="235" ht="12.75" customHeight="1">
      <c r="A235" s="8"/>
      <c r="B235" s="8">
        <f t="shared" si="187"/>
        <v>380</v>
      </c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142"/>
      <c r="P235" s="88"/>
      <c r="Q235" s="22"/>
      <c r="R235" s="22"/>
      <c r="S235" s="22"/>
      <c r="T235" s="22"/>
      <c r="U235" s="22"/>
      <c r="V235" s="22"/>
      <c r="W235" s="22"/>
      <c r="X235" s="134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91"/>
      <c r="AT235" s="91"/>
      <c r="AU235" s="91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</row>
    <row r="236" ht="12.75" customHeight="1">
      <c r="A236" s="8"/>
      <c r="B236" s="8">
        <f t="shared" si="187"/>
        <v>384</v>
      </c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142"/>
      <c r="P236" s="88"/>
      <c r="Q236" s="22"/>
      <c r="R236" s="22"/>
      <c r="S236" s="22"/>
      <c r="T236" s="22"/>
      <c r="U236" s="22"/>
      <c r="V236" s="22"/>
      <c r="W236" s="22"/>
      <c r="X236" s="134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91"/>
      <c r="AT236" s="91"/>
      <c r="AU236" s="91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</row>
    <row r="237" ht="12.75" customHeight="1">
      <c r="A237" s="8"/>
      <c r="B237" s="8">
        <f t="shared" si="187"/>
        <v>388</v>
      </c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142"/>
      <c r="P237" s="88"/>
      <c r="Q237" s="22"/>
      <c r="R237" s="22"/>
      <c r="S237" s="22"/>
      <c r="T237" s="22"/>
      <c r="U237" s="22"/>
      <c r="V237" s="22"/>
      <c r="W237" s="22"/>
      <c r="X237" s="134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91"/>
      <c r="AT237" s="91"/>
      <c r="AU237" s="91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</row>
    <row r="238" ht="12.75" customHeight="1">
      <c r="A238" s="8"/>
      <c r="B238" s="8">
        <f t="shared" si="187"/>
        <v>392</v>
      </c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142"/>
      <c r="P238" s="88"/>
      <c r="Q238" s="22"/>
      <c r="R238" s="22"/>
      <c r="S238" s="22"/>
      <c r="T238" s="22"/>
      <c r="U238" s="22"/>
      <c r="V238" s="22"/>
      <c r="W238" s="22"/>
      <c r="X238" s="134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91"/>
      <c r="AT238" s="91"/>
      <c r="AU238" s="91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</row>
    <row r="239" ht="12.75" customHeight="1">
      <c r="A239" s="8"/>
      <c r="B239" s="8">
        <f t="shared" si="187"/>
        <v>396</v>
      </c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142"/>
      <c r="P239" s="88"/>
      <c r="Q239" s="22"/>
      <c r="R239" s="22"/>
      <c r="S239" s="22"/>
      <c r="T239" s="22"/>
      <c r="U239" s="22"/>
      <c r="V239" s="22"/>
      <c r="W239" s="22"/>
      <c r="X239" s="134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91"/>
      <c r="AT239" s="91"/>
      <c r="AU239" s="91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</row>
    <row r="240" ht="12.75" customHeight="1">
      <c r="A240" s="8"/>
      <c r="B240" s="8">
        <f t="shared" si="187"/>
        <v>400</v>
      </c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142"/>
      <c r="P240" s="88"/>
      <c r="Q240" s="22"/>
      <c r="R240" s="22"/>
      <c r="S240" s="22"/>
      <c r="T240" s="22"/>
      <c r="U240" s="22"/>
      <c r="V240" s="22"/>
      <c r="W240" s="22"/>
      <c r="X240" s="134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91"/>
      <c r="AT240" s="91"/>
      <c r="AU240" s="91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</row>
    <row r="241" ht="12.75" customHeight="1">
      <c r="A241" s="8"/>
      <c r="B241" s="8">
        <f t="shared" si="187"/>
        <v>404</v>
      </c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142"/>
      <c r="P241" s="88"/>
      <c r="Q241" s="22"/>
      <c r="R241" s="22"/>
      <c r="S241" s="22"/>
      <c r="T241" s="22"/>
      <c r="U241" s="22"/>
      <c r="V241" s="22"/>
      <c r="W241" s="22"/>
      <c r="X241" s="134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91"/>
      <c r="AT241" s="91"/>
      <c r="AU241" s="91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</row>
    <row r="242" ht="12.75" customHeight="1">
      <c r="A242" s="8"/>
      <c r="B242" s="8">
        <f t="shared" si="187"/>
        <v>408</v>
      </c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142"/>
      <c r="P242" s="88"/>
      <c r="Q242" s="22"/>
      <c r="R242" s="22"/>
      <c r="S242" s="22"/>
      <c r="T242" s="22"/>
      <c r="U242" s="22"/>
      <c r="V242" s="22"/>
      <c r="W242" s="22"/>
      <c r="X242" s="134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91"/>
      <c r="AT242" s="91"/>
      <c r="AU242" s="91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</row>
    <row r="243" ht="12.75" customHeight="1">
      <c r="A243" s="8"/>
      <c r="B243" s="8">
        <f t="shared" si="187"/>
        <v>412</v>
      </c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142"/>
      <c r="P243" s="88"/>
      <c r="Q243" s="22"/>
      <c r="R243" s="22"/>
      <c r="S243" s="22"/>
      <c r="T243" s="22"/>
      <c r="U243" s="22"/>
      <c r="V243" s="22"/>
      <c r="W243" s="22"/>
      <c r="X243" s="134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91"/>
      <c r="AT243" s="91"/>
      <c r="AU243" s="91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</row>
    <row r="244" ht="12.75" customHeight="1">
      <c r="A244" s="8"/>
      <c r="B244" s="8">
        <f t="shared" si="187"/>
        <v>416</v>
      </c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142"/>
      <c r="P244" s="88"/>
      <c r="Q244" s="22"/>
      <c r="R244" s="22"/>
      <c r="S244" s="22"/>
      <c r="T244" s="22"/>
      <c r="U244" s="22"/>
      <c r="V244" s="22"/>
      <c r="W244" s="22"/>
      <c r="X244" s="134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91"/>
      <c r="AT244" s="91"/>
      <c r="AU244" s="91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</row>
    <row r="245" ht="12.75" customHeight="1">
      <c r="A245" s="8"/>
      <c r="B245" s="8">
        <f t="shared" si="187"/>
        <v>420</v>
      </c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142"/>
      <c r="P245" s="88"/>
      <c r="Q245" s="22"/>
      <c r="R245" s="22"/>
      <c r="S245" s="22"/>
      <c r="T245" s="22"/>
      <c r="U245" s="22"/>
      <c r="V245" s="22"/>
      <c r="W245" s="22"/>
      <c r="X245" s="134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91"/>
      <c r="AT245" s="91"/>
      <c r="AU245" s="91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</row>
    <row r="246" ht="12.75" customHeight="1">
      <c r="A246" s="8"/>
      <c r="B246" s="8">
        <f t="shared" si="187"/>
        <v>424</v>
      </c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142"/>
      <c r="P246" s="88"/>
      <c r="Q246" s="22"/>
      <c r="R246" s="22"/>
      <c r="S246" s="22"/>
      <c r="T246" s="22"/>
      <c r="U246" s="22"/>
      <c r="V246" s="22"/>
      <c r="W246" s="22"/>
      <c r="X246" s="134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91"/>
      <c r="AT246" s="91"/>
      <c r="AU246" s="91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</row>
    <row r="247" ht="12.75" customHeight="1">
      <c r="A247" s="8"/>
      <c r="B247" s="8">
        <f t="shared" si="187"/>
        <v>428</v>
      </c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142"/>
      <c r="P247" s="88"/>
      <c r="Q247" s="22"/>
      <c r="R247" s="22"/>
      <c r="S247" s="22"/>
      <c r="T247" s="22"/>
      <c r="U247" s="22"/>
      <c r="V247" s="22"/>
      <c r="W247" s="22"/>
      <c r="X247" s="134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91"/>
      <c r="AT247" s="91"/>
      <c r="AU247" s="91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</row>
    <row r="248" ht="12.75" customHeight="1">
      <c r="A248" s="8"/>
      <c r="B248" s="8">
        <f t="shared" si="187"/>
        <v>432</v>
      </c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142"/>
      <c r="P248" s="88"/>
      <c r="Q248" s="22"/>
      <c r="R248" s="22"/>
      <c r="S248" s="22"/>
      <c r="T248" s="22"/>
      <c r="U248" s="22"/>
      <c r="V248" s="22"/>
      <c r="W248" s="22"/>
      <c r="X248" s="134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91"/>
      <c r="AT248" s="91"/>
      <c r="AU248" s="91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</row>
    <row r="249" ht="12.75" customHeight="1">
      <c r="A249" s="8"/>
      <c r="B249" s="8">
        <f t="shared" si="187"/>
        <v>436</v>
      </c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142"/>
      <c r="P249" s="88"/>
      <c r="Q249" s="22"/>
      <c r="R249" s="22"/>
      <c r="S249" s="22"/>
      <c r="T249" s="22"/>
      <c r="U249" s="22"/>
      <c r="V249" s="22"/>
      <c r="W249" s="22"/>
      <c r="X249" s="134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91"/>
      <c r="AT249" s="91"/>
      <c r="AU249" s="91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</row>
    <row r="250" ht="12.75" customHeight="1">
      <c r="A250" s="8"/>
      <c r="B250" s="8">
        <f t="shared" si="187"/>
        <v>440</v>
      </c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142"/>
      <c r="P250" s="88"/>
      <c r="Q250" s="22"/>
      <c r="R250" s="22"/>
      <c r="S250" s="22"/>
      <c r="T250" s="22"/>
      <c r="U250" s="22"/>
      <c r="V250" s="22"/>
      <c r="W250" s="22"/>
      <c r="X250" s="134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91"/>
      <c r="AT250" s="91"/>
      <c r="AU250" s="91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</row>
    <row r="251" ht="12.75" customHeight="1">
      <c r="A251" s="8"/>
      <c r="B251" s="8">
        <f t="shared" si="187"/>
        <v>444</v>
      </c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142"/>
      <c r="P251" s="88"/>
      <c r="Q251" s="22"/>
      <c r="R251" s="22"/>
      <c r="S251" s="22"/>
      <c r="T251" s="22"/>
      <c r="U251" s="22"/>
      <c r="V251" s="22"/>
      <c r="W251" s="22"/>
      <c r="X251" s="134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91"/>
      <c r="AT251" s="91"/>
      <c r="AU251" s="91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</row>
    <row r="252" ht="12.75" customHeight="1">
      <c r="A252" s="8"/>
      <c r="B252" s="8">
        <f t="shared" si="187"/>
        <v>448</v>
      </c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142"/>
      <c r="P252" s="88"/>
      <c r="Q252" s="22"/>
      <c r="R252" s="22"/>
      <c r="S252" s="22"/>
      <c r="T252" s="22"/>
      <c r="U252" s="22"/>
      <c r="V252" s="22"/>
      <c r="W252" s="22"/>
      <c r="X252" s="134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91"/>
      <c r="AT252" s="91"/>
      <c r="AU252" s="91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</row>
    <row r="253" ht="12.75" customHeight="1">
      <c r="A253" s="8"/>
      <c r="B253" s="8">
        <f t="shared" si="187"/>
        <v>452</v>
      </c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142"/>
      <c r="P253" s="88"/>
      <c r="Q253" s="22"/>
      <c r="R253" s="22"/>
      <c r="S253" s="22"/>
      <c r="T253" s="22"/>
      <c r="U253" s="22"/>
      <c r="V253" s="22"/>
      <c r="W253" s="22"/>
      <c r="X253" s="134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91"/>
      <c r="AT253" s="91"/>
      <c r="AU253" s="91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</row>
    <row r="254" ht="12.75" customHeight="1">
      <c r="A254" s="8"/>
      <c r="B254" s="8">
        <f t="shared" si="187"/>
        <v>456</v>
      </c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142"/>
      <c r="P254" s="88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91"/>
      <c r="AT254" s="91"/>
      <c r="AU254" s="91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</row>
    <row r="255" ht="12.75" customHeight="1">
      <c r="A255" s="8"/>
      <c r="B255" s="8">
        <f t="shared" si="187"/>
        <v>460</v>
      </c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142"/>
      <c r="P255" s="88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91"/>
      <c r="AT255" s="91"/>
      <c r="AU255" s="91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</row>
    <row r="256" ht="12.75" customHeight="1">
      <c r="A256" s="8"/>
      <c r="B256" s="8">
        <f t="shared" si="187"/>
        <v>464</v>
      </c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142"/>
      <c r="P256" s="88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91"/>
      <c r="AT256" s="91"/>
      <c r="AU256" s="91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</row>
    <row r="257" ht="12.75" customHeight="1">
      <c r="A257" s="8"/>
      <c r="B257" s="8">
        <f t="shared" si="187"/>
        <v>468</v>
      </c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142"/>
      <c r="P257" s="88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91"/>
      <c r="AT257" s="91"/>
      <c r="AU257" s="91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</row>
    <row r="258" ht="12.75" customHeight="1">
      <c r="A258" s="8"/>
      <c r="B258" s="8">
        <f t="shared" si="187"/>
        <v>472</v>
      </c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142"/>
      <c r="P258" s="88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91"/>
      <c r="AT258" s="91"/>
      <c r="AU258" s="91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</row>
    <row r="259" ht="12.75" customHeight="1">
      <c r="A259" s="8"/>
      <c r="B259" s="8">
        <f t="shared" si="187"/>
        <v>476</v>
      </c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142"/>
      <c r="P259" s="88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91"/>
      <c r="AT259" s="91"/>
      <c r="AU259" s="91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</row>
    <row r="260" ht="12.75" customHeight="1">
      <c r="A260" s="8"/>
      <c r="B260" s="8">
        <f t="shared" si="187"/>
        <v>480</v>
      </c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142"/>
      <c r="P260" s="88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91"/>
      <c r="AT260" s="91"/>
      <c r="AU260" s="91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</row>
    <row r="261" ht="12.75" customHeight="1">
      <c r="A261" s="8"/>
      <c r="B261" s="8">
        <f t="shared" si="187"/>
        <v>484</v>
      </c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142"/>
      <c r="P261" s="88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91"/>
      <c r="AT261" s="91"/>
      <c r="AU261" s="91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</row>
    <row r="262" ht="12.75" customHeight="1">
      <c r="A262" s="8"/>
      <c r="B262" s="8">
        <f t="shared" si="187"/>
        <v>488</v>
      </c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142"/>
      <c r="P262" s="88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91"/>
      <c r="AT262" s="91"/>
      <c r="AU262" s="91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</row>
    <row r="263" ht="12.75" customHeight="1">
      <c r="A263" s="8"/>
      <c r="B263" s="8">
        <f t="shared" si="187"/>
        <v>492</v>
      </c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142"/>
      <c r="P263" s="88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91"/>
      <c r="AT263" s="91"/>
      <c r="AU263" s="91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</row>
    <row r="264" ht="12.75" customHeight="1">
      <c r="A264" s="8"/>
      <c r="B264" s="8">
        <f t="shared" si="187"/>
        <v>496</v>
      </c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142"/>
      <c r="P264" s="88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91"/>
      <c r="AT264" s="91"/>
      <c r="AU264" s="91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</row>
    <row r="265" ht="12.75" customHeight="1">
      <c r="A265" s="8"/>
      <c r="B265" s="8">
        <f t="shared" si="187"/>
        <v>500</v>
      </c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142"/>
      <c r="P265" s="88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91"/>
      <c r="AT265" s="91"/>
      <c r="AU265" s="91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</row>
    <row r="266" ht="12.75" customHeight="1">
      <c r="A266" s="8"/>
      <c r="B266" s="8">
        <f t="shared" si="187"/>
        <v>504</v>
      </c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142"/>
      <c r="P266" s="88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91"/>
      <c r="AT266" s="91"/>
      <c r="AU266" s="91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</row>
    <row r="267" ht="12.75" customHeight="1">
      <c r="A267" s="8"/>
      <c r="B267" s="8">
        <f t="shared" si="187"/>
        <v>508</v>
      </c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142"/>
      <c r="P267" s="88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91"/>
      <c r="AT267" s="91"/>
      <c r="AU267" s="91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</row>
    <row r="268" ht="12.75" customHeight="1">
      <c r="A268" s="8"/>
      <c r="B268" s="8">
        <f t="shared" si="187"/>
        <v>512</v>
      </c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142"/>
      <c r="P268" s="88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91"/>
      <c r="AT268" s="91"/>
      <c r="AU268" s="91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</row>
    <row r="269" ht="12.75" customHeight="1">
      <c r="A269" s="8"/>
      <c r="B269" s="8">
        <f t="shared" si="187"/>
        <v>516</v>
      </c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142"/>
      <c r="P269" s="88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91"/>
      <c r="AT269" s="91"/>
      <c r="AU269" s="91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</row>
    <row r="270" ht="12.75" customHeight="1">
      <c r="A270" s="8"/>
      <c r="B270" s="8">
        <f t="shared" si="187"/>
        <v>520</v>
      </c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142"/>
      <c r="P270" s="88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91"/>
      <c r="AT270" s="91"/>
      <c r="AU270" s="91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</row>
    <row r="271" ht="12.75" customHeight="1">
      <c r="A271" s="8"/>
      <c r="B271" s="8">
        <f t="shared" si="187"/>
        <v>524</v>
      </c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142"/>
      <c r="P271" s="88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91"/>
      <c r="AT271" s="91"/>
      <c r="AU271" s="91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</row>
    <row r="272" ht="12.75" customHeight="1">
      <c r="A272" s="8"/>
      <c r="B272" s="8">
        <f t="shared" si="187"/>
        <v>528</v>
      </c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142"/>
      <c r="P272" s="88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91"/>
      <c r="AT272" s="91"/>
      <c r="AU272" s="91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</row>
    <row r="273" ht="12.75" customHeight="1">
      <c r="A273" s="8"/>
      <c r="B273" s="8">
        <f t="shared" si="187"/>
        <v>532</v>
      </c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142"/>
      <c r="P273" s="88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91"/>
      <c r="AT273" s="91"/>
      <c r="AU273" s="91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</row>
    <row r="274" ht="12.75" customHeight="1">
      <c r="A274" s="8"/>
      <c r="B274" s="8">
        <f t="shared" si="187"/>
        <v>536</v>
      </c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142"/>
      <c r="P274" s="88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91"/>
      <c r="AT274" s="91"/>
      <c r="AU274" s="91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</row>
    <row r="275" ht="12.75" customHeight="1">
      <c r="A275" s="8"/>
      <c r="B275" s="8">
        <f t="shared" si="187"/>
        <v>540</v>
      </c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142"/>
      <c r="P275" s="88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91"/>
      <c r="AT275" s="91"/>
      <c r="AU275" s="91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</row>
    <row r="276" ht="12.75" customHeight="1">
      <c r="A276" s="8"/>
      <c r="B276" s="8">
        <f t="shared" si="187"/>
        <v>544</v>
      </c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142"/>
      <c r="P276" s="88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91"/>
      <c r="AT276" s="91"/>
      <c r="AU276" s="91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</row>
    <row r="277" ht="12.75" customHeight="1">
      <c r="A277" s="8"/>
      <c r="B277" s="8">
        <f t="shared" si="187"/>
        <v>548</v>
      </c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142"/>
      <c r="P277" s="88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91"/>
      <c r="AT277" s="91"/>
      <c r="AU277" s="91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</row>
    <row r="278" ht="12.75" customHeight="1">
      <c r="A278" s="8"/>
      <c r="B278" s="8">
        <f t="shared" si="187"/>
        <v>552</v>
      </c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142"/>
      <c r="P278" s="88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91"/>
      <c r="AT278" s="91"/>
      <c r="AU278" s="91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</row>
    <row r="279" ht="12.75" customHeight="1">
      <c r="A279" s="8"/>
      <c r="B279" s="8">
        <f t="shared" si="187"/>
        <v>556</v>
      </c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142"/>
      <c r="P279" s="88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91"/>
      <c r="AT279" s="91"/>
      <c r="AU279" s="91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</row>
    <row r="280" ht="12.75" customHeight="1">
      <c r="A280" s="8"/>
      <c r="B280" s="8">
        <f t="shared" si="187"/>
        <v>560</v>
      </c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142"/>
      <c r="P280" s="88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91"/>
      <c r="AT280" s="91"/>
      <c r="AU280" s="91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</row>
    <row r="281" ht="12.75" customHeight="1">
      <c r="A281" s="8"/>
      <c r="B281" s="8">
        <f t="shared" si="187"/>
        <v>564</v>
      </c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142"/>
      <c r="P281" s="88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91"/>
      <c r="AT281" s="91"/>
      <c r="AU281" s="91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</row>
    <row r="282" ht="12.75" customHeight="1">
      <c r="A282" s="8"/>
      <c r="B282" s="8">
        <f t="shared" si="187"/>
        <v>568</v>
      </c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142"/>
      <c r="P282" s="88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91"/>
      <c r="AT282" s="91"/>
      <c r="AU282" s="91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</row>
    <row r="283" ht="12.75" customHeight="1">
      <c r="A283" s="8"/>
      <c r="B283" s="8">
        <f t="shared" si="187"/>
        <v>572</v>
      </c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142"/>
      <c r="P283" s="88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91"/>
      <c r="AT283" s="91"/>
      <c r="AU283" s="91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</row>
    <row r="284" ht="12.75" customHeight="1">
      <c r="A284" s="8"/>
      <c r="B284" s="8">
        <f t="shared" si="187"/>
        <v>576</v>
      </c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142"/>
      <c r="P284" s="88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91"/>
      <c r="AT284" s="91"/>
      <c r="AU284" s="91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</row>
    <row r="285" ht="12.75" customHeight="1">
      <c r="A285" s="8"/>
      <c r="B285" s="8">
        <f t="shared" si="187"/>
        <v>580</v>
      </c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142"/>
      <c r="P285" s="88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91"/>
      <c r="AT285" s="91"/>
      <c r="AU285" s="91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</row>
    <row r="286" ht="12.75" customHeight="1">
      <c r="A286" s="8"/>
      <c r="B286" s="8">
        <f t="shared" si="187"/>
        <v>584</v>
      </c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142"/>
      <c r="P286" s="88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91"/>
      <c r="AT286" s="91"/>
      <c r="AU286" s="91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</row>
    <row r="287" ht="12.75" customHeight="1">
      <c r="A287" s="8"/>
      <c r="B287" s="8">
        <f t="shared" si="187"/>
        <v>588</v>
      </c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142"/>
      <c r="P287" s="88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91"/>
      <c r="AT287" s="91"/>
      <c r="AU287" s="91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</row>
    <row r="288" ht="12.75" customHeight="1">
      <c r="A288" s="8"/>
      <c r="B288" s="8">
        <f t="shared" si="187"/>
        <v>592</v>
      </c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142"/>
      <c r="P288" s="88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91"/>
      <c r="AT288" s="91"/>
      <c r="AU288" s="91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</row>
    <row r="289" ht="12.75" customHeight="1">
      <c r="A289" s="8"/>
      <c r="B289" s="8">
        <f t="shared" si="187"/>
        <v>596</v>
      </c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142"/>
      <c r="P289" s="88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91"/>
      <c r="AT289" s="91"/>
      <c r="AU289" s="91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</row>
    <row r="290" ht="12.75" customHeight="1">
      <c r="A290" s="8"/>
      <c r="B290" s="8">
        <f t="shared" si="187"/>
        <v>600</v>
      </c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142"/>
      <c r="P290" s="88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91"/>
      <c r="AT290" s="91"/>
      <c r="AU290" s="91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</row>
    <row r="291" ht="12.75" customHeight="1">
      <c r="A291" s="8"/>
      <c r="B291" s="8">
        <f t="shared" si="187"/>
        <v>604</v>
      </c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142"/>
      <c r="P291" s="88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91"/>
      <c r="AT291" s="91"/>
      <c r="AU291" s="91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</row>
    <row r="292" ht="12.75" customHeight="1">
      <c r="A292" s="8"/>
      <c r="B292" s="8">
        <f t="shared" si="187"/>
        <v>608</v>
      </c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142"/>
      <c r="P292" s="88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91"/>
      <c r="AT292" s="91"/>
      <c r="AU292" s="91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</row>
    <row r="293" ht="12.75" customHeight="1">
      <c r="A293" s="8"/>
      <c r="B293" s="8">
        <f t="shared" si="187"/>
        <v>612</v>
      </c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142"/>
      <c r="P293" s="88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91"/>
      <c r="AT293" s="91"/>
      <c r="AU293" s="91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</row>
    <row r="294" ht="12.75" customHeight="1">
      <c r="A294" s="8"/>
      <c r="B294" s="8">
        <f t="shared" si="187"/>
        <v>616</v>
      </c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142"/>
      <c r="P294" s="88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91"/>
      <c r="AT294" s="91"/>
      <c r="AU294" s="91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</row>
    <row r="295" ht="12.75" customHeight="1">
      <c r="A295" s="8"/>
      <c r="B295" s="8">
        <f t="shared" si="187"/>
        <v>620</v>
      </c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142"/>
      <c r="P295" s="88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91"/>
      <c r="AT295" s="91"/>
      <c r="AU295" s="91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</row>
    <row r="296" ht="12.75" customHeight="1">
      <c r="A296" s="8"/>
      <c r="B296" s="8">
        <f t="shared" si="187"/>
        <v>624</v>
      </c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142"/>
      <c r="P296" s="88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91"/>
      <c r="AT296" s="91"/>
      <c r="AU296" s="91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</row>
    <row r="297" ht="12.75" customHeight="1">
      <c r="A297" s="8"/>
      <c r="B297" s="8">
        <f t="shared" si="187"/>
        <v>628</v>
      </c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142"/>
      <c r="P297" s="88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91"/>
      <c r="AT297" s="91"/>
      <c r="AU297" s="91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</row>
    <row r="298" ht="12.75" customHeight="1">
      <c r="A298" s="8"/>
      <c r="B298" s="8">
        <f t="shared" si="187"/>
        <v>632</v>
      </c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142"/>
      <c r="P298" s="88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91"/>
      <c r="AT298" s="91"/>
      <c r="AU298" s="91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</row>
    <row r="299" ht="12.75" customHeight="1">
      <c r="A299" s="8"/>
      <c r="B299" s="8">
        <f t="shared" si="187"/>
        <v>636</v>
      </c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142"/>
      <c r="P299" s="88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91"/>
      <c r="AT299" s="91"/>
      <c r="AU299" s="91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</row>
    <row r="300" ht="12.75" customHeight="1">
      <c r="A300" s="8"/>
      <c r="B300" s="8">
        <f t="shared" si="187"/>
        <v>640</v>
      </c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142"/>
      <c r="P300" s="88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91"/>
      <c r="AT300" s="91"/>
      <c r="AU300" s="91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</row>
    <row r="301" ht="12.75" customHeight="1">
      <c r="A301" s="8"/>
      <c r="B301" s="8">
        <f t="shared" si="187"/>
        <v>644</v>
      </c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142"/>
      <c r="P301" s="88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91"/>
      <c r="AT301" s="91"/>
      <c r="AU301" s="91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</row>
    <row r="302" ht="12.75" customHeight="1">
      <c r="A302" s="8"/>
      <c r="B302" s="8">
        <f t="shared" si="187"/>
        <v>648</v>
      </c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142"/>
      <c r="P302" s="88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91"/>
      <c r="AT302" s="91"/>
      <c r="AU302" s="91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</row>
    <row r="303" ht="12.75" customHeight="1">
      <c r="A303" s="8"/>
      <c r="B303" s="8">
        <f t="shared" si="187"/>
        <v>652</v>
      </c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142"/>
      <c r="P303" s="88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91"/>
      <c r="AT303" s="91"/>
      <c r="AU303" s="91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</row>
    <row r="304" ht="12.75" customHeight="1">
      <c r="A304" s="8"/>
      <c r="B304" s="8">
        <f t="shared" si="187"/>
        <v>656</v>
      </c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142"/>
      <c r="P304" s="88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91"/>
      <c r="AT304" s="91"/>
      <c r="AU304" s="91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</row>
    <row r="305" ht="12.75" customHeight="1">
      <c r="A305" s="8"/>
      <c r="B305" s="8">
        <f t="shared" si="187"/>
        <v>660</v>
      </c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142"/>
      <c r="P305" s="88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91"/>
      <c r="AT305" s="91"/>
      <c r="AU305" s="91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</row>
    <row r="306" ht="12.75" customHeight="1">
      <c r="A306" s="8"/>
      <c r="B306" s="8">
        <f t="shared" si="187"/>
        <v>664</v>
      </c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142"/>
      <c r="P306" s="88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91"/>
      <c r="AT306" s="91"/>
      <c r="AU306" s="91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</row>
    <row r="307" ht="12.75" customHeight="1">
      <c r="A307" s="8"/>
      <c r="B307" s="8">
        <f t="shared" si="187"/>
        <v>668</v>
      </c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142"/>
      <c r="P307" s="88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91"/>
      <c r="AT307" s="91"/>
      <c r="AU307" s="91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</row>
    <row r="308" ht="12.75" customHeight="1">
      <c r="A308" s="8"/>
      <c r="B308" s="8">
        <f t="shared" si="187"/>
        <v>672</v>
      </c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142"/>
      <c r="P308" s="88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91"/>
      <c r="AT308" s="91"/>
      <c r="AU308" s="91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</row>
    <row r="309" ht="12.75" customHeight="1">
      <c r="A309" s="8"/>
      <c r="B309" s="8">
        <f t="shared" si="187"/>
        <v>676</v>
      </c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142"/>
      <c r="P309" s="88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91"/>
      <c r="AT309" s="91"/>
      <c r="AU309" s="91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</row>
    <row r="310" ht="12.75" customHeight="1">
      <c r="A310" s="8"/>
      <c r="B310" s="8">
        <f t="shared" si="187"/>
        <v>680</v>
      </c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142"/>
      <c r="P310" s="88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91"/>
      <c r="AT310" s="91"/>
      <c r="AU310" s="91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</row>
    <row r="311" ht="12.75" customHeight="1">
      <c r="A311" s="8"/>
      <c r="B311" s="8">
        <f t="shared" si="187"/>
        <v>684</v>
      </c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142"/>
      <c r="P311" s="88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91"/>
      <c r="AT311" s="91"/>
      <c r="AU311" s="91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</row>
    <row r="312" ht="12.75" customHeight="1">
      <c r="A312" s="8"/>
      <c r="B312" s="8">
        <f t="shared" si="187"/>
        <v>688</v>
      </c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142"/>
      <c r="P312" s="88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91"/>
      <c r="AT312" s="91"/>
      <c r="AU312" s="91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</row>
    <row r="313" ht="12.75" customHeight="1">
      <c r="A313" s="8"/>
      <c r="B313" s="8">
        <f t="shared" si="187"/>
        <v>692</v>
      </c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142"/>
      <c r="P313" s="88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91"/>
      <c r="AT313" s="91"/>
      <c r="AU313" s="91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</row>
    <row r="314" ht="12.75" customHeight="1">
      <c r="A314" s="8"/>
      <c r="B314" s="8">
        <f t="shared" si="187"/>
        <v>696</v>
      </c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142"/>
      <c r="P314" s="88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91"/>
      <c r="AT314" s="91"/>
      <c r="AU314" s="91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</row>
    <row r="315" ht="12.75" customHeight="1">
      <c r="A315" s="8"/>
      <c r="B315" s="8">
        <f t="shared" si="187"/>
        <v>700</v>
      </c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142"/>
      <c r="P315" s="88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91"/>
      <c r="AT315" s="91"/>
      <c r="AU315" s="91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</row>
    <row r="316" ht="12.75" customHeight="1">
      <c r="A316" s="8"/>
      <c r="B316" s="8">
        <f t="shared" si="187"/>
        <v>704</v>
      </c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142"/>
      <c r="P316" s="88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91"/>
      <c r="AT316" s="91"/>
      <c r="AU316" s="91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</row>
    <row r="317" ht="12.75" customHeight="1">
      <c r="A317" s="8"/>
      <c r="B317" s="8">
        <f t="shared" si="187"/>
        <v>708</v>
      </c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142"/>
      <c r="P317" s="88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91"/>
      <c r="AT317" s="91"/>
      <c r="AU317" s="91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</row>
    <row r="318" ht="12.75" customHeight="1">
      <c r="A318" s="8"/>
      <c r="B318" s="8">
        <f t="shared" si="187"/>
        <v>712</v>
      </c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142"/>
      <c r="P318" s="88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91"/>
      <c r="AT318" s="91"/>
      <c r="AU318" s="91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</row>
    <row r="319" ht="12.75" customHeight="1">
      <c r="A319" s="8"/>
      <c r="B319" s="8">
        <f t="shared" si="187"/>
        <v>716</v>
      </c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142"/>
      <c r="P319" s="88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91"/>
      <c r="AT319" s="91"/>
      <c r="AU319" s="91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</row>
    <row r="320" ht="12.75" customHeight="1">
      <c r="A320" s="8"/>
      <c r="B320" s="8">
        <f t="shared" si="187"/>
        <v>720</v>
      </c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142"/>
      <c r="P320" s="88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91"/>
      <c r="AT320" s="91"/>
      <c r="AU320" s="91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</row>
    <row r="321" ht="12.75" customHeight="1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142"/>
      <c r="P321" s="88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91"/>
      <c r="AT321" s="91"/>
      <c r="AU321" s="91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</row>
    <row r="322" ht="12.75" customHeight="1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142"/>
      <c r="P322" s="88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91"/>
      <c r="AT322" s="91"/>
      <c r="AU322" s="91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</row>
    <row r="323" ht="12.75" customHeight="1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142"/>
      <c r="P323" s="88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91"/>
      <c r="AT323" s="91"/>
      <c r="AU323" s="91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</row>
    <row r="324" ht="12.75" customHeight="1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142"/>
      <c r="P324" s="88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91"/>
      <c r="AT324" s="91"/>
      <c r="AU324" s="91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</row>
    <row r="325" ht="12.75" customHeight="1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142"/>
      <c r="P325" s="88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91"/>
      <c r="AT325" s="91"/>
      <c r="AU325" s="91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</row>
    <row r="326" ht="12.75" customHeight="1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142"/>
      <c r="P326" s="88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91"/>
      <c r="AT326" s="91"/>
      <c r="AU326" s="91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</row>
    <row r="327" ht="12.75" customHeight="1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142"/>
      <c r="P327" s="88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91"/>
      <c r="AT327" s="91"/>
      <c r="AU327" s="91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</row>
    <row r="328" ht="12.75" customHeight="1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142"/>
      <c r="P328" s="88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91"/>
      <c r="AT328" s="91"/>
      <c r="AU328" s="91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</row>
    <row r="329" ht="12.75" customHeight="1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142"/>
      <c r="P329" s="88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91"/>
      <c r="AT329" s="91"/>
      <c r="AU329" s="91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</row>
    <row r="330" ht="12.75" customHeight="1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142"/>
      <c r="P330" s="88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91"/>
      <c r="AT330" s="91"/>
      <c r="AU330" s="91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</row>
    <row r="331" ht="12.75" customHeight="1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142"/>
      <c r="P331" s="88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91"/>
      <c r="AT331" s="91"/>
      <c r="AU331" s="91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</row>
    <row r="332" ht="12.75" customHeight="1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142"/>
      <c r="P332" s="88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91"/>
      <c r="AT332" s="91"/>
      <c r="AU332" s="91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</row>
    <row r="333" ht="12.75" customHeight="1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142"/>
      <c r="P333" s="88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91"/>
      <c r="AT333" s="91"/>
      <c r="AU333" s="91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</row>
    <row r="334" ht="12.75" customHeight="1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142"/>
      <c r="P334" s="88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91"/>
      <c r="AT334" s="91"/>
      <c r="AU334" s="91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</row>
    <row r="335" ht="12.75" customHeight="1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142"/>
      <c r="P335" s="88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91"/>
      <c r="AT335" s="91"/>
      <c r="AU335" s="91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</row>
    <row r="336" ht="12.75" customHeight="1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142"/>
      <c r="P336" s="88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91"/>
      <c r="AT336" s="91"/>
      <c r="AU336" s="91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</row>
    <row r="337" ht="12.75" customHeight="1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142"/>
      <c r="P337" s="88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91"/>
      <c r="AT337" s="91"/>
      <c r="AU337" s="91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</row>
    <row r="338" ht="12.75" customHeight="1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142"/>
      <c r="P338" s="88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91"/>
      <c r="AT338" s="91"/>
      <c r="AU338" s="91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</row>
    <row r="339" ht="12.75" customHeight="1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142"/>
      <c r="P339" s="88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91"/>
      <c r="AT339" s="91"/>
      <c r="AU339" s="91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</row>
    <row r="340" ht="12.75" customHeight="1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142"/>
      <c r="P340" s="88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91"/>
      <c r="AT340" s="91"/>
      <c r="AU340" s="91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</row>
    <row r="341" ht="12.75" customHeight="1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142"/>
      <c r="P341" s="88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91"/>
      <c r="AT341" s="91"/>
      <c r="AU341" s="91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</row>
    <row r="342" ht="12.75" customHeight="1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142"/>
      <c r="P342" s="88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91"/>
      <c r="AT342" s="91"/>
      <c r="AU342" s="91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</row>
    <row r="343" ht="12.75" customHeight="1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142"/>
      <c r="P343" s="88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91"/>
      <c r="AT343" s="91"/>
      <c r="AU343" s="91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</row>
    <row r="344" ht="12.75" customHeight="1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142"/>
      <c r="P344" s="88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91"/>
      <c r="AT344" s="91"/>
      <c r="AU344" s="91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</row>
    <row r="345" ht="12.75" customHeight="1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142"/>
      <c r="P345" s="88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91"/>
      <c r="AT345" s="91"/>
      <c r="AU345" s="91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</row>
    <row r="346" ht="12.75" customHeight="1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142"/>
      <c r="P346" s="88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91"/>
      <c r="AT346" s="91"/>
      <c r="AU346" s="91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</row>
    <row r="347" ht="12.75" customHeight="1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142"/>
      <c r="P347" s="88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91"/>
      <c r="AT347" s="91"/>
      <c r="AU347" s="91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</row>
    <row r="348" ht="12.75" customHeight="1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142"/>
      <c r="P348" s="88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91"/>
      <c r="AT348" s="91"/>
      <c r="AU348" s="91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</row>
    <row r="349" ht="12.75" customHeight="1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142"/>
      <c r="P349" s="88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91"/>
      <c r="AT349" s="91"/>
      <c r="AU349" s="91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</row>
    <row r="350" ht="12.75" customHeight="1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142"/>
      <c r="P350" s="88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91"/>
      <c r="AT350" s="91"/>
      <c r="AU350" s="91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</row>
    <row r="351" ht="12.75" customHeight="1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142"/>
      <c r="P351" s="88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91"/>
      <c r="AT351" s="91"/>
      <c r="AU351" s="91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</row>
    <row r="352" ht="12.75" customHeight="1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142"/>
      <c r="P352" s="88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91"/>
      <c r="AT352" s="91"/>
      <c r="AU352" s="91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</row>
    <row r="353" ht="12.75" customHeight="1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142"/>
      <c r="P353" s="88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91"/>
      <c r="AT353" s="91"/>
      <c r="AU353" s="91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</row>
    <row r="354" ht="12.75" customHeight="1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142"/>
      <c r="P354" s="88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91"/>
      <c r="AT354" s="91"/>
      <c r="AU354" s="91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</row>
    <row r="355" ht="12.75" customHeight="1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142"/>
      <c r="P355" s="88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91"/>
      <c r="AT355" s="91"/>
      <c r="AU355" s="91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</row>
    <row r="356" ht="12.75" customHeight="1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142"/>
      <c r="P356" s="88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91"/>
      <c r="AT356" s="91"/>
      <c r="AU356" s="91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</row>
    <row r="357" ht="12.75" customHeight="1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142"/>
      <c r="P357" s="88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91"/>
      <c r="AT357" s="91"/>
      <c r="AU357" s="91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</row>
    <row r="358" ht="12.75" customHeight="1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142"/>
      <c r="P358" s="88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91"/>
      <c r="AT358" s="91"/>
      <c r="AU358" s="91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</row>
    <row r="359" ht="12.75" customHeight="1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142"/>
      <c r="P359" s="88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91"/>
      <c r="AT359" s="91"/>
      <c r="AU359" s="91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</row>
    <row r="360" ht="12.75" customHeight="1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142"/>
      <c r="P360" s="88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91"/>
      <c r="AT360" s="91"/>
      <c r="AU360" s="91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</row>
    <row r="361" ht="12.75" customHeight="1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142"/>
      <c r="P361" s="88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91"/>
      <c r="AT361" s="91"/>
      <c r="AU361" s="91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</row>
    <row r="362" ht="12.75" customHeight="1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142"/>
      <c r="P362" s="88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91"/>
      <c r="AT362" s="91"/>
      <c r="AU362" s="91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</row>
    <row r="363" ht="12.75" customHeight="1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142"/>
      <c r="P363" s="88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91"/>
      <c r="AT363" s="91"/>
      <c r="AU363" s="91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</row>
    <row r="364" ht="12.75" customHeight="1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142"/>
      <c r="P364" s="88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91"/>
      <c r="AT364" s="91"/>
      <c r="AU364" s="91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</row>
    <row r="365" ht="12.75" customHeight="1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142"/>
      <c r="P365" s="88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91"/>
      <c r="AT365" s="91"/>
      <c r="AU365" s="91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</row>
    <row r="366" ht="12.75" customHeight="1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142"/>
      <c r="P366" s="88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91"/>
      <c r="AT366" s="91"/>
      <c r="AU366" s="91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</row>
    <row r="367" ht="12.75" customHeight="1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142"/>
      <c r="P367" s="88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91"/>
      <c r="AT367" s="91"/>
      <c r="AU367" s="91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</row>
    <row r="368" ht="12.75" customHeight="1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142"/>
      <c r="P368" s="88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91"/>
      <c r="AT368" s="91"/>
      <c r="AU368" s="91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</row>
    <row r="369" ht="12.75" customHeight="1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142"/>
      <c r="P369" s="88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91"/>
      <c r="AT369" s="91"/>
      <c r="AU369" s="91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</row>
    <row r="370" ht="12.75" customHeight="1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142"/>
      <c r="P370" s="88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91"/>
      <c r="AT370" s="91"/>
      <c r="AU370" s="91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</row>
    <row r="371" ht="12.75" customHeight="1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142"/>
      <c r="P371" s="88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91"/>
      <c r="AT371" s="91"/>
      <c r="AU371" s="91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</row>
    <row r="372" ht="12.75" customHeight="1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142"/>
      <c r="P372" s="88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91"/>
      <c r="AT372" s="91"/>
      <c r="AU372" s="91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</row>
    <row r="373" ht="12.75" customHeight="1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142"/>
      <c r="P373" s="88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91"/>
      <c r="AT373" s="91"/>
      <c r="AU373" s="91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</row>
    <row r="374" ht="12.75" customHeight="1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142"/>
      <c r="P374" s="88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91"/>
      <c r="AT374" s="91"/>
      <c r="AU374" s="91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</row>
    <row r="375" ht="12.75" customHeight="1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142"/>
      <c r="P375" s="88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91"/>
      <c r="AT375" s="91"/>
      <c r="AU375" s="91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</row>
    <row r="376" ht="12.75" customHeight="1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142"/>
      <c r="P376" s="88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91"/>
      <c r="AT376" s="91"/>
      <c r="AU376" s="91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</row>
    <row r="377" ht="12.75" customHeight="1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142"/>
      <c r="P377" s="88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91"/>
      <c r="AT377" s="91"/>
      <c r="AU377" s="91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</row>
    <row r="378" ht="12.75" customHeight="1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142"/>
      <c r="P378" s="88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91"/>
      <c r="AT378" s="91"/>
      <c r="AU378" s="91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</row>
    <row r="379" ht="12.75" customHeight="1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142"/>
      <c r="P379" s="88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91"/>
      <c r="AT379" s="91"/>
      <c r="AU379" s="91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</row>
    <row r="380" ht="12.75" customHeight="1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142"/>
      <c r="P380" s="88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91"/>
      <c r="AT380" s="91"/>
      <c r="AU380" s="91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</row>
    <row r="381" ht="12.75" customHeight="1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142"/>
      <c r="P381" s="88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91"/>
      <c r="AT381" s="91"/>
      <c r="AU381" s="91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</row>
    <row r="382" ht="12.75" customHeight="1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142"/>
      <c r="P382" s="88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91"/>
      <c r="AT382" s="91"/>
      <c r="AU382" s="91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</row>
    <row r="383" ht="12.75" customHeight="1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142"/>
      <c r="P383" s="88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91"/>
      <c r="AT383" s="91"/>
      <c r="AU383" s="91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</row>
    <row r="384" ht="12.75" customHeight="1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142"/>
      <c r="P384" s="88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91"/>
      <c r="AT384" s="91"/>
      <c r="AU384" s="91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</row>
    <row r="385" ht="12.75" customHeight="1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142"/>
      <c r="P385" s="88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91"/>
      <c r="AT385" s="91"/>
      <c r="AU385" s="91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</row>
    <row r="386" ht="12.75" customHeight="1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142"/>
      <c r="P386" s="88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91"/>
      <c r="AT386" s="91"/>
      <c r="AU386" s="91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</row>
    <row r="387" ht="12.75" customHeight="1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142"/>
      <c r="P387" s="88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91"/>
      <c r="AT387" s="91"/>
      <c r="AU387" s="91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</row>
    <row r="388" ht="12.75" customHeight="1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142"/>
      <c r="P388" s="88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91"/>
      <c r="AT388" s="91"/>
      <c r="AU388" s="91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</row>
    <row r="389" ht="12.75" customHeight="1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142"/>
      <c r="P389" s="88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91"/>
      <c r="AT389" s="91"/>
      <c r="AU389" s="91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</row>
    <row r="390" ht="12.75" customHeight="1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142"/>
      <c r="P390" s="88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91"/>
      <c r="AT390" s="91"/>
      <c r="AU390" s="91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</row>
    <row r="391" ht="12.75" customHeight="1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142"/>
      <c r="P391" s="88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91"/>
      <c r="AT391" s="91"/>
      <c r="AU391" s="91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</row>
    <row r="392" ht="12.75" customHeight="1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142"/>
      <c r="P392" s="88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91"/>
      <c r="AT392" s="91"/>
      <c r="AU392" s="91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</row>
    <row r="393" ht="12.75" customHeight="1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142"/>
      <c r="P393" s="88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91"/>
      <c r="AT393" s="91"/>
      <c r="AU393" s="91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</row>
    <row r="394" ht="12.75" customHeight="1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142"/>
      <c r="P394" s="88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91"/>
      <c r="AT394" s="91"/>
      <c r="AU394" s="91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</row>
    <row r="395" ht="12.75" customHeight="1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142"/>
      <c r="P395" s="88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91"/>
      <c r="AT395" s="91"/>
      <c r="AU395" s="91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</row>
    <row r="396" ht="12.75" customHeight="1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142"/>
      <c r="P396" s="88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91"/>
      <c r="AT396" s="91"/>
      <c r="AU396" s="91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</row>
    <row r="397" ht="12.75" customHeight="1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142"/>
      <c r="P397" s="88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91"/>
      <c r="AT397" s="91"/>
      <c r="AU397" s="91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</row>
    <row r="398" ht="12.75" customHeight="1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142"/>
      <c r="P398" s="88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91"/>
      <c r="AT398" s="91"/>
      <c r="AU398" s="91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</row>
    <row r="399" ht="12.75" customHeight="1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142"/>
      <c r="P399" s="88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91"/>
      <c r="AT399" s="91"/>
      <c r="AU399" s="91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</row>
    <row r="400" ht="12.75" customHeight="1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142"/>
      <c r="P400" s="88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91"/>
      <c r="AT400" s="91"/>
      <c r="AU400" s="91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</row>
    <row r="401" ht="12.75" customHeight="1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142"/>
      <c r="P401" s="88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91"/>
      <c r="AT401" s="91"/>
      <c r="AU401" s="91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</row>
    <row r="402" ht="12.75" customHeight="1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142"/>
      <c r="P402" s="88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91"/>
      <c r="AT402" s="91"/>
      <c r="AU402" s="91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</row>
    <row r="403" ht="12.75" customHeight="1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142"/>
      <c r="P403" s="88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91"/>
      <c r="AT403" s="91"/>
      <c r="AU403" s="91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</row>
    <row r="404" ht="12.75" customHeight="1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142"/>
      <c r="P404" s="88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91"/>
      <c r="AT404" s="91"/>
      <c r="AU404" s="91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</row>
    <row r="405" ht="12.75" customHeight="1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142"/>
      <c r="P405" s="88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91"/>
      <c r="AT405" s="91"/>
      <c r="AU405" s="91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</row>
    <row r="406" ht="12.75" customHeight="1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142"/>
      <c r="P406" s="88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91"/>
      <c r="AT406" s="91"/>
      <c r="AU406" s="91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</row>
    <row r="407" ht="12.75" customHeight="1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142"/>
      <c r="P407" s="88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91"/>
      <c r="AT407" s="91"/>
      <c r="AU407" s="91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</row>
    <row r="408" ht="12.75" customHeight="1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142"/>
      <c r="P408" s="88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91"/>
      <c r="AT408" s="91"/>
      <c r="AU408" s="91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</row>
    <row r="409" ht="12.75" customHeight="1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142"/>
      <c r="P409" s="88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91"/>
      <c r="AT409" s="91"/>
      <c r="AU409" s="91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</row>
    <row r="410" ht="12.75" customHeight="1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142"/>
      <c r="P410" s="88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91"/>
      <c r="AT410" s="91"/>
      <c r="AU410" s="91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</row>
    <row r="411" ht="12.75" customHeight="1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142"/>
      <c r="P411" s="88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91"/>
      <c r="AT411" s="91"/>
      <c r="AU411" s="91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</row>
    <row r="412" ht="12.75" customHeight="1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142"/>
      <c r="P412" s="88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91"/>
      <c r="AT412" s="91"/>
      <c r="AU412" s="91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</row>
    <row r="413" ht="12.75" customHeight="1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142"/>
      <c r="P413" s="88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91"/>
      <c r="AT413" s="91"/>
      <c r="AU413" s="91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</row>
    <row r="414" ht="12.75" customHeight="1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142"/>
      <c r="P414" s="88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91"/>
      <c r="AT414" s="91"/>
      <c r="AU414" s="91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</row>
    <row r="415" ht="12.75" customHeight="1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142"/>
      <c r="P415" s="88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91"/>
      <c r="AT415" s="91"/>
      <c r="AU415" s="91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</row>
    <row r="416" ht="12.75" customHeight="1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142"/>
      <c r="P416" s="88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91"/>
      <c r="AT416" s="91"/>
      <c r="AU416" s="91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</row>
    <row r="417" ht="12.75" customHeight="1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142"/>
      <c r="P417" s="88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91"/>
      <c r="AT417" s="91"/>
      <c r="AU417" s="91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</row>
    <row r="418" ht="12.75" customHeight="1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142"/>
      <c r="P418" s="88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91"/>
      <c r="AT418" s="91"/>
      <c r="AU418" s="91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</row>
    <row r="419" ht="12.75" customHeight="1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142"/>
      <c r="P419" s="88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91"/>
      <c r="AT419" s="91"/>
      <c r="AU419" s="91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</row>
    <row r="420" ht="12.75" customHeight="1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142"/>
      <c r="P420" s="88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91"/>
      <c r="AT420" s="91"/>
      <c r="AU420" s="91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</row>
    <row r="421" ht="12.75" customHeight="1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142"/>
      <c r="P421" s="88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91"/>
      <c r="AT421" s="91"/>
      <c r="AU421" s="91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</row>
    <row r="422" ht="12.75" customHeight="1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142"/>
      <c r="P422" s="88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91"/>
      <c r="AT422" s="91"/>
      <c r="AU422" s="91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</row>
    <row r="423" ht="12.75" customHeight="1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142"/>
      <c r="P423" s="88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91"/>
      <c r="AT423" s="91"/>
      <c r="AU423" s="91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</row>
    <row r="424" ht="12.75" customHeight="1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142"/>
      <c r="P424" s="88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91"/>
      <c r="AT424" s="91"/>
      <c r="AU424" s="91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</row>
    <row r="425" ht="12.75" customHeight="1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142"/>
      <c r="P425" s="88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91"/>
      <c r="AT425" s="91"/>
      <c r="AU425" s="91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</row>
    <row r="426" ht="12.75" customHeight="1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142"/>
      <c r="P426" s="88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91"/>
      <c r="AT426" s="91"/>
      <c r="AU426" s="91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</row>
    <row r="427" ht="12.75" customHeight="1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142"/>
      <c r="P427" s="88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91"/>
      <c r="AT427" s="91"/>
      <c r="AU427" s="91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</row>
    <row r="428" ht="12.75" customHeight="1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142"/>
      <c r="P428" s="88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91"/>
      <c r="AT428" s="91"/>
      <c r="AU428" s="91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</row>
    <row r="429" ht="12.75" customHeight="1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142"/>
      <c r="P429" s="88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91"/>
      <c r="AT429" s="91"/>
      <c r="AU429" s="91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</row>
    <row r="430" ht="12.75" customHeight="1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142"/>
      <c r="P430" s="88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91"/>
      <c r="AT430" s="91"/>
      <c r="AU430" s="91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</row>
    <row r="431" ht="12.75" customHeight="1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142"/>
      <c r="P431" s="88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91"/>
      <c r="AT431" s="91"/>
      <c r="AU431" s="91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</row>
    <row r="432" ht="12.75" customHeight="1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142"/>
      <c r="P432" s="88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91"/>
      <c r="AT432" s="91"/>
      <c r="AU432" s="91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</row>
    <row r="433" ht="12.75" customHeight="1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142"/>
      <c r="P433" s="88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91"/>
      <c r="AT433" s="91"/>
      <c r="AU433" s="91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</row>
    <row r="434" ht="12.75" customHeight="1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142"/>
      <c r="P434" s="88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91"/>
      <c r="AT434" s="91"/>
      <c r="AU434" s="91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</row>
    <row r="435" ht="12.75" customHeight="1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142"/>
      <c r="P435" s="88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91"/>
      <c r="AT435" s="91"/>
      <c r="AU435" s="91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</row>
    <row r="436" ht="12.75" customHeight="1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142"/>
      <c r="P436" s="88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91"/>
      <c r="AT436" s="91"/>
      <c r="AU436" s="91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</row>
    <row r="437" ht="12.75" customHeight="1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142"/>
      <c r="P437" s="88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91"/>
      <c r="AT437" s="91"/>
      <c r="AU437" s="91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</row>
    <row r="438" ht="12.75" customHeight="1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142"/>
      <c r="P438" s="88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91"/>
      <c r="AT438" s="91"/>
      <c r="AU438" s="91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</row>
    <row r="439" ht="12.75" customHeight="1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142"/>
      <c r="P439" s="88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91"/>
      <c r="AT439" s="91"/>
      <c r="AU439" s="91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</row>
    <row r="440" ht="12.75" customHeight="1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142"/>
      <c r="P440" s="88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91"/>
      <c r="AT440" s="91"/>
      <c r="AU440" s="91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</row>
    <row r="441" ht="12.75" customHeight="1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142"/>
      <c r="P441" s="88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91"/>
      <c r="AT441" s="91"/>
      <c r="AU441" s="91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</row>
    <row r="442" ht="12.75" customHeight="1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142"/>
      <c r="P442" s="88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91"/>
      <c r="AT442" s="91"/>
      <c r="AU442" s="91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</row>
    <row r="443" ht="12.75" customHeight="1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142"/>
      <c r="P443" s="88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91"/>
      <c r="AT443" s="91"/>
      <c r="AU443" s="91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</row>
    <row r="444" ht="12.75" customHeight="1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142"/>
      <c r="P444" s="88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91"/>
      <c r="AT444" s="91"/>
      <c r="AU444" s="91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</row>
    <row r="445" ht="12.75" customHeight="1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142"/>
      <c r="P445" s="88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91"/>
      <c r="AT445" s="91"/>
      <c r="AU445" s="91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</row>
    <row r="446" ht="12.75" customHeight="1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142"/>
      <c r="P446" s="88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91"/>
      <c r="AT446" s="91"/>
      <c r="AU446" s="91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</row>
    <row r="447" ht="12.75" customHeight="1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142"/>
      <c r="P447" s="88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91"/>
      <c r="AT447" s="91"/>
      <c r="AU447" s="91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</row>
    <row r="448" ht="12.75" customHeight="1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142"/>
      <c r="P448" s="88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91"/>
      <c r="AT448" s="91"/>
      <c r="AU448" s="91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</row>
    <row r="449" ht="12.75" customHeight="1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142"/>
      <c r="P449" s="88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91"/>
      <c r="AT449" s="91"/>
      <c r="AU449" s="91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</row>
    <row r="450" ht="12.75" customHeight="1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142"/>
      <c r="P450" s="88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91"/>
      <c r="AT450" s="91"/>
      <c r="AU450" s="91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</row>
    <row r="451" ht="12.75" customHeight="1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142"/>
      <c r="P451" s="88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91"/>
      <c r="AT451" s="91"/>
      <c r="AU451" s="91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</row>
    <row r="452" ht="12.75" customHeight="1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142"/>
      <c r="P452" s="88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91"/>
      <c r="AT452" s="91"/>
      <c r="AU452" s="91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</row>
    <row r="453" ht="12.75" customHeight="1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142"/>
      <c r="P453" s="88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91"/>
      <c r="AT453" s="91"/>
      <c r="AU453" s="91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</row>
    <row r="454" ht="12.75" customHeight="1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142"/>
      <c r="P454" s="88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91"/>
      <c r="AT454" s="91"/>
      <c r="AU454" s="91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</row>
    <row r="455" ht="12.75" customHeight="1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142"/>
      <c r="P455" s="88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91"/>
      <c r="AT455" s="91"/>
      <c r="AU455" s="91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</row>
    <row r="456" ht="12.75" customHeight="1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142"/>
      <c r="P456" s="88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91"/>
      <c r="AT456" s="91"/>
      <c r="AU456" s="91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</row>
    <row r="457" ht="12.75" customHeight="1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142"/>
      <c r="P457" s="88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91"/>
      <c r="AT457" s="91"/>
      <c r="AU457" s="91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</row>
    <row r="458" ht="12.75" customHeight="1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142"/>
      <c r="P458" s="88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91"/>
      <c r="AT458" s="91"/>
      <c r="AU458" s="91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</row>
    <row r="459" ht="12.75" customHeight="1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142"/>
      <c r="P459" s="88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91"/>
      <c r="AT459" s="91"/>
      <c r="AU459" s="91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</row>
    <row r="460" ht="12.75" customHeight="1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142"/>
      <c r="P460" s="88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91"/>
      <c r="AT460" s="91"/>
      <c r="AU460" s="91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</row>
    <row r="461" ht="12.75" customHeight="1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142"/>
      <c r="P461" s="88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91"/>
      <c r="AT461" s="91"/>
      <c r="AU461" s="91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</row>
    <row r="462" ht="12.75" customHeight="1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142"/>
      <c r="P462" s="88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91"/>
      <c r="AT462" s="91"/>
      <c r="AU462" s="91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</row>
    <row r="463" ht="12.75" customHeight="1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142"/>
      <c r="P463" s="88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91"/>
      <c r="AT463" s="91"/>
      <c r="AU463" s="91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</row>
    <row r="464" ht="12.75" customHeight="1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142"/>
      <c r="P464" s="88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91"/>
      <c r="AT464" s="91"/>
      <c r="AU464" s="91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</row>
    <row r="465" ht="12.75" customHeight="1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142"/>
      <c r="P465" s="88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91"/>
      <c r="AT465" s="91"/>
      <c r="AU465" s="91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</row>
    <row r="466" ht="12.75" customHeight="1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142"/>
      <c r="P466" s="88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91"/>
      <c r="AT466" s="91"/>
      <c r="AU466" s="91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</row>
    <row r="467" ht="12.75" customHeight="1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142"/>
      <c r="P467" s="88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91"/>
      <c r="AT467" s="91"/>
      <c r="AU467" s="91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</row>
    <row r="468" ht="12.75" customHeight="1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142"/>
      <c r="P468" s="88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91"/>
      <c r="AT468" s="91"/>
      <c r="AU468" s="91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</row>
    <row r="469" ht="12.75" customHeight="1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142"/>
      <c r="P469" s="88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91"/>
      <c r="AT469" s="91"/>
      <c r="AU469" s="91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</row>
    <row r="470" ht="12.75" customHeight="1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142"/>
      <c r="P470" s="88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91"/>
      <c r="AT470" s="91"/>
      <c r="AU470" s="91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</row>
    <row r="471" ht="12.75" customHeight="1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142"/>
      <c r="P471" s="88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91"/>
      <c r="AT471" s="91"/>
      <c r="AU471" s="91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</row>
    <row r="472" ht="12.75" customHeight="1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142"/>
      <c r="P472" s="88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91"/>
      <c r="AT472" s="91"/>
      <c r="AU472" s="91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</row>
    <row r="473" ht="12.75" customHeight="1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142"/>
      <c r="P473" s="88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91"/>
      <c r="AT473" s="91"/>
      <c r="AU473" s="91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</row>
    <row r="474" ht="12.75" customHeight="1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142"/>
      <c r="P474" s="88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91"/>
      <c r="AT474" s="91"/>
      <c r="AU474" s="91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</row>
    <row r="475" ht="12.75" customHeight="1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142"/>
      <c r="P475" s="88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91"/>
      <c r="AT475" s="91"/>
      <c r="AU475" s="91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</row>
    <row r="476" ht="12.75" customHeight="1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142"/>
      <c r="P476" s="88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91"/>
      <c r="AT476" s="91"/>
      <c r="AU476" s="91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</row>
    <row r="477" ht="12.75" customHeight="1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142"/>
      <c r="P477" s="88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91"/>
      <c r="AT477" s="91"/>
      <c r="AU477" s="91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</row>
    <row r="478" ht="12.75" customHeight="1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142"/>
      <c r="P478" s="88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91"/>
      <c r="AT478" s="91"/>
      <c r="AU478" s="91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</row>
    <row r="479" ht="12.75" customHeight="1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142"/>
      <c r="P479" s="88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91"/>
      <c r="AT479" s="91"/>
      <c r="AU479" s="91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</row>
    <row r="480" ht="12.75" customHeight="1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142"/>
      <c r="P480" s="88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91"/>
      <c r="AT480" s="91"/>
      <c r="AU480" s="91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</row>
    <row r="481" ht="12.75" customHeight="1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142"/>
      <c r="P481" s="88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91"/>
      <c r="AT481" s="91"/>
      <c r="AU481" s="91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</row>
    <row r="482" ht="12.75" customHeight="1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142"/>
      <c r="P482" s="88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91"/>
      <c r="AT482" s="91"/>
      <c r="AU482" s="91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</row>
    <row r="483" ht="12.75" customHeight="1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142"/>
      <c r="P483" s="88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91"/>
      <c r="AT483" s="91"/>
      <c r="AU483" s="91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</row>
    <row r="484" ht="12.75" customHeight="1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142"/>
      <c r="P484" s="88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91"/>
      <c r="AT484" s="91"/>
      <c r="AU484" s="91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</row>
    <row r="485" ht="12.75" customHeight="1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142"/>
      <c r="P485" s="88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91"/>
      <c r="AT485" s="91"/>
      <c r="AU485" s="91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</row>
    <row r="486" ht="12.75" customHeight="1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142"/>
      <c r="P486" s="88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91"/>
      <c r="AT486" s="91"/>
      <c r="AU486" s="91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</row>
    <row r="487" ht="12.75" customHeight="1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142"/>
      <c r="P487" s="88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91"/>
      <c r="AT487" s="91"/>
      <c r="AU487" s="91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</row>
    <row r="488" ht="12.75" customHeight="1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142"/>
      <c r="P488" s="88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91"/>
      <c r="AT488" s="91"/>
      <c r="AU488" s="91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</row>
    <row r="489" ht="12.75" customHeight="1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142"/>
      <c r="P489" s="88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91"/>
      <c r="AT489" s="91"/>
      <c r="AU489" s="91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</row>
    <row r="490" ht="12.75" customHeight="1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142"/>
      <c r="P490" s="88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91"/>
      <c r="AT490" s="91"/>
      <c r="AU490" s="91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</row>
    <row r="491" ht="12.75" customHeight="1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142"/>
      <c r="P491" s="88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91"/>
      <c r="AT491" s="91"/>
      <c r="AU491" s="91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</row>
    <row r="492" ht="12.75" customHeight="1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142"/>
      <c r="P492" s="88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91"/>
      <c r="AT492" s="91"/>
      <c r="AU492" s="91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</row>
    <row r="493" ht="12.75" customHeight="1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142"/>
      <c r="P493" s="88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91"/>
      <c r="AT493" s="91"/>
      <c r="AU493" s="91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</row>
    <row r="494" ht="12.75" customHeight="1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142"/>
      <c r="P494" s="88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91"/>
      <c r="AT494" s="91"/>
      <c r="AU494" s="91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</row>
    <row r="495" ht="12.75" customHeight="1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142"/>
      <c r="P495" s="88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91"/>
      <c r="AT495" s="91"/>
      <c r="AU495" s="91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</row>
    <row r="496" ht="12.75" customHeight="1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142"/>
      <c r="P496" s="88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91"/>
      <c r="AT496" s="91"/>
      <c r="AU496" s="91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</row>
    <row r="497" ht="12.75" customHeight="1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142"/>
      <c r="P497" s="88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91"/>
      <c r="AT497" s="91"/>
      <c r="AU497" s="91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</row>
    <row r="498" ht="12.75" customHeight="1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142"/>
      <c r="P498" s="88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91"/>
      <c r="AT498" s="91"/>
      <c r="AU498" s="91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</row>
    <row r="499" ht="12.75" customHeight="1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142"/>
      <c r="P499" s="88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91"/>
      <c r="AT499" s="91"/>
      <c r="AU499" s="91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</row>
    <row r="500" ht="12.75" customHeight="1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142"/>
      <c r="P500" s="88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91"/>
      <c r="AT500" s="91"/>
      <c r="AU500" s="91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</row>
    <row r="501" ht="12.75" customHeight="1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142"/>
      <c r="P501" s="88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91"/>
      <c r="AT501" s="91"/>
      <c r="AU501" s="91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</row>
    <row r="502" ht="12.75" customHeight="1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142"/>
      <c r="P502" s="88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91"/>
      <c r="AT502" s="91"/>
      <c r="AU502" s="91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</row>
    <row r="503" ht="12.75" customHeight="1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142"/>
      <c r="P503" s="88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91"/>
      <c r="AT503" s="91"/>
      <c r="AU503" s="91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</row>
    <row r="504" ht="12.75" customHeight="1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142"/>
      <c r="P504" s="88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91"/>
      <c r="AT504" s="91"/>
      <c r="AU504" s="91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</row>
    <row r="505" ht="12.75" customHeight="1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142"/>
      <c r="P505" s="88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91"/>
      <c r="AT505" s="91"/>
      <c r="AU505" s="91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</row>
    <row r="506" ht="12.75" customHeight="1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142"/>
      <c r="P506" s="88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91"/>
      <c r="AT506" s="91"/>
      <c r="AU506" s="91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</row>
    <row r="507" ht="12.75" customHeight="1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142"/>
      <c r="P507" s="88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91"/>
      <c r="AT507" s="91"/>
      <c r="AU507" s="91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</row>
    <row r="508" ht="12.75" customHeight="1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142"/>
      <c r="P508" s="88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91"/>
      <c r="AT508" s="91"/>
      <c r="AU508" s="91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</row>
    <row r="509" ht="12.75" customHeight="1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142"/>
      <c r="P509" s="88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91"/>
      <c r="AT509" s="91"/>
      <c r="AU509" s="91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</row>
    <row r="510" ht="12.75" customHeight="1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142"/>
      <c r="P510" s="88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91"/>
      <c r="AT510" s="91"/>
      <c r="AU510" s="91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</row>
    <row r="511" ht="12.75" customHeight="1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142"/>
      <c r="P511" s="88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91"/>
      <c r="AT511" s="91"/>
      <c r="AU511" s="91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</row>
    <row r="512" ht="12.75" customHeight="1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142"/>
      <c r="P512" s="88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91"/>
      <c r="AT512" s="91"/>
      <c r="AU512" s="91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</row>
    <row r="513" ht="12.75" customHeight="1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142"/>
      <c r="P513" s="88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91"/>
      <c r="AT513" s="91"/>
      <c r="AU513" s="91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</row>
    <row r="514" ht="12.75" customHeight="1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142"/>
      <c r="P514" s="88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91"/>
      <c r="AT514" s="91"/>
      <c r="AU514" s="91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</row>
    <row r="515" ht="12.75" customHeight="1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142"/>
      <c r="P515" s="88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91"/>
      <c r="AT515" s="91"/>
      <c r="AU515" s="91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</row>
    <row r="516" ht="12.75" customHeight="1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142"/>
      <c r="P516" s="88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91"/>
      <c r="AT516" s="91"/>
      <c r="AU516" s="91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</row>
    <row r="517" ht="12.75" customHeight="1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142"/>
      <c r="P517" s="88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91"/>
      <c r="AT517" s="91"/>
      <c r="AU517" s="91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</row>
    <row r="518" ht="12.75" customHeight="1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142"/>
      <c r="P518" s="88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91"/>
      <c r="AT518" s="91"/>
      <c r="AU518" s="91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</row>
    <row r="519" ht="12.75" customHeight="1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142"/>
      <c r="P519" s="88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91"/>
      <c r="AT519" s="91"/>
      <c r="AU519" s="91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</row>
    <row r="520" ht="12.75" customHeight="1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142"/>
      <c r="P520" s="88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91"/>
      <c r="AT520" s="91"/>
      <c r="AU520" s="91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</row>
    <row r="521" ht="12.75" customHeight="1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142"/>
      <c r="P521" s="88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91"/>
      <c r="AT521" s="91"/>
      <c r="AU521" s="91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</row>
    <row r="522" ht="12.75" customHeight="1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142"/>
      <c r="P522" s="88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91"/>
      <c r="AT522" s="91"/>
      <c r="AU522" s="91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</row>
    <row r="523" ht="12.75" customHeight="1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142"/>
      <c r="P523" s="88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91"/>
      <c r="AT523" s="91"/>
      <c r="AU523" s="91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</row>
    <row r="524" ht="12.75" customHeight="1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142"/>
      <c r="P524" s="88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91"/>
      <c r="AT524" s="91"/>
      <c r="AU524" s="91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</row>
    <row r="525" ht="12.75" customHeight="1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142"/>
      <c r="P525" s="88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91"/>
      <c r="AT525" s="91"/>
      <c r="AU525" s="91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</row>
    <row r="526" ht="12.75" customHeight="1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142"/>
      <c r="P526" s="88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91"/>
      <c r="AT526" s="91"/>
      <c r="AU526" s="91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</row>
    <row r="527" ht="12.75" customHeight="1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142"/>
      <c r="P527" s="88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91"/>
      <c r="AT527" s="91"/>
      <c r="AU527" s="91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</row>
    <row r="528" ht="12.75" customHeight="1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142"/>
      <c r="P528" s="88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91"/>
      <c r="AT528" s="91"/>
      <c r="AU528" s="91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</row>
    <row r="529" ht="12.75" customHeight="1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142"/>
      <c r="P529" s="88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91"/>
      <c r="AT529" s="91"/>
      <c r="AU529" s="91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</row>
    <row r="530" ht="12.75" customHeight="1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142"/>
      <c r="P530" s="88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91"/>
      <c r="AT530" s="91"/>
      <c r="AU530" s="91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</row>
    <row r="531" ht="12.75" customHeight="1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142"/>
      <c r="P531" s="88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91"/>
      <c r="AT531" s="91"/>
      <c r="AU531" s="91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</row>
    <row r="532" ht="12.75" customHeight="1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142"/>
      <c r="P532" s="88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91"/>
      <c r="AT532" s="91"/>
      <c r="AU532" s="91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</row>
    <row r="533" ht="12.75" customHeight="1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142"/>
      <c r="P533" s="88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91"/>
      <c r="AT533" s="91"/>
      <c r="AU533" s="91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</row>
    <row r="534" ht="12.75" customHeight="1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142"/>
      <c r="P534" s="88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91"/>
      <c r="AT534" s="91"/>
      <c r="AU534" s="91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</row>
    <row r="535" ht="12.75" customHeight="1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142"/>
      <c r="P535" s="88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91"/>
      <c r="AT535" s="91"/>
      <c r="AU535" s="91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</row>
    <row r="536" ht="12.75" customHeight="1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142"/>
      <c r="P536" s="88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91"/>
      <c r="AT536" s="91"/>
      <c r="AU536" s="91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</row>
    <row r="537" ht="12.75" customHeight="1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142"/>
      <c r="P537" s="88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91"/>
      <c r="AT537" s="91"/>
      <c r="AU537" s="91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</row>
    <row r="538" ht="12.75" customHeight="1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142"/>
      <c r="P538" s="88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91"/>
      <c r="AT538" s="91"/>
      <c r="AU538" s="91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</row>
    <row r="539" ht="12.75" customHeight="1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142"/>
      <c r="P539" s="88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91"/>
      <c r="AT539" s="91"/>
      <c r="AU539" s="91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</row>
    <row r="540" ht="12.75" customHeight="1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142"/>
      <c r="P540" s="88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91"/>
      <c r="AT540" s="91"/>
      <c r="AU540" s="91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</row>
    <row r="541" ht="12.75" customHeight="1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142"/>
      <c r="P541" s="88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91"/>
      <c r="AT541" s="91"/>
      <c r="AU541" s="91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</row>
    <row r="542" ht="12.75" customHeight="1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142"/>
      <c r="P542" s="88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91"/>
      <c r="AT542" s="91"/>
      <c r="AU542" s="91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</row>
    <row r="543" ht="12.75" customHeight="1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142"/>
      <c r="P543" s="88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91"/>
      <c r="AT543" s="91"/>
      <c r="AU543" s="91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</row>
    <row r="544" ht="12.75" customHeight="1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142"/>
      <c r="P544" s="88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91"/>
      <c r="AT544" s="91"/>
      <c r="AU544" s="91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</row>
    <row r="545" ht="12.75" customHeight="1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142"/>
      <c r="P545" s="88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91"/>
      <c r="AT545" s="91"/>
      <c r="AU545" s="91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</row>
    <row r="546" ht="12.75" customHeight="1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142"/>
      <c r="P546" s="88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91"/>
      <c r="AT546" s="91"/>
      <c r="AU546" s="91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</row>
    <row r="547" ht="12.75" customHeight="1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142"/>
      <c r="P547" s="88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91"/>
      <c r="AT547" s="91"/>
      <c r="AU547" s="91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</row>
    <row r="548" ht="12.75" customHeight="1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142"/>
      <c r="P548" s="88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91"/>
      <c r="AT548" s="91"/>
      <c r="AU548" s="91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</row>
    <row r="549" ht="12.75" customHeight="1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142"/>
      <c r="P549" s="88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91"/>
      <c r="AT549" s="91"/>
      <c r="AU549" s="91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</row>
    <row r="550" ht="12.75" customHeight="1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142"/>
      <c r="P550" s="88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91"/>
      <c r="AT550" s="91"/>
      <c r="AU550" s="91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</row>
    <row r="551" ht="12.75" customHeight="1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142"/>
      <c r="P551" s="88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91"/>
      <c r="AT551" s="91"/>
      <c r="AU551" s="91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</row>
    <row r="552" ht="12.75" customHeight="1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142"/>
      <c r="P552" s="88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91"/>
      <c r="AT552" s="91"/>
      <c r="AU552" s="91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</row>
    <row r="553" ht="12.75" customHeight="1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142"/>
      <c r="P553" s="88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91"/>
      <c r="AT553" s="91"/>
      <c r="AU553" s="91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</row>
    <row r="554" ht="12.75" customHeight="1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142"/>
      <c r="P554" s="88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91"/>
      <c r="AT554" s="91"/>
      <c r="AU554" s="91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</row>
    <row r="555" ht="12.75" customHeight="1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142"/>
      <c r="P555" s="88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91"/>
      <c r="AT555" s="91"/>
      <c r="AU555" s="91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</row>
    <row r="556" ht="12.75" customHeight="1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142"/>
      <c r="P556" s="88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91"/>
      <c r="AT556" s="91"/>
      <c r="AU556" s="91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</row>
    <row r="557" ht="12.75" customHeight="1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142"/>
      <c r="P557" s="88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91"/>
      <c r="AT557" s="91"/>
      <c r="AU557" s="91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</row>
    <row r="558" ht="12.75" customHeight="1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142"/>
      <c r="P558" s="88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91"/>
      <c r="AT558" s="91"/>
      <c r="AU558" s="91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</row>
    <row r="559" ht="12.75" customHeight="1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142"/>
      <c r="P559" s="88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91"/>
      <c r="AT559" s="91"/>
      <c r="AU559" s="91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</row>
    <row r="560" ht="12.75" customHeight="1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142"/>
      <c r="P560" s="88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91"/>
      <c r="AT560" s="91"/>
      <c r="AU560" s="91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</row>
    <row r="561" ht="12.75" customHeight="1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142"/>
      <c r="P561" s="88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91"/>
      <c r="AT561" s="91"/>
      <c r="AU561" s="91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</row>
    <row r="562" ht="12.75" customHeight="1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142"/>
      <c r="P562" s="88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91"/>
      <c r="AT562" s="91"/>
      <c r="AU562" s="91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</row>
    <row r="563" ht="12.75" customHeight="1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142"/>
      <c r="P563" s="88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91"/>
      <c r="AT563" s="91"/>
      <c r="AU563" s="91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</row>
    <row r="564" ht="12.75" customHeight="1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142"/>
      <c r="P564" s="88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91"/>
      <c r="AT564" s="91"/>
      <c r="AU564" s="91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</row>
    <row r="565" ht="12.75" customHeight="1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142"/>
      <c r="P565" s="88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91"/>
      <c r="AT565" s="91"/>
      <c r="AU565" s="91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</row>
    <row r="566" ht="12.75" customHeight="1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142"/>
      <c r="P566" s="88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91"/>
      <c r="AT566" s="91"/>
      <c r="AU566" s="91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</row>
    <row r="567" ht="12.75" customHeight="1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142"/>
      <c r="P567" s="88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91"/>
      <c r="AT567" s="91"/>
      <c r="AU567" s="91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</row>
    <row r="568" ht="12.75" customHeight="1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142"/>
      <c r="P568" s="88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91"/>
      <c r="AT568" s="91"/>
      <c r="AU568" s="91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</row>
    <row r="569" ht="12.75" customHeight="1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142"/>
      <c r="P569" s="88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91"/>
      <c r="AT569" s="91"/>
      <c r="AU569" s="91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</row>
    <row r="570" ht="12.75" customHeight="1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142"/>
      <c r="P570" s="88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91"/>
      <c r="AT570" s="91"/>
      <c r="AU570" s="91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</row>
    <row r="571" ht="12.75" customHeight="1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142"/>
      <c r="P571" s="88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91"/>
      <c r="AT571" s="91"/>
      <c r="AU571" s="91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</row>
    <row r="572" ht="12.75" customHeight="1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142"/>
      <c r="P572" s="88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91"/>
      <c r="AT572" s="91"/>
      <c r="AU572" s="91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</row>
    <row r="573" ht="12.75" customHeight="1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142"/>
      <c r="P573" s="88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91"/>
      <c r="AT573" s="91"/>
      <c r="AU573" s="91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</row>
    <row r="574" ht="12.75" customHeight="1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142"/>
      <c r="P574" s="88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91"/>
      <c r="AT574" s="91"/>
      <c r="AU574" s="91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</row>
    <row r="575" ht="12.75" customHeight="1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142"/>
      <c r="P575" s="88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91"/>
      <c r="AT575" s="91"/>
      <c r="AU575" s="91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</row>
    <row r="576" ht="12.75" customHeight="1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142"/>
      <c r="P576" s="88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91"/>
      <c r="AT576" s="91"/>
      <c r="AU576" s="91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</row>
    <row r="577" ht="12.75" customHeight="1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142"/>
      <c r="P577" s="88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91"/>
      <c r="AT577" s="91"/>
      <c r="AU577" s="91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</row>
    <row r="578" ht="12.75" customHeight="1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142"/>
      <c r="P578" s="88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91"/>
      <c r="AT578" s="91"/>
      <c r="AU578" s="91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</row>
    <row r="579" ht="12.75" customHeight="1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142"/>
      <c r="P579" s="88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91"/>
      <c r="AT579" s="91"/>
      <c r="AU579" s="91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</row>
    <row r="580" ht="12.75" customHeight="1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142"/>
      <c r="P580" s="88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91"/>
      <c r="AT580" s="91"/>
      <c r="AU580" s="91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</row>
    <row r="581" ht="12.75" customHeight="1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142"/>
      <c r="P581" s="88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91"/>
      <c r="AT581" s="91"/>
      <c r="AU581" s="91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</row>
    <row r="582" ht="12.75" customHeight="1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142"/>
      <c r="P582" s="88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91"/>
      <c r="AT582" s="91"/>
      <c r="AU582" s="91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</row>
    <row r="583" ht="12.75" customHeight="1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142"/>
      <c r="P583" s="88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91"/>
      <c r="AT583" s="91"/>
      <c r="AU583" s="91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</row>
    <row r="584" ht="12.75" customHeight="1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142"/>
      <c r="P584" s="88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91"/>
      <c r="AT584" s="91"/>
      <c r="AU584" s="91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</row>
    <row r="585" ht="12.75" customHeight="1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142"/>
      <c r="P585" s="88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91"/>
      <c r="AT585" s="91"/>
      <c r="AU585" s="91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</row>
    <row r="586" ht="12.75" customHeight="1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142"/>
      <c r="P586" s="88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91"/>
      <c r="AT586" s="91"/>
      <c r="AU586" s="91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</row>
    <row r="587" ht="12.75" customHeight="1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142"/>
      <c r="P587" s="88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91"/>
      <c r="AT587" s="91"/>
      <c r="AU587" s="91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</row>
    <row r="588" ht="12.75" customHeight="1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142"/>
      <c r="P588" s="88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91"/>
      <c r="AT588" s="91"/>
      <c r="AU588" s="91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</row>
    <row r="589" ht="12.75" customHeight="1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142"/>
      <c r="P589" s="88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91"/>
      <c r="AT589" s="91"/>
      <c r="AU589" s="91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</row>
    <row r="590" ht="12.75" customHeight="1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142"/>
      <c r="P590" s="88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91"/>
      <c r="AT590" s="91"/>
      <c r="AU590" s="91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</row>
    <row r="591" ht="12.75" customHeight="1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142"/>
      <c r="P591" s="88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91"/>
      <c r="AT591" s="91"/>
      <c r="AU591" s="91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</row>
    <row r="592" ht="12.75" customHeight="1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142"/>
      <c r="P592" s="88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91"/>
      <c r="AT592" s="91"/>
      <c r="AU592" s="91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</row>
    <row r="593" ht="12.75" customHeight="1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142"/>
      <c r="P593" s="88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91"/>
      <c r="AT593" s="91"/>
      <c r="AU593" s="91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</row>
    <row r="594" ht="12.75" customHeight="1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142"/>
      <c r="P594" s="88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91"/>
      <c r="AT594" s="91"/>
      <c r="AU594" s="91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</row>
    <row r="595" ht="12.75" customHeight="1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142"/>
      <c r="P595" s="88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91"/>
      <c r="AT595" s="91"/>
      <c r="AU595" s="91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</row>
    <row r="596" ht="12.75" customHeight="1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142"/>
      <c r="P596" s="88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91"/>
      <c r="AT596" s="91"/>
      <c r="AU596" s="91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</row>
    <row r="597" ht="12.75" customHeight="1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142"/>
      <c r="P597" s="88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91"/>
      <c r="AT597" s="91"/>
      <c r="AU597" s="91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</row>
    <row r="598" ht="12.75" customHeight="1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142"/>
      <c r="P598" s="88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91"/>
      <c r="AT598" s="91"/>
      <c r="AU598" s="91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</row>
    <row r="599" ht="12.75" customHeight="1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142"/>
      <c r="P599" s="88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91"/>
      <c r="AT599" s="91"/>
      <c r="AU599" s="91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</row>
    <row r="600" ht="12.75" customHeight="1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142"/>
      <c r="P600" s="88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91"/>
      <c r="AT600" s="91"/>
      <c r="AU600" s="91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</row>
    <row r="601" ht="12.75" customHeight="1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142"/>
      <c r="P601" s="88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91"/>
      <c r="AT601" s="91"/>
      <c r="AU601" s="91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</row>
    <row r="602" ht="12.75" customHeight="1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142"/>
      <c r="P602" s="88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91"/>
      <c r="AT602" s="91"/>
      <c r="AU602" s="91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</row>
    <row r="603" ht="12.75" customHeight="1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142"/>
      <c r="P603" s="88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91"/>
      <c r="AT603" s="91"/>
      <c r="AU603" s="91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</row>
    <row r="604" ht="12.75" customHeight="1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142"/>
      <c r="P604" s="88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91"/>
      <c r="AT604" s="91"/>
      <c r="AU604" s="91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</row>
    <row r="605" ht="12.75" customHeight="1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142"/>
      <c r="P605" s="88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91"/>
      <c r="AT605" s="91"/>
      <c r="AU605" s="91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</row>
    <row r="606" ht="12.75" customHeight="1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142"/>
      <c r="P606" s="88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91"/>
      <c r="AT606" s="91"/>
      <c r="AU606" s="91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</row>
    <row r="607" ht="12.75" customHeight="1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142"/>
      <c r="P607" s="88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91"/>
      <c r="AT607" s="91"/>
      <c r="AU607" s="91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</row>
    <row r="608" ht="12.75" customHeight="1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142"/>
      <c r="P608" s="88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91"/>
      <c r="AT608" s="91"/>
      <c r="AU608" s="91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</row>
    <row r="609" ht="12.75" customHeight="1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142"/>
      <c r="P609" s="88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91"/>
      <c r="AT609" s="91"/>
      <c r="AU609" s="91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</row>
    <row r="610" ht="12.75" customHeight="1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142"/>
      <c r="P610" s="88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91"/>
      <c r="AT610" s="91"/>
      <c r="AU610" s="91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</row>
    <row r="611" ht="12.75" customHeight="1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142"/>
      <c r="P611" s="88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91"/>
      <c r="AT611" s="91"/>
      <c r="AU611" s="91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</row>
    <row r="612" ht="12.75" customHeight="1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142"/>
      <c r="P612" s="88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91"/>
      <c r="AT612" s="91"/>
      <c r="AU612" s="91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</row>
    <row r="613" ht="12.75" customHeight="1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142"/>
      <c r="P613" s="88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91"/>
      <c r="AT613" s="91"/>
      <c r="AU613" s="91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</row>
    <row r="614" ht="12.75" customHeight="1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142"/>
      <c r="P614" s="88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91"/>
      <c r="AT614" s="91"/>
      <c r="AU614" s="91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</row>
    <row r="615" ht="12.75" customHeight="1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142"/>
      <c r="P615" s="88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91"/>
      <c r="AT615" s="91"/>
      <c r="AU615" s="91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</row>
    <row r="616" ht="12.75" customHeight="1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142"/>
      <c r="P616" s="88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91"/>
      <c r="AT616" s="91"/>
      <c r="AU616" s="91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</row>
    <row r="617" ht="12.75" customHeight="1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142"/>
      <c r="P617" s="88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91"/>
      <c r="AT617" s="91"/>
      <c r="AU617" s="91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</row>
    <row r="618" ht="12.75" customHeight="1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142"/>
      <c r="P618" s="88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91"/>
      <c r="AT618" s="91"/>
      <c r="AU618" s="91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</row>
    <row r="619" ht="12.75" customHeight="1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142"/>
      <c r="P619" s="88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91"/>
      <c r="AT619" s="91"/>
      <c r="AU619" s="91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</row>
    <row r="620" ht="12.75" customHeight="1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142"/>
      <c r="P620" s="88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91"/>
      <c r="AT620" s="91"/>
      <c r="AU620" s="91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</row>
    <row r="621" ht="12.75" customHeight="1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142"/>
      <c r="P621" s="88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91"/>
      <c r="AT621" s="91"/>
      <c r="AU621" s="91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</row>
    <row r="622" ht="12.75" customHeight="1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142"/>
      <c r="P622" s="88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91"/>
      <c r="AT622" s="91"/>
      <c r="AU622" s="91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</row>
    <row r="623" ht="12.75" customHeight="1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142"/>
      <c r="P623" s="88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91"/>
      <c r="AT623" s="91"/>
      <c r="AU623" s="91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</row>
    <row r="624" ht="12.75" customHeight="1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142"/>
      <c r="P624" s="88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91"/>
      <c r="AT624" s="91"/>
      <c r="AU624" s="91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</row>
    <row r="625" ht="12.75" customHeight="1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142"/>
      <c r="P625" s="88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91"/>
      <c r="AT625" s="91"/>
      <c r="AU625" s="91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</row>
    <row r="626" ht="12.75" customHeight="1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142"/>
      <c r="P626" s="88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91"/>
      <c r="AT626" s="91"/>
      <c r="AU626" s="91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</row>
    <row r="627" ht="12.75" customHeight="1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142"/>
      <c r="P627" s="88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91"/>
      <c r="AT627" s="91"/>
      <c r="AU627" s="91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</row>
    <row r="628" ht="12.75" customHeight="1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142"/>
      <c r="P628" s="88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91"/>
      <c r="AT628" s="91"/>
      <c r="AU628" s="91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</row>
    <row r="629" ht="12.75" customHeight="1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142"/>
      <c r="P629" s="88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91"/>
      <c r="AT629" s="91"/>
      <c r="AU629" s="91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</row>
    <row r="630" ht="12.75" customHeight="1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142"/>
      <c r="P630" s="88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91"/>
      <c r="AT630" s="91"/>
      <c r="AU630" s="91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</row>
    <row r="631" ht="12.75" customHeight="1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142"/>
      <c r="P631" s="88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91"/>
      <c r="AT631" s="91"/>
      <c r="AU631" s="91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</row>
    <row r="632" ht="12.75" customHeight="1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142"/>
      <c r="P632" s="88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91"/>
      <c r="AT632" s="91"/>
      <c r="AU632" s="91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</row>
    <row r="633" ht="12.75" customHeight="1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142"/>
      <c r="P633" s="88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91"/>
      <c r="AT633" s="91"/>
      <c r="AU633" s="91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</row>
    <row r="634" ht="12.75" customHeight="1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142"/>
      <c r="P634" s="88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91"/>
      <c r="AT634" s="91"/>
      <c r="AU634" s="91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</row>
    <row r="635" ht="12.75" customHeight="1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142"/>
      <c r="P635" s="88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91"/>
      <c r="AT635" s="91"/>
      <c r="AU635" s="91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</row>
    <row r="636" ht="12.75" customHeight="1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142"/>
      <c r="P636" s="88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91"/>
      <c r="AT636" s="91"/>
      <c r="AU636" s="91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</row>
    <row r="637" ht="12.75" customHeight="1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142"/>
      <c r="P637" s="88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91"/>
      <c r="AT637" s="91"/>
      <c r="AU637" s="91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</row>
    <row r="638" ht="12.75" customHeight="1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142"/>
      <c r="P638" s="88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91"/>
      <c r="AT638" s="91"/>
      <c r="AU638" s="91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</row>
    <row r="639" ht="12.75" customHeight="1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142"/>
      <c r="P639" s="88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91"/>
      <c r="AT639" s="91"/>
      <c r="AU639" s="91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</row>
    <row r="640" ht="12.75" customHeight="1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142"/>
      <c r="P640" s="88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91"/>
      <c r="AT640" s="91"/>
      <c r="AU640" s="91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</row>
    <row r="641" ht="12.75" customHeight="1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142"/>
      <c r="P641" s="88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91"/>
      <c r="AT641" s="91"/>
      <c r="AU641" s="91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</row>
    <row r="642" ht="12.75" customHeight="1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142"/>
      <c r="P642" s="88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91"/>
      <c r="AT642" s="91"/>
      <c r="AU642" s="91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</row>
    <row r="643" ht="12.75" customHeight="1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142"/>
      <c r="P643" s="88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91"/>
      <c r="AT643" s="91"/>
      <c r="AU643" s="91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</row>
    <row r="644" ht="12.75" customHeight="1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142"/>
      <c r="P644" s="88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91"/>
      <c r="AT644" s="91"/>
      <c r="AU644" s="91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</row>
    <row r="645" ht="12.75" customHeight="1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142"/>
      <c r="P645" s="88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91"/>
      <c r="AT645" s="91"/>
      <c r="AU645" s="91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</row>
    <row r="646" ht="12.75" customHeight="1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142"/>
      <c r="P646" s="88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91"/>
      <c r="AT646" s="91"/>
      <c r="AU646" s="91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</row>
    <row r="647" ht="12.75" customHeight="1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142"/>
      <c r="P647" s="88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91"/>
      <c r="AT647" s="91"/>
      <c r="AU647" s="91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</row>
    <row r="648" ht="12.75" customHeight="1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142"/>
      <c r="P648" s="88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91"/>
      <c r="AT648" s="91"/>
      <c r="AU648" s="91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</row>
    <row r="649" ht="12.75" customHeight="1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142"/>
      <c r="P649" s="88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91"/>
      <c r="AT649" s="91"/>
      <c r="AU649" s="91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</row>
    <row r="650" ht="12.75" customHeight="1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142"/>
      <c r="P650" s="88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91"/>
      <c r="AT650" s="91"/>
      <c r="AU650" s="91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</row>
    <row r="651" ht="12.75" customHeight="1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142"/>
      <c r="P651" s="88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91"/>
      <c r="AT651" s="91"/>
      <c r="AU651" s="91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</row>
    <row r="652" ht="12.75" customHeight="1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142"/>
      <c r="P652" s="88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91"/>
      <c r="AT652" s="91"/>
      <c r="AU652" s="91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</row>
    <row r="653" ht="12.75" customHeight="1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142"/>
      <c r="P653" s="88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91"/>
      <c r="AT653" s="91"/>
      <c r="AU653" s="91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</row>
    <row r="654" ht="12.75" customHeight="1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142"/>
      <c r="P654" s="88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91"/>
      <c r="AT654" s="91"/>
      <c r="AU654" s="91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</row>
    <row r="655" ht="12.75" customHeight="1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142"/>
      <c r="P655" s="88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91"/>
      <c r="AT655" s="91"/>
      <c r="AU655" s="91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</row>
    <row r="656" ht="12.75" customHeight="1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142"/>
      <c r="P656" s="88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91"/>
      <c r="AT656" s="91"/>
      <c r="AU656" s="91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</row>
    <row r="657" ht="12.75" customHeight="1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142"/>
      <c r="P657" s="88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91"/>
      <c r="AT657" s="91"/>
      <c r="AU657" s="91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</row>
    <row r="658" ht="12.75" customHeight="1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142"/>
      <c r="P658" s="88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91"/>
      <c r="AT658" s="91"/>
      <c r="AU658" s="91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</row>
    <row r="659" ht="12.75" customHeight="1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142"/>
      <c r="P659" s="88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91"/>
      <c r="AT659" s="91"/>
      <c r="AU659" s="91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</row>
    <row r="660" ht="12.75" customHeight="1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142"/>
      <c r="P660" s="88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91"/>
      <c r="AT660" s="91"/>
      <c r="AU660" s="91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</row>
    <row r="661" ht="12.75" customHeight="1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142"/>
      <c r="P661" s="88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91"/>
      <c r="AT661" s="91"/>
      <c r="AU661" s="91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</row>
    <row r="662" ht="12.75" customHeight="1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142"/>
      <c r="P662" s="88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91"/>
      <c r="AT662" s="91"/>
      <c r="AU662" s="91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</row>
    <row r="663" ht="12.75" customHeight="1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142"/>
      <c r="P663" s="88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91"/>
      <c r="AT663" s="91"/>
      <c r="AU663" s="91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</row>
    <row r="664" ht="12.75" customHeight="1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142"/>
      <c r="P664" s="88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91"/>
      <c r="AT664" s="91"/>
      <c r="AU664" s="91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</row>
    <row r="665" ht="12.75" customHeight="1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142"/>
      <c r="P665" s="88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91"/>
      <c r="AT665" s="91"/>
      <c r="AU665" s="91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</row>
    <row r="666" ht="12.75" customHeight="1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142"/>
      <c r="P666" s="88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91"/>
      <c r="AT666" s="91"/>
      <c r="AU666" s="91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</row>
    <row r="667" ht="12.75" customHeight="1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142"/>
      <c r="P667" s="88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91"/>
      <c r="AT667" s="91"/>
      <c r="AU667" s="91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</row>
    <row r="668" ht="12.75" customHeight="1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142"/>
      <c r="P668" s="88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91"/>
      <c r="AT668" s="91"/>
      <c r="AU668" s="91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</row>
    <row r="669" ht="12.75" customHeight="1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142"/>
      <c r="P669" s="88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91"/>
      <c r="AT669" s="91"/>
      <c r="AU669" s="91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</row>
    <row r="670" ht="12.75" customHeight="1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142"/>
      <c r="P670" s="88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91"/>
      <c r="AT670" s="91"/>
      <c r="AU670" s="91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</row>
    <row r="671" ht="12.75" customHeight="1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142"/>
      <c r="P671" s="88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91"/>
      <c r="AT671" s="91"/>
      <c r="AU671" s="91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</row>
    <row r="672" ht="12.75" customHeight="1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142"/>
      <c r="P672" s="88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91"/>
      <c r="AT672" s="91"/>
      <c r="AU672" s="91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</row>
    <row r="673" ht="12.75" customHeight="1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142"/>
      <c r="P673" s="88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91"/>
      <c r="AT673" s="91"/>
      <c r="AU673" s="91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</row>
    <row r="674" ht="12.75" customHeight="1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142"/>
      <c r="P674" s="88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91"/>
      <c r="AT674" s="91"/>
      <c r="AU674" s="91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</row>
    <row r="675" ht="12.75" customHeight="1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142"/>
      <c r="P675" s="88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91"/>
      <c r="AT675" s="91"/>
      <c r="AU675" s="91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</row>
    <row r="676" ht="12.75" customHeight="1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142"/>
      <c r="P676" s="88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91"/>
      <c r="AT676" s="91"/>
      <c r="AU676" s="91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</row>
    <row r="677" ht="12.75" customHeight="1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142"/>
      <c r="P677" s="88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91"/>
      <c r="AT677" s="91"/>
      <c r="AU677" s="91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</row>
    <row r="678" ht="12.75" customHeight="1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142"/>
      <c r="P678" s="88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91"/>
      <c r="AT678" s="91"/>
      <c r="AU678" s="91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</row>
    <row r="679" ht="12.75" customHeight="1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142"/>
      <c r="P679" s="88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91"/>
      <c r="AT679" s="91"/>
      <c r="AU679" s="91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</row>
    <row r="680" ht="12.75" customHeight="1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142"/>
      <c r="P680" s="88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91"/>
      <c r="AT680" s="91"/>
      <c r="AU680" s="91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</row>
    <row r="681" ht="12.75" customHeight="1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142"/>
      <c r="P681" s="88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91"/>
      <c r="AT681" s="91"/>
      <c r="AU681" s="91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</row>
    <row r="682" ht="12.75" customHeight="1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142"/>
      <c r="P682" s="88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91"/>
      <c r="AT682" s="91"/>
      <c r="AU682" s="91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</row>
    <row r="683" ht="12.75" customHeight="1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142"/>
      <c r="P683" s="88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91"/>
      <c r="AT683" s="91"/>
      <c r="AU683" s="91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</row>
    <row r="684" ht="12.75" customHeight="1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142"/>
      <c r="P684" s="88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91"/>
      <c r="AT684" s="91"/>
      <c r="AU684" s="91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</row>
    <row r="685" ht="12.75" customHeight="1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142"/>
      <c r="P685" s="88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91"/>
      <c r="AT685" s="91"/>
      <c r="AU685" s="91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</row>
    <row r="686" ht="12.75" customHeight="1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142"/>
      <c r="P686" s="88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91"/>
      <c r="AT686" s="91"/>
      <c r="AU686" s="91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</row>
    <row r="687" ht="12.75" customHeight="1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142"/>
      <c r="P687" s="88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91"/>
      <c r="AT687" s="91"/>
      <c r="AU687" s="91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</row>
    <row r="688" ht="12.75" customHeight="1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142"/>
      <c r="P688" s="88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91"/>
      <c r="AT688" s="91"/>
      <c r="AU688" s="91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</row>
    <row r="689" ht="12.75" customHeight="1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142"/>
      <c r="P689" s="88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91"/>
      <c r="AT689" s="91"/>
      <c r="AU689" s="91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</row>
    <row r="690" ht="12.75" customHeight="1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142"/>
      <c r="P690" s="88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91"/>
      <c r="AT690" s="91"/>
      <c r="AU690" s="91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</row>
    <row r="691" ht="12.75" customHeight="1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142"/>
      <c r="P691" s="88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91"/>
      <c r="AT691" s="91"/>
      <c r="AU691" s="91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</row>
    <row r="692" ht="12.75" customHeight="1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142"/>
      <c r="P692" s="88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91"/>
      <c r="AT692" s="91"/>
      <c r="AU692" s="91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</row>
    <row r="693" ht="12.75" customHeight="1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142"/>
      <c r="P693" s="88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91"/>
      <c r="AT693" s="91"/>
      <c r="AU693" s="91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</row>
    <row r="694" ht="12.75" customHeight="1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142"/>
      <c r="P694" s="88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91"/>
      <c r="AT694" s="91"/>
      <c r="AU694" s="91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</row>
    <row r="695" ht="12.75" customHeight="1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142"/>
      <c r="P695" s="88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91"/>
      <c r="AT695" s="91"/>
      <c r="AU695" s="91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</row>
    <row r="696" ht="12.75" customHeight="1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142"/>
      <c r="P696" s="88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91"/>
      <c r="AT696" s="91"/>
      <c r="AU696" s="91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</row>
    <row r="697" ht="12.75" customHeight="1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142"/>
      <c r="P697" s="88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91"/>
      <c r="AT697" s="91"/>
      <c r="AU697" s="91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</row>
    <row r="698" ht="12.75" customHeight="1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142"/>
      <c r="P698" s="88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91"/>
      <c r="AT698" s="91"/>
      <c r="AU698" s="91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</row>
    <row r="699" ht="12.75" customHeight="1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142"/>
      <c r="P699" s="88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91"/>
      <c r="AT699" s="91"/>
      <c r="AU699" s="91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</row>
    <row r="700" ht="12.75" customHeight="1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142"/>
      <c r="P700" s="88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91"/>
      <c r="AT700" s="91"/>
      <c r="AU700" s="91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</row>
    <row r="701" ht="12.75" customHeight="1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142"/>
      <c r="P701" s="88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91"/>
      <c r="AT701" s="91"/>
      <c r="AU701" s="91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</row>
    <row r="702" ht="12.75" customHeight="1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142"/>
      <c r="P702" s="88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91"/>
      <c r="AT702" s="91"/>
      <c r="AU702" s="91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</row>
    <row r="703" ht="12.75" customHeight="1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142"/>
      <c r="P703" s="88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91"/>
      <c r="AT703" s="91"/>
      <c r="AU703" s="91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</row>
    <row r="704" ht="12.75" customHeight="1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142"/>
      <c r="P704" s="88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91"/>
      <c r="AT704" s="91"/>
      <c r="AU704" s="91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</row>
    <row r="705" ht="12.75" customHeight="1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142"/>
      <c r="P705" s="88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91"/>
      <c r="AT705" s="91"/>
      <c r="AU705" s="91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</row>
    <row r="706" ht="12.75" customHeight="1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142"/>
      <c r="P706" s="88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91"/>
      <c r="AT706" s="91"/>
      <c r="AU706" s="91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</row>
    <row r="707" ht="12.75" customHeight="1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142"/>
      <c r="P707" s="88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91"/>
      <c r="AT707" s="91"/>
      <c r="AU707" s="91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</row>
    <row r="708" ht="12.75" customHeight="1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142"/>
      <c r="P708" s="88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91"/>
      <c r="AT708" s="91"/>
      <c r="AU708" s="91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</row>
    <row r="709" ht="12.75" customHeight="1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142"/>
      <c r="P709" s="88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91"/>
      <c r="AT709" s="91"/>
      <c r="AU709" s="91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</row>
    <row r="710" ht="12.75" customHeight="1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142"/>
      <c r="P710" s="88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91"/>
      <c r="AT710" s="91"/>
      <c r="AU710" s="91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</row>
    <row r="711" ht="12.75" customHeight="1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142"/>
      <c r="P711" s="88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91"/>
      <c r="AT711" s="91"/>
      <c r="AU711" s="91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</row>
    <row r="712" ht="12.75" customHeight="1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142"/>
      <c r="P712" s="88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91"/>
      <c r="AT712" s="91"/>
      <c r="AU712" s="91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</row>
    <row r="713" ht="12.75" customHeight="1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142"/>
      <c r="P713" s="88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91"/>
      <c r="AT713" s="91"/>
      <c r="AU713" s="91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</row>
    <row r="714" ht="12.75" customHeight="1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142"/>
      <c r="P714" s="88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91"/>
      <c r="AT714" s="91"/>
      <c r="AU714" s="91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</row>
    <row r="715" ht="12.75" customHeight="1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142"/>
      <c r="P715" s="88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91"/>
      <c r="AT715" s="91"/>
      <c r="AU715" s="91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</row>
    <row r="716" ht="12.75" customHeight="1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142"/>
      <c r="P716" s="88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91"/>
      <c r="AT716" s="91"/>
      <c r="AU716" s="91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</row>
    <row r="717" ht="12.75" customHeight="1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142"/>
      <c r="P717" s="88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91"/>
      <c r="AT717" s="91"/>
      <c r="AU717" s="91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</row>
    <row r="718" ht="12.75" customHeight="1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142"/>
      <c r="P718" s="88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91"/>
      <c r="AT718" s="91"/>
      <c r="AU718" s="91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</row>
    <row r="719" ht="12.75" customHeight="1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142"/>
      <c r="P719" s="88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91"/>
      <c r="AT719" s="91"/>
      <c r="AU719" s="91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</row>
    <row r="720" ht="12.75" customHeight="1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142"/>
      <c r="P720" s="88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91"/>
      <c r="AT720" s="91"/>
      <c r="AU720" s="91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</row>
    <row r="721" ht="12.75" customHeight="1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142"/>
      <c r="P721" s="88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91"/>
      <c r="AT721" s="91"/>
      <c r="AU721" s="91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</row>
    <row r="722" ht="12.75" customHeight="1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142"/>
      <c r="P722" s="88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91"/>
      <c r="AT722" s="91"/>
      <c r="AU722" s="91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</row>
    <row r="723" ht="12.75" customHeight="1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142"/>
      <c r="P723" s="88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91"/>
      <c r="AT723" s="91"/>
      <c r="AU723" s="91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</row>
    <row r="724" ht="12.75" customHeight="1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142"/>
      <c r="P724" s="88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91"/>
      <c r="AT724" s="91"/>
      <c r="AU724" s="91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</row>
    <row r="725" ht="12.75" customHeight="1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142"/>
      <c r="P725" s="88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91"/>
      <c r="AT725" s="91"/>
      <c r="AU725" s="91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</row>
    <row r="726" ht="12.75" customHeight="1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142"/>
      <c r="P726" s="88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91"/>
      <c r="AT726" s="91"/>
      <c r="AU726" s="91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</row>
    <row r="727" ht="12.75" customHeight="1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142"/>
      <c r="P727" s="88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91"/>
      <c r="AT727" s="91"/>
      <c r="AU727" s="91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</row>
    <row r="728" ht="12.75" customHeight="1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142"/>
      <c r="P728" s="88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91"/>
      <c r="AT728" s="91"/>
      <c r="AU728" s="91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</row>
    <row r="729" ht="12.75" customHeight="1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142"/>
      <c r="P729" s="88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91"/>
      <c r="AT729" s="91"/>
      <c r="AU729" s="91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</row>
    <row r="730" ht="12.75" customHeight="1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142"/>
      <c r="P730" s="88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91"/>
      <c r="AT730" s="91"/>
      <c r="AU730" s="91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</row>
    <row r="731" ht="12.75" customHeight="1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142"/>
      <c r="P731" s="88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91"/>
      <c r="AT731" s="91"/>
      <c r="AU731" s="91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</row>
    <row r="732" ht="12.75" customHeight="1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142"/>
      <c r="P732" s="88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91"/>
      <c r="AT732" s="91"/>
      <c r="AU732" s="91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</row>
    <row r="733" ht="12.75" customHeight="1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142"/>
      <c r="P733" s="88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91"/>
      <c r="AT733" s="91"/>
      <c r="AU733" s="91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</row>
    <row r="734" ht="12.75" customHeight="1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142"/>
      <c r="P734" s="88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91"/>
      <c r="AT734" s="91"/>
      <c r="AU734" s="91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</row>
    <row r="735" ht="12.75" customHeight="1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142"/>
      <c r="P735" s="88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91"/>
      <c r="AT735" s="91"/>
      <c r="AU735" s="91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</row>
    <row r="736" ht="12.75" customHeight="1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142"/>
      <c r="P736" s="88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91"/>
      <c r="AT736" s="91"/>
      <c r="AU736" s="91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</row>
    <row r="737" ht="12.75" customHeight="1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142"/>
      <c r="P737" s="88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91"/>
      <c r="AT737" s="91"/>
      <c r="AU737" s="91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</row>
    <row r="738" ht="12.75" customHeight="1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142"/>
      <c r="P738" s="88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91"/>
      <c r="AT738" s="91"/>
      <c r="AU738" s="91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</row>
    <row r="739" ht="12.75" customHeight="1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142"/>
      <c r="P739" s="88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91"/>
      <c r="AT739" s="91"/>
      <c r="AU739" s="91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</row>
    <row r="740" ht="12.75" customHeight="1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142"/>
      <c r="P740" s="88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91"/>
      <c r="AT740" s="91"/>
      <c r="AU740" s="91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</row>
    <row r="741" ht="12.75" customHeight="1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142"/>
      <c r="P741" s="88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91"/>
      <c r="AT741" s="91"/>
      <c r="AU741" s="91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</row>
    <row r="742" ht="12.75" customHeight="1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142"/>
      <c r="P742" s="88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91"/>
      <c r="AT742" s="91"/>
      <c r="AU742" s="91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</row>
    <row r="743" ht="12.75" customHeight="1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142"/>
      <c r="P743" s="88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91"/>
      <c r="AT743" s="91"/>
      <c r="AU743" s="91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</row>
    <row r="744" ht="12.75" customHeight="1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142"/>
      <c r="P744" s="88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91"/>
      <c r="AT744" s="91"/>
      <c r="AU744" s="91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</row>
    <row r="745" ht="12.75" customHeight="1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142"/>
      <c r="P745" s="88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91"/>
      <c r="AT745" s="91"/>
      <c r="AU745" s="91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</row>
    <row r="746" ht="12.75" customHeight="1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142"/>
      <c r="P746" s="88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91"/>
      <c r="AT746" s="91"/>
      <c r="AU746" s="91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</row>
    <row r="747" ht="12.75" customHeight="1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142"/>
      <c r="P747" s="88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91"/>
      <c r="AT747" s="91"/>
      <c r="AU747" s="91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</row>
    <row r="748" ht="12.75" customHeight="1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142"/>
      <c r="P748" s="88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91"/>
      <c r="AT748" s="91"/>
      <c r="AU748" s="91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</row>
    <row r="749" ht="12.75" customHeight="1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142"/>
      <c r="P749" s="88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91"/>
      <c r="AT749" s="91"/>
      <c r="AU749" s="91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</row>
    <row r="750" ht="12.75" customHeight="1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142"/>
      <c r="P750" s="88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91"/>
      <c r="AT750" s="91"/>
      <c r="AU750" s="91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</row>
    <row r="751" ht="12.75" customHeight="1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142"/>
      <c r="P751" s="88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91"/>
      <c r="AT751" s="91"/>
      <c r="AU751" s="91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</row>
    <row r="752" ht="12.75" customHeight="1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142"/>
      <c r="P752" s="88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91"/>
      <c r="AT752" s="91"/>
      <c r="AU752" s="91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</row>
    <row r="753" ht="12.75" customHeight="1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142"/>
      <c r="P753" s="88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91"/>
      <c r="AT753" s="91"/>
      <c r="AU753" s="91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</row>
    <row r="754" ht="12.75" customHeight="1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142"/>
      <c r="P754" s="88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91"/>
      <c r="AT754" s="91"/>
      <c r="AU754" s="91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</row>
    <row r="755" ht="12.75" customHeight="1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142"/>
      <c r="P755" s="88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91"/>
      <c r="AT755" s="91"/>
      <c r="AU755" s="91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</row>
    <row r="756" ht="12.75" customHeight="1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142"/>
      <c r="P756" s="88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91"/>
      <c r="AT756" s="91"/>
      <c r="AU756" s="91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</row>
    <row r="757" ht="12.75" customHeight="1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142"/>
      <c r="P757" s="88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91"/>
      <c r="AT757" s="91"/>
      <c r="AU757" s="91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</row>
    <row r="758" ht="12.75" customHeight="1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142"/>
      <c r="P758" s="88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91"/>
      <c r="AT758" s="91"/>
      <c r="AU758" s="91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</row>
    <row r="759" ht="12.75" customHeight="1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142"/>
      <c r="P759" s="88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91"/>
      <c r="AT759" s="91"/>
      <c r="AU759" s="91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</row>
    <row r="760" ht="12.75" customHeight="1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142"/>
      <c r="P760" s="88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91"/>
      <c r="AT760" s="91"/>
      <c r="AU760" s="91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</row>
    <row r="761" ht="12.75" customHeight="1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142"/>
      <c r="P761" s="88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91"/>
      <c r="AT761" s="91"/>
      <c r="AU761" s="91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</row>
    <row r="762" ht="12.75" customHeight="1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142"/>
      <c r="P762" s="88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91"/>
      <c r="AT762" s="91"/>
      <c r="AU762" s="91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</row>
    <row r="763" ht="12.75" customHeight="1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142"/>
      <c r="P763" s="88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91"/>
      <c r="AT763" s="91"/>
      <c r="AU763" s="91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</row>
    <row r="764" ht="12.75" customHeight="1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142"/>
      <c r="P764" s="88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91"/>
      <c r="AT764" s="91"/>
      <c r="AU764" s="91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</row>
    <row r="765" ht="12.75" customHeight="1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142"/>
      <c r="P765" s="88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91"/>
      <c r="AT765" s="91"/>
      <c r="AU765" s="91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</row>
    <row r="766" ht="12.75" customHeight="1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142"/>
      <c r="P766" s="88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91"/>
      <c r="AT766" s="91"/>
      <c r="AU766" s="91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</row>
    <row r="767" ht="12.75" customHeight="1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142"/>
      <c r="P767" s="88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91"/>
      <c r="AT767" s="91"/>
      <c r="AU767" s="91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</row>
    <row r="768" ht="12.75" customHeight="1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142"/>
      <c r="P768" s="88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91"/>
      <c r="AT768" s="91"/>
      <c r="AU768" s="91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</row>
    <row r="769" ht="12.75" customHeight="1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142"/>
      <c r="P769" s="88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91"/>
      <c r="AT769" s="91"/>
      <c r="AU769" s="91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</row>
    <row r="770" ht="12.75" customHeight="1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142"/>
      <c r="P770" s="88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91"/>
      <c r="AT770" s="91"/>
      <c r="AU770" s="91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</row>
    <row r="771" ht="12.75" customHeight="1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142"/>
      <c r="P771" s="88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91"/>
      <c r="AT771" s="91"/>
      <c r="AU771" s="91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</row>
    <row r="772" ht="12.75" customHeight="1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142"/>
      <c r="P772" s="88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91"/>
      <c r="AT772" s="91"/>
      <c r="AU772" s="91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</row>
    <row r="773" ht="12.75" customHeight="1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142"/>
      <c r="P773" s="88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91"/>
      <c r="AT773" s="91"/>
      <c r="AU773" s="91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</row>
    <row r="774" ht="12.75" customHeight="1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142"/>
      <c r="P774" s="88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91"/>
      <c r="AT774" s="91"/>
      <c r="AU774" s="91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</row>
    <row r="775" ht="12.75" customHeight="1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142"/>
      <c r="P775" s="88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91"/>
      <c r="AT775" s="91"/>
      <c r="AU775" s="91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</row>
    <row r="776" ht="12.75" customHeight="1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142"/>
      <c r="P776" s="88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91"/>
      <c r="AT776" s="91"/>
      <c r="AU776" s="91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</row>
    <row r="777" ht="12.75" customHeight="1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142"/>
      <c r="P777" s="88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91"/>
      <c r="AT777" s="91"/>
      <c r="AU777" s="91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</row>
    <row r="778" ht="12.75" customHeight="1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142"/>
      <c r="P778" s="88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91"/>
      <c r="AT778" s="91"/>
      <c r="AU778" s="91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</row>
    <row r="779" ht="12.75" customHeight="1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142"/>
      <c r="P779" s="88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91"/>
      <c r="AT779" s="91"/>
      <c r="AU779" s="91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</row>
    <row r="780" ht="12.75" customHeight="1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142"/>
      <c r="P780" s="88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91"/>
      <c r="AT780" s="91"/>
      <c r="AU780" s="91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</row>
    <row r="781" ht="12.75" customHeight="1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142"/>
      <c r="P781" s="88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91"/>
      <c r="AT781" s="91"/>
      <c r="AU781" s="91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</row>
    <row r="782" ht="12.75" customHeight="1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142"/>
      <c r="P782" s="88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91"/>
      <c r="AT782" s="91"/>
      <c r="AU782" s="91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</row>
    <row r="783" ht="12.75" customHeight="1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142"/>
      <c r="P783" s="88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91"/>
      <c r="AT783" s="91"/>
      <c r="AU783" s="91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</row>
    <row r="784" ht="12.75" customHeight="1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142"/>
      <c r="P784" s="88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91"/>
      <c r="AT784" s="91"/>
      <c r="AU784" s="91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</row>
    <row r="785" ht="12.75" customHeight="1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142"/>
      <c r="P785" s="88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91"/>
      <c r="AT785" s="91"/>
      <c r="AU785" s="91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</row>
    <row r="786" ht="12.75" customHeight="1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142"/>
      <c r="P786" s="88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91"/>
      <c r="AT786" s="91"/>
      <c r="AU786" s="91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</row>
    <row r="787" ht="12.75" customHeight="1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142"/>
      <c r="P787" s="88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91"/>
      <c r="AT787" s="91"/>
      <c r="AU787" s="91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</row>
    <row r="788" ht="12.75" customHeight="1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142"/>
      <c r="P788" s="88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91"/>
      <c r="AT788" s="91"/>
      <c r="AU788" s="91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</row>
    <row r="789" ht="12.75" customHeight="1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142"/>
      <c r="P789" s="88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91"/>
      <c r="AT789" s="91"/>
      <c r="AU789" s="91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</row>
    <row r="790" ht="12.75" customHeight="1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142"/>
      <c r="P790" s="88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91"/>
      <c r="AT790" s="91"/>
      <c r="AU790" s="91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</row>
    <row r="791" ht="12.75" customHeight="1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142"/>
      <c r="P791" s="88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91"/>
      <c r="AT791" s="91"/>
      <c r="AU791" s="91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</row>
    <row r="792" ht="12.75" customHeight="1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142"/>
      <c r="P792" s="88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91"/>
      <c r="AT792" s="91"/>
      <c r="AU792" s="91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</row>
    <row r="793" ht="12.75" customHeight="1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142"/>
      <c r="P793" s="88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91"/>
      <c r="AT793" s="91"/>
      <c r="AU793" s="91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</row>
    <row r="794" ht="12.75" customHeight="1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142"/>
      <c r="P794" s="88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91"/>
      <c r="AT794" s="91"/>
      <c r="AU794" s="91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</row>
    <row r="795" ht="12.75" customHeight="1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142"/>
      <c r="P795" s="88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91"/>
      <c r="AT795" s="91"/>
      <c r="AU795" s="91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</row>
    <row r="796" ht="12.75" customHeight="1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142"/>
      <c r="P796" s="88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91"/>
      <c r="AT796" s="91"/>
      <c r="AU796" s="91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</row>
    <row r="797" ht="12.75" customHeight="1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142"/>
      <c r="P797" s="88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91"/>
      <c r="AT797" s="91"/>
      <c r="AU797" s="91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</row>
    <row r="798" ht="12.75" customHeight="1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142"/>
      <c r="P798" s="88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91"/>
      <c r="AT798" s="91"/>
      <c r="AU798" s="91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</row>
    <row r="799" ht="12.75" customHeight="1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142"/>
      <c r="P799" s="88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91"/>
      <c r="AT799" s="91"/>
      <c r="AU799" s="91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</row>
    <row r="800" ht="12.75" customHeight="1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142"/>
      <c r="P800" s="88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91"/>
      <c r="AT800" s="91"/>
      <c r="AU800" s="91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</row>
    <row r="801" ht="12.75" customHeight="1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142"/>
      <c r="P801" s="88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91"/>
      <c r="AT801" s="91"/>
      <c r="AU801" s="91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</row>
    <row r="802" ht="12.75" customHeight="1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142"/>
      <c r="P802" s="88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91"/>
      <c r="AT802" s="91"/>
      <c r="AU802" s="91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</row>
    <row r="803" ht="12.75" customHeight="1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142"/>
      <c r="P803" s="88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91"/>
      <c r="AT803" s="91"/>
      <c r="AU803" s="91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</row>
    <row r="804" ht="12.75" customHeight="1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142"/>
      <c r="P804" s="88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91"/>
      <c r="AT804" s="91"/>
      <c r="AU804" s="91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</row>
    <row r="805" ht="12.75" customHeight="1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142"/>
      <c r="P805" s="88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91"/>
      <c r="AT805" s="91"/>
      <c r="AU805" s="91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</row>
    <row r="806" ht="12.75" customHeight="1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142"/>
      <c r="P806" s="88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91"/>
      <c r="AT806" s="91"/>
      <c r="AU806" s="91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</row>
    <row r="807" ht="12.75" customHeight="1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142"/>
      <c r="P807" s="88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91"/>
      <c r="AT807" s="91"/>
      <c r="AU807" s="91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</row>
    <row r="808" ht="12.75" customHeight="1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142"/>
      <c r="P808" s="88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91"/>
      <c r="AT808" s="91"/>
      <c r="AU808" s="91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</row>
    <row r="809" ht="12.75" customHeight="1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142"/>
      <c r="P809" s="88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91"/>
      <c r="AT809" s="91"/>
      <c r="AU809" s="91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</row>
    <row r="810" ht="12.75" customHeight="1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142"/>
      <c r="P810" s="88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91"/>
      <c r="AT810" s="91"/>
      <c r="AU810" s="91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</row>
    <row r="811" ht="12.75" customHeight="1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142"/>
      <c r="P811" s="88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91"/>
      <c r="AT811" s="91"/>
      <c r="AU811" s="91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</row>
    <row r="812" ht="12.75" customHeight="1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142"/>
      <c r="P812" s="88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91"/>
      <c r="AT812" s="91"/>
      <c r="AU812" s="91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</row>
    <row r="813" ht="12.75" customHeight="1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142"/>
      <c r="P813" s="88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91"/>
      <c r="AT813" s="91"/>
      <c r="AU813" s="91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</row>
    <row r="814" ht="12.75" customHeight="1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142"/>
      <c r="P814" s="88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91"/>
      <c r="AT814" s="91"/>
      <c r="AU814" s="91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</row>
    <row r="815" ht="12.75" customHeight="1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142"/>
      <c r="P815" s="88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91"/>
      <c r="AT815" s="91"/>
      <c r="AU815" s="91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</row>
    <row r="816" ht="12.75" customHeight="1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142"/>
      <c r="P816" s="88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91"/>
      <c r="AT816" s="91"/>
      <c r="AU816" s="91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</row>
    <row r="817" ht="12.75" customHeight="1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142"/>
      <c r="P817" s="88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91"/>
      <c r="AT817" s="91"/>
      <c r="AU817" s="91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</row>
    <row r="818" ht="12.75" customHeight="1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142"/>
      <c r="P818" s="88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91"/>
      <c r="AT818" s="91"/>
      <c r="AU818" s="91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</row>
    <row r="819" ht="12.75" customHeight="1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142"/>
      <c r="P819" s="88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91"/>
      <c r="AT819" s="91"/>
      <c r="AU819" s="91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</row>
    <row r="820" ht="12.75" customHeight="1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142"/>
      <c r="P820" s="88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91"/>
      <c r="AT820" s="91"/>
      <c r="AU820" s="91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</row>
    <row r="821" ht="12.75" customHeight="1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142"/>
      <c r="P821" s="88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91"/>
      <c r="AT821" s="91"/>
      <c r="AU821" s="91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</row>
    <row r="822" ht="12.75" customHeight="1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142"/>
      <c r="P822" s="88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91"/>
      <c r="AT822" s="91"/>
      <c r="AU822" s="91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</row>
    <row r="823" ht="12.75" customHeight="1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142"/>
      <c r="P823" s="88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91"/>
      <c r="AT823" s="91"/>
      <c r="AU823" s="91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</row>
    <row r="824" ht="12.75" customHeight="1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142"/>
      <c r="P824" s="88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91"/>
      <c r="AT824" s="91"/>
      <c r="AU824" s="91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</row>
    <row r="825" ht="12.75" customHeight="1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142"/>
      <c r="P825" s="88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91"/>
      <c r="AT825" s="91"/>
      <c r="AU825" s="91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</row>
    <row r="826" ht="12.75" customHeight="1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142"/>
      <c r="P826" s="88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91"/>
      <c r="AT826" s="91"/>
      <c r="AU826" s="91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</row>
    <row r="827" ht="12.75" customHeight="1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142"/>
      <c r="P827" s="88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91"/>
      <c r="AT827" s="91"/>
      <c r="AU827" s="91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</row>
    <row r="828" ht="12.75" customHeight="1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142"/>
      <c r="P828" s="88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91"/>
      <c r="AT828" s="91"/>
      <c r="AU828" s="91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</row>
    <row r="829" ht="12.75" customHeight="1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142"/>
      <c r="P829" s="88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91"/>
      <c r="AT829" s="91"/>
      <c r="AU829" s="91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</row>
    <row r="830" ht="12.75" customHeight="1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142"/>
      <c r="P830" s="88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91"/>
      <c r="AT830" s="91"/>
      <c r="AU830" s="91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</row>
    <row r="831" ht="12.75" customHeight="1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142"/>
      <c r="P831" s="88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91"/>
      <c r="AT831" s="91"/>
      <c r="AU831" s="91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</row>
    <row r="832" ht="12.75" customHeight="1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142"/>
      <c r="P832" s="88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91"/>
      <c r="AT832" s="91"/>
      <c r="AU832" s="91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</row>
    <row r="833" ht="12.75" customHeight="1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142"/>
      <c r="P833" s="88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91"/>
      <c r="AT833" s="91"/>
      <c r="AU833" s="91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</row>
    <row r="834" ht="12.75" customHeight="1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142"/>
      <c r="P834" s="88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91"/>
      <c r="AT834" s="91"/>
      <c r="AU834" s="91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</row>
    <row r="835" ht="12.75" customHeight="1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142"/>
      <c r="P835" s="88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91"/>
      <c r="AT835" s="91"/>
      <c r="AU835" s="91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</row>
    <row r="836" ht="12.75" customHeight="1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142"/>
      <c r="P836" s="88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91"/>
      <c r="AT836" s="91"/>
      <c r="AU836" s="91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</row>
    <row r="837" ht="12.75" customHeight="1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142"/>
      <c r="P837" s="88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91"/>
      <c r="AT837" s="91"/>
      <c r="AU837" s="91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</row>
    <row r="838" ht="12.75" customHeight="1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142"/>
      <c r="P838" s="88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91"/>
      <c r="AT838" s="91"/>
      <c r="AU838" s="91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</row>
    <row r="839" ht="12.75" customHeight="1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142"/>
      <c r="P839" s="88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91"/>
      <c r="AT839" s="91"/>
      <c r="AU839" s="91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</row>
    <row r="840" ht="12.75" customHeight="1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142"/>
      <c r="P840" s="88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91"/>
      <c r="AT840" s="91"/>
      <c r="AU840" s="91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</row>
    <row r="841" ht="12.75" customHeight="1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142"/>
      <c r="P841" s="88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91"/>
      <c r="AT841" s="91"/>
      <c r="AU841" s="91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</row>
    <row r="842" ht="12.75" customHeight="1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142"/>
      <c r="P842" s="88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91"/>
      <c r="AT842" s="91"/>
      <c r="AU842" s="91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</row>
    <row r="843" ht="12.75" customHeight="1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142"/>
      <c r="P843" s="88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91"/>
      <c r="AT843" s="91"/>
      <c r="AU843" s="91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</row>
    <row r="844" ht="12.75" customHeight="1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142"/>
      <c r="P844" s="88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91"/>
      <c r="AT844" s="91"/>
      <c r="AU844" s="91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</row>
    <row r="845" ht="12.75" customHeight="1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142"/>
      <c r="P845" s="88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91"/>
      <c r="AT845" s="91"/>
      <c r="AU845" s="91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</row>
    <row r="846" ht="12.75" customHeight="1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142"/>
      <c r="P846" s="88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91"/>
      <c r="AT846" s="91"/>
      <c r="AU846" s="91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</row>
    <row r="847" ht="12.75" customHeight="1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142"/>
      <c r="P847" s="88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91"/>
      <c r="AT847" s="91"/>
      <c r="AU847" s="91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</row>
    <row r="848" ht="12.75" customHeight="1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142"/>
      <c r="P848" s="88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91"/>
      <c r="AT848" s="91"/>
      <c r="AU848" s="91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</row>
    <row r="849" ht="12.75" customHeight="1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142"/>
      <c r="P849" s="88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91"/>
      <c r="AT849" s="91"/>
      <c r="AU849" s="91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</row>
    <row r="850" ht="12.75" customHeight="1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142"/>
      <c r="P850" s="88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91"/>
      <c r="AT850" s="91"/>
      <c r="AU850" s="91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</row>
    <row r="851" ht="12.75" customHeight="1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142"/>
      <c r="P851" s="88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91"/>
      <c r="AT851" s="91"/>
      <c r="AU851" s="91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</row>
    <row r="852" ht="12.75" customHeight="1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142"/>
      <c r="P852" s="88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91"/>
      <c r="AT852" s="91"/>
      <c r="AU852" s="91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</row>
    <row r="853" ht="12.75" customHeight="1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142"/>
      <c r="P853" s="88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91"/>
      <c r="AT853" s="91"/>
      <c r="AU853" s="91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</row>
    <row r="854" ht="12.75" customHeight="1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142"/>
      <c r="P854" s="88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91"/>
      <c r="AT854" s="91"/>
      <c r="AU854" s="91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</row>
    <row r="855" ht="12.75" customHeight="1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142"/>
      <c r="P855" s="88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91"/>
      <c r="AT855" s="91"/>
      <c r="AU855" s="91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</row>
    <row r="856" ht="12.75" customHeight="1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142"/>
      <c r="P856" s="88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91"/>
      <c r="AT856" s="91"/>
      <c r="AU856" s="91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</row>
    <row r="857" ht="12.75" customHeight="1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142"/>
      <c r="P857" s="88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91"/>
      <c r="AT857" s="91"/>
      <c r="AU857" s="91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</row>
    <row r="858" ht="12.75" customHeight="1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142"/>
      <c r="P858" s="88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91"/>
      <c r="AT858" s="91"/>
      <c r="AU858" s="91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</row>
    <row r="859" ht="12.75" customHeight="1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142"/>
      <c r="P859" s="88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91"/>
      <c r="AT859" s="91"/>
      <c r="AU859" s="91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</row>
    <row r="860" ht="12.75" customHeight="1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142"/>
      <c r="P860" s="88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91"/>
      <c r="AT860" s="91"/>
      <c r="AU860" s="91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</row>
    <row r="861" ht="12.75" customHeight="1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142"/>
      <c r="P861" s="88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91"/>
      <c r="AT861" s="91"/>
      <c r="AU861" s="91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</row>
    <row r="862" ht="12.75" customHeight="1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142"/>
      <c r="P862" s="88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91"/>
      <c r="AT862" s="91"/>
      <c r="AU862" s="91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</row>
    <row r="863" ht="12.75" customHeight="1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142"/>
      <c r="P863" s="88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91"/>
      <c r="AT863" s="91"/>
      <c r="AU863" s="91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</row>
    <row r="864" ht="12.75" customHeight="1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142"/>
      <c r="P864" s="88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91"/>
      <c r="AT864" s="91"/>
      <c r="AU864" s="91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</row>
    <row r="865" ht="12.75" customHeight="1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142"/>
      <c r="P865" s="88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91"/>
      <c r="AT865" s="91"/>
      <c r="AU865" s="91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</row>
    <row r="866" ht="12.75" customHeight="1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142"/>
      <c r="P866" s="88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91"/>
      <c r="AT866" s="91"/>
      <c r="AU866" s="91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</row>
    <row r="867" ht="12.75" customHeight="1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142"/>
      <c r="P867" s="88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91"/>
      <c r="AT867" s="91"/>
      <c r="AU867" s="91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</row>
    <row r="868" ht="12.75" customHeight="1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142"/>
      <c r="P868" s="88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91"/>
      <c r="AT868" s="91"/>
      <c r="AU868" s="91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</row>
    <row r="869" ht="12.75" customHeight="1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142"/>
      <c r="P869" s="88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91"/>
      <c r="AT869" s="91"/>
      <c r="AU869" s="91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</row>
    <row r="870" ht="12.75" customHeight="1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142"/>
      <c r="P870" s="88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91"/>
      <c r="AT870" s="91"/>
      <c r="AU870" s="91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</row>
    <row r="871" ht="12.75" customHeight="1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142"/>
      <c r="P871" s="88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91"/>
      <c r="AT871" s="91"/>
      <c r="AU871" s="91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</row>
    <row r="872" ht="12.75" customHeight="1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142"/>
      <c r="P872" s="88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91"/>
      <c r="AT872" s="91"/>
      <c r="AU872" s="91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</row>
    <row r="873" ht="12.75" customHeight="1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142"/>
      <c r="P873" s="88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91"/>
      <c r="AT873" s="91"/>
      <c r="AU873" s="91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</row>
    <row r="874" ht="12.75" customHeight="1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142"/>
      <c r="P874" s="88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91"/>
      <c r="AT874" s="91"/>
      <c r="AU874" s="91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</row>
    <row r="875" ht="12.75" customHeight="1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142"/>
      <c r="P875" s="88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91"/>
      <c r="AT875" s="91"/>
      <c r="AU875" s="91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</row>
    <row r="876" ht="12.75" customHeight="1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142"/>
      <c r="P876" s="88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91"/>
      <c r="AT876" s="91"/>
      <c r="AU876" s="91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</row>
    <row r="877" ht="12.75" customHeight="1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142"/>
      <c r="P877" s="88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91"/>
      <c r="AT877" s="91"/>
      <c r="AU877" s="91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</row>
    <row r="878" ht="12.75" customHeight="1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142"/>
      <c r="P878" s="88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91"/>
      <c r="AT878" s="91"/>
      <c r="AU878" s="91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</row>
    <row r="879" ht="12.75" customHeight="1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142"/>
      <c r="P879" s="88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91"/>
      <c r="AT879" s="91"/>
      <c r="AU879" s="91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</row>
    <row r="880" ht="12.75" customHeight="1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142"/>
      <c r="P880" s="88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91"/>
      <c r="AT880" s="91"/>
      <c r="AU880" s="91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</row>
    <row r="881" ht="12.75" customHeight="1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142"/>
      <c r="P881" s="88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91"/>
      <c r="AT881" s="91"/>
      <c r="AU881" s="91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</row>
    <row r="882" ht="12.75" customHeight="1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142"/>
      <c r="P882" s="88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91"/>
      <c r="AT882" s="91"/>
      <c r="AU882" s="91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</row>
    <row r="883" ht="12.75" customHeight="1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142"/>
      <c r="P883" s="88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91"/>
      <c r="AT883" s="91"/>
      <c r="AU883" s="91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</row>
    <row r="884" ht="12.75" customHeight="1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142"/>
      <c r="P884" s="88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91"/>
      <c r="AT884" s="91"/>
      <c r="AU884" s="91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</row>
    <row r="885" ht="12.75" customHeight="1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142"/>
      <c r="P885" s="88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91"/>
      <c r="AT885" s="91"/>
      <c r="AU885" s="91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</row>
    <row r="886" ht="12.75" customHeight="1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142"/>
      <c r="P886" s="88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91"/>
      <c r="AT886" s="91"/>
      <c r="AU886" s="91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</row>
    <row r="887" ht="12.75" customHeight="1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142"/>
      <c r="P887" s="88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91"/>
      <c r="AT887" s="91"/>
      <c r="AU887" s="91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</row>
    <row r="888" ht="12.75" customHeight="1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142"/>
      <c r="P888" s="88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91"/>
      <c r="AT888" s="91"/>
      <c r="AU888" s="91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</row>
    <row r="889" ht="12.75" customHeight="1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142"/>
      <c r="P889" s="88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91"/>
      <c r="AT889" s="91"/>
      <c r="AU889" s="91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</row>
    <row r="890" ht="12.75" customHeight="1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142"/>
      <c r="P890" s="88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91"/>
      <c r="AT890" s="91"/>
      <c r="AU890" s="91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</row>
    <row r="891" ht="12.75" customHeight="1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142"/>
      <c r="P891" s="88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91"/>
      <c r="AT891" s="91"/>
      <c r="AU891" s="91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</row>
    <row r="892" ht="12.75" customHeight="1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142"/>
      <c r="P892" s="88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91"/>
      <c r="AT892" s="91"/>
      <c r="AU892" s="91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</row>
    <row r="893" ht="12.75" customHeight="1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142"/>
      <c r="P893" s="88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91"/>
      <c r="AT893" s="91"/>
      <c r="AU893" s="91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</row>
    <row r="894" ht="12.75" customHeight="1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142"/>
      <c r="P894" s="88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91"/>
      <c r="AT894" s="91"/>
      <c r="AU894" s="91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</row>
    <row r="895" ht="12.75" customHeight="1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142"/>
      <c r="P895" s="88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91"/>
      <c r="AT895" s="91"/>
      <c r="AU895" s="91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</row>
    <row r="896" ht="12.75" customHeight="1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142"/>
      <c r="P896" s="88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91"/>
      <c r="AT896" s="91"/>
      <c r="AU896" s="91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</row>
    <row r="897" ht="12.75" customHeight="1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142"/>
      <c r="P897" s="88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91"/>
      <c r="AT897" s="91"/>
      <c r="AU897" s="91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</row>
    <row r="898" ht="12.75" customHeight="1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142"/>
      <c r="P898" s="88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91"/>
      <c r="AT898" s="91"/>
      <c r="AU898" s="91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</row>
    <row r="899" ht="12.75" customHeight="1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142"/>
      <c r="P899" s="88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91"/>
      <c r="AT899" s="91"/>
      <c r="AU899" s="91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</row>
    <row r="900" ht="12.75" customHeight="1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142"/>
      <c r="P900" s="88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91"/>
      <c r="AT900" s="91"/>
      <c r="AU900" s="91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</row>
    <row r="901" ht="12.75" customHeight="1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142"/>
      <c r="P901" s="88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91"/>
      <c r="AT901" s="91"/>
      <c r="AU901" s="91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</row>
    <row r="902" ht="12.75" customHeight="1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142"/>
      <c r="P902" s="88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91"/>
      <c r="AT902" s="91"/>
      <c r="AU902" s="91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</row>
    <row r="903" ht="12.75" customHeight="1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142"/>
      <c r="P903" s="88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91"/>
      <c r="AT903" s="91"/>
      <c r="AU903" s="91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</row>
    <row r="904" ht="12.75" customHeight="1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142"/>
      <c r="P904" s="88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91"/>
      <c r="AT904" s="91"/>
      <c r="AU904" s="91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</row>
    <row r="905" ht="12.75" customHeight="1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142"/>
      <c r="P905" s="88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91"/>
      <c r="AT905" s="91"/>
      <c r="AU905" s="91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</row>
    <row r="906" ht="12.75" customHeight="1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142"/>
      <c r="P906" s="88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91"/>
      <c r="AT906" s="91"/>
      <c r="AU906" s="91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</row>
    <row r="907" ht="12.75" customHeight="1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142"/>
      <c r="P907" s="88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91"/>
      <c r="AT907" s="91"/>
      <c r="AU907" s="91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</row>
    <row r="908" ht="12.75" customHeight="1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142"/>
      <c r="P908" s="88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91"/>
      <c r="AT908" s="91"/>
      <c r="AU908" s="91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</row>
    <row r="909" ht="12.75" customHeight="1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142"/>
      <c r="P909" s="88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91"/>
      <c r="AT909" s="91"/>
      <c r="AU909" s="91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</row>
    <row r="910" ht="12.75" customHeight="1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142"/>
      <c r="P910" s="88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91"/>
      <c r="AT910" s="91"/>
      <c r="AU910" s="91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</row>
    <row r="911" ht="12.75" customHeight="1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142"/>
      <c r="P911" s="88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91"/>
      <c r="AT911" s="91"/>
      <c r="AU911" s="91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</row>
    <row r="912" ht="12.75" customHeight="1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142"/>
      <c r="P912" s="88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91"/>
      <c r="AT912" s="91"/>
      <c r="AU912" s="91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</row>
    <row r="913" ht="12.75" customHeight="1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142"/>
      <c r="P913" s="88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91"/>
      <c r="AT913" s="91"/>
      <c r="AU913" s="91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</row>
    <row r="914" ht="12.75" customHeight="1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142"/>
      <c r="P914" s="88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91"/>
      <c r="AT914" s="91"/>
      <c r="AU914" s="91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</row>
    <row r="915" ht="12.75" customHeight="1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142"/>
      <c r="P915" s="88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91"/>
      <c r="AT915" s="91"/>
      <c r="AU915" s="91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</row>
    <row r="916" ht="12.75" customHeight="1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142"/>
      <c r="P916" s="88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91"/>
      <c r="AT916" s="91"/>
      <c r="AU916" s="91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</row>
    <row r="917" ht="12.75" customHeight="1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142"/>
      <c r="P917" s="88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91"/>
      <c r="AT917" s="91"/>
      <c r="AU917" s="91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</row>
    <row r="918" ht="12.75" customHeight="1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142"/>
      <c r="P918" s="88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91"/>
      <c r="AT918" s="91"/>
      <c r="AU918" s="91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</row>
    <row r="919" ht="12.75" customHeight="1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142"/>
      <c r="P919" s="88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91"/>
      <c r="AT919" s="91"/>
      <c r="AU919" s="91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</row>
    <row r="920" ht="12.75" customHeight="1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142"/>
      <c r="P920" s="88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91"/>
      <c r="AT920" s="91"/>
      <c r="AU920" s="91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</row>
    <row r="921" ht="12.75" customHeight="1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142"/>
      <c r="P921" s="88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91"/>
      <c r="AT921" s="91"/>
      <c r="AU921" s="91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</row>
    <row r="922" ht="12.75" customHeight="1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142"/>
      <c r="P922" s="88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91"/>
      <c r="AT922" s="91"/>
      <c r="AU922" s="91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</row>
    <row r="923" ht="12.75" customHeight="1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142"/>
      <c r="P923" s="88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91"/>
      <c r="AT923" s="91"/>
      <c r="AU923" s="91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</row>
    <row r="924" ht="12.75" customHeight="1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142"/>
      <c r="P924" s="88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91"/>
      <c r="AT924" s="91"/>
      <c r="AU924" s="91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</row>
    <row r="925" ht="12.75" customHeight="1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142"/>
      <c r="P925" s="88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91"/>
      <c r="AT925" s="91"/>
      <c r="AU925" s="91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</row>
    <row r="926" ht="12.75" customHeight="1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142"/>
      <c r="P926" s="88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91"/>
      <c r="AT926" s="91"/>
      <c r="AU926" s="91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</row>
    <row r="927" ht="12.75" customHeight="1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142"/>
      <c r="P927" s="88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91"/>
      <c r="AT927" s="91"/>
      <c r="AU927" s="91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</row>
    <row r="928" ht="12.75" customHeight="1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142"/>
      <c r="P928" s="88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91"/>
      <c r="AT928" s="91"/>
      <c r="AU928" s="91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</row>
    <row r="929" ht="12.75" customHeight="1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142"/>
      <c r="P929" s="88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91"/>
      <c r="AT929" s="91"/>
      <c r="AU929" s="91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</row>
    <row r="930" ht="12.75" customHeight="1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142"/>
      <c r="P930" s="88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91"/>
      <c r="AT930" s="91"/>
      <c r="AU930" s="91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</row>
    <row r="931" ht="12.75" customHeight="1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142"/>
      <c r="P931" s="88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91"/>
      <c r="AT931" s="91"/>
      <c r="AU931" s="91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</row>
    <row r="932" ht="12.75" customHeight="1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142"/>
      <c r="P932" s="88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91"/>
      <c r="AT932" s="91"/>
      <c r="AU932" s="91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</row>
    <row r="933" ht="12.75" customHeight="1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142"/>
      <c r="P933" s="88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91"/>
      <c r="AT933" s="91"/>
      <c r="AU933" s="91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</row>
    <row r="934" ht="12.75" customHeight="1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142"/>
      <c r="P934" s="88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91"/>
      <c r="AT934" s="91"/>
      <c r="AU934" s="91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</row>
    <row r="935" ht="12.75" customHeight="1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142"/>
      <c r="P935" s="88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91"/>
      <c r="AT935" s="91"/>
      <c r="AU935" s="91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</row>
    <row r="936" ht="12.75" customHeight="1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142"/>
      <c r="P936" s="88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91"/>
      <c r="AT936" s="91"/>
      <c r="AU936" s="91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</row>
    <row r="937" ht="12.75" customHeight="1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142"/>
      <c r="P937" s="88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91"/>
      <c r="AT937" s="91"/>
      <c r="AU937" s="91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</row>
    <row r="938" ht="12.75" customHeight="1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142"/>
      <c r="P938" s="88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91"/>
      <c r="AT938" s="91"/>
      <c r="AU938" s="91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</row>
    <row r="939" ht="12.75" customHeight="1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142"/>
      <c r="P939" s="88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91"/>
      <c r="AT939" s="91"/>
      <c r="AU939" s="91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</row>
    <row r="940" ht="12.75" customHeight="1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142"/>
      <c r="P940" s="88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91"/>
      <c r="AT940" s="91"/>
      <c r="AU940" s="91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</row>
    <row r="941" ht="12.75" customHeight="1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142"/>
      <c r="P941" s="88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91"/>
      <c r="AT941" s="91"/>
      <c r="AU941" s="91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</row>
    <row r="942" ht="12.75" customHeight="1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142"/>
      <c r="P942" s="88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91"/>
      <c r="AT942" s="91"/>
      <c r="AU942" s="91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</row>
    <row r="943" ht="12.75" customHeight="1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142"/>
      <c r="P943" s="88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91"/>
      <c r="AT943" s="91"/>
      <c r="AU943" s="91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</row>
    <row r="944" ht="12.75" customHeight="1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142"/>
      <c r="P944" s="88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91"/>
      <c r="AT944" s="91"/>
      <c r="AU944" s="91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</row>
    <row r="945" ht="12.75" customHeight="1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142"/>
      <c r="P945" s="88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91"/>
      <c r="AT945" s="91"/>
      <c r="AU945" s="91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</row>
    <row r="946" ht="12.75" customHeight="1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142"/>
      <c r="P946" s="88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91"/>
      <c r="AT946" s="91"/>
      <c r="AU946" s="91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</row>
    <row r="947" ht="12.75" customHeight="1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142"/>
      <c r="P947" s="88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91"/>
      <c r="AT947" s="91"/>
      <c r="AU947" s="91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</row>
    <row r="948" ht="12.75" customHeight="1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142"/>
      <c r="P948" s="88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91"/>
      <c r="AT948" s="91"/>
      <c r="AU948" s="91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</row>
    <row r="949" ht="12.75" customHeight="1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142"/>
      <c r="P949" s="88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91"/>
      <c r="AT949" s="91"/>
      <c r="AU949" s="91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</row>
    <row r="950" ht="12.75" customHeight="1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142"/>
      <c r="P950" s="88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91"/>
      <c r="AT950" s="91"/>
      <c r="AU950" s="91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</row>
    <row r="951" ht="12.75" customHeight="1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142"/>
      <c r="P951" s="88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91"/>
      <c r="AT951" s="91"/>
      <c r="AU951" s="91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</row>
    <row r="952" ht="12.75" customHeight="1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142"/>
      <c r="P952" s="88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91"/>
      <c r="AT952" s="91"/>
      <c r="AU952" s="91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</row>
    <row r="953" ht="12.75" customHeight="1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142"/>
      <c r="P953" s="88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91"/>
      <c r="AT953" s="91"/>
      <c r="AU953" s="91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</row>
    <row r="954" ht="12.75" customHeight="1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142"/>
      <c r="P954" s="88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91"/>
      <c r="AT954" s="91"/>
      <c r="AU954" s="91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</row>
    <row r="955" ht="12.75" customHeight="1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142"/>
      <c r="P955" s="88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91"/>
      <c r="AT955" s="91"/>
      <c r="AU955" s="91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</row>
    <row r="956" ht="12.75" customHeight="1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142"/>
      <c r="P956" s="88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91"/>
      <c r="AT956" s="91"/>
      <c r="AU956" s="91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</row>
    <row r="957" ht="12.75" customHeight="1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142"/>
      <c r="P957" s="88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91"/>
      <c r="AT957" s="91"/>
      <c r="AU957" s="91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</row>
    <row r="958" ht="12.75" customHeight="1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142"/>
      <c r="P958" s="88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91"/>
      <c r="AT958" s="91"/>
      <c r="AU958" s="91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</row>
    <row r="959" ht="12.75" customHeight="1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142"/>
      <c r="P959" s="88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91"/>
      <c r="AT959" s="91"/>
      <c r="AU959" s="91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</row>
    <row r="960" ht="12.75" customHeight="1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142"/>
      <c r="P960" s="88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91"/>
      <c r="AT960" s="91"/>
      <c r="AU960" s="91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</row>
    <row r="961" ht="12.75" customHeight="1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142"/>
      <c r="P961" s="88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91"/>
      <c r="AT961" s="91"/>
      <c r="AU961" s="91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</row>
    <row r="962" ht="12.75" customHeight="1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142"/>
      <c r="P962" s="88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91"/>
      <c r="AT962" s="91"/>
      <c r="AU962" s="91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</row>
    <row r="963" ht="12.75" customHeight="1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142"/>
      <c r="P963" s="88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91"/>
      <c r="AT963" s="91"/>
      <c r="AU963" s="91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</row>
    <row r="964" ht="12.75" customHeight="1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142"/>
      <c r="P964" s="88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91"/>
      <c r="AT964" s="91"/>
      <c r="AU964" s="91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</row>
    <row r="965" ht="12.75" customHeight="1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142"/>
      <c r="P965" s="88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91"/>
      <c r="AT965" s="91"/>
      <c r="AU965" s="91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</row>
    <row r="966" ht="12.75" customHeight="1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142"/>
      <c r="P966" s="88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91"/>
      <c r="AT966" s="91"/>
      <c r="AU966" s="91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</row>
    <row r="967" ht="12.75" customHeight="1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142"/>
      <c r="P967" s="88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91"/>
      <c r="AT967" s="91"/>
      <c r="AU967" s="91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</row>
    <row r="968" ht="12.75" customHeight="1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142"/>
      <c r="P968" s="88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91"/>
      <c r="AT968" s="91"/>
      <c r="AU968" s="91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</row>
    <row r="969" ht="12.75" customHeight="1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142"/>
      <c r="P969" s="88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91"/>
      <c r="AT969" s="91"/>
      <c r="AU969" s="91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</row>
    <row r="970" ht="12.75" customHeight="1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142"/>
      <c r="P970" s="88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91"/>
      <c r="AT970" s="91"/>
      <c r="AU970" s="91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</row>
    <row r="971" ht="12.75" customHeight="1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142"/>
      <c r="P971" s="88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91"/>
      <c r="AT971" s="91"/>
      <c r="AU971" s="91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</row>
    <row r="972" ht="12.75" customHeight="1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142"/>
      <c r="P972" s="88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91"/>
      <c r="AT972" s="91"/>
      <c r="AU972" s="91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</row>
    <row r="973" ht="12.75" customHeight="1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142"/>
      <c r="P973" s="88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91"/>
      <c r="AT973" s="91"/>
      <c r="AU973" s="91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</row>
    <row r="974" ht="12.75" customHeight="1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142"/>
      <c r="P974" s="88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91"/>
      <c r="AT974" s="91"/>
      <c r="AU974" s="91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</row>
    <row r="975" ht="12.75" customHeight="1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142"/>
      <c r="P975" s="88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91"/>
      <c r="AT975" s="91"/>
      <c r="AU975" s="91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</row>
    <row r="976" ht="12.75" customHeight="1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142"/>
      <c r="P976" s="88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91"/>
      <c r="AT976" s="91"/>
      <c r="AU976" s="91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</row>
    <row r="977" ht="12.75" customHeight="1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142"/>
      <c r="P977" s="88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91"/>
      <c r="AT977" s="91"/>
      <c r="AU977" s="91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</row>
    <row r="978" ht="12.75" customHeight="1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142"/>
      <c r="P978" s="88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91"/>
      <c r="AT978" s="91"/>
      <c r="AU978" s="91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</row>
    <row r="979" ht="12.75" customHeight="1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142"/>
      <c r="P979" s="88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91"/>
      <c r="AT979" s="91"/>
      <c r="AU979" s="91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</row>
    <row r="980" ht="12.75" customHeight="1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142"/>
      <c r="P980" s="88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91"/>
      <c r="AT980" s="91"/>
      <c r="AU980" s="91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</row>
    <row r="981" ht="12.75" customHeight="1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142"/>
      <c r="P981" s="88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91"/>
      <c r="AT981" s="91"/>
      <c r="AU981" s="91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</row>
    <row r="982" ht="12.75" customHeight="1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142"/>
      <c r="P982" s="88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91"/>
      <c r="AT982" s="91"/>
      <c r="AU982" s="91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</row>
    <row r="983" ht="12.75" customHeight="1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142"/>
      <c r="P983" s="88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91"/>
      <c r="AT983" s="91"/>
      <c r="AU983" s="91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</row>
    <row r="984" ht="12.75" customHeight="1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142"/>
      <c r="P984" s="88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91"/>
      <c r="AT984" s="91"/>
      <c r="AU984" s="91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</row>
    <row r="985" ht="12.75" customHeight="1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142"/>
      <c r="P985" s="88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91"/>
      <c r="AT985" s="91"/>
      <c r="AU985" s="91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</row>
    <row r="986" ht="12.75" customHeight="1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142"/>
      <c r="P986" s="88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91"/>
      <c r="AT986" s="91"/>
      <c r="AU986" s="91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</row>
    <row r="987" ht="12.75" customHeight="1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142"/>
      <c r="P987" s="88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91"/>
      <c r="AT987" s="91"/>
      <c r="AU987" s="91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</row>
    <row r="988" ht="12.75" customHeight="1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142"/>
      <c r="P988" s="88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91"/>
      <c r="AT988" s="91"/>
      <c r="AU988" s="91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</row>
    <row r="989" ht="12.75" customHeight="1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142"/>
      <c r="P989" s="88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91"/>
      <c r="AT989" s="91"/>
      <c r="AU989" s="91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</row>
    <row r="990" ht="12.75" customHeight="1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142"/>
      <c r="P990" s="88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91"/>
      <c r="AT990" s="91"/>
      <c r="AU990" s="91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</row>
    <row r="991" ht="12.75" customHeight="1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142"/>
      <c r="P991" s="88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91"/>
      <c r="AT991" s="91"/>
      <c r="AU991" s="91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</row>
    <row r="992" ht="12.75" customHeight="1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142"/>
      <c r="P992" s="88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91"/>
      <c r="AT992" s="91"/>
      <c r="AU992" s="91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</row>
    <row r="993" ht="12.75" customHeight="1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142"/>
      <c r="P993" s="88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91"/>
      <c r="AT993" s="91"/>
      <c r="AU993" s="91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</row>
    <row r="994" ht="12.75" customHeight="1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142"/>
      <c r="P994" s="88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91"/>
      <c r="AT994" s="91"/>
      <c r="AU994" s="91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</row>
    <row r="995" ht="12.75" customHeight="1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142"/>
      <c r="P995" s="88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91"/>
      <c r="AT995" s="91"/>
      <c r="AU995" s="91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</row>
    <row r="996" ht="12.75" customHeight="1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142"/>
      <c r="P996" s="88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91"/>
      <c r="AT996" s="91"/>
      <c r="AU996" s="91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</row>
    <row r="997" ht="12.75" customHeight="1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142"/>
      <c r="P997" s="88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91"/>
      <c r="AT997" s="91"/>
      <c r="AU997" s="91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</row>
    <row r="998" ht="12.75" customHeight="1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142"/>
      <c r="P998" s="88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91"/>
      <c r="AT998" s="91"/>
      <c r="AU998" s="91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</row>
    <row r="999" ht="12.75" customHeight="1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142"/>
      <c r="P999" s="88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91"/>
      <c r="AT999" s="91"/>
      <c r="AU999" s="91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</row>
    <row r="1000" ht="12.75" customHeight="1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142"/>
      <c r="P1000" s="88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91"/>
      <c r="AT1000" s="91"/>
      <c r="AU1000" s="91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</row>
  </sheetData>
  <autoFilter ref="$X$1:$X$253"/>
  <mergeCells count="11">
    <mergeCell ref="AP6:AQ6"/>
    <mergeCell ref="AR6:AS6"/>
    <mergeCell ref="AT6:AU6"/>
    <mergeCell ref="Q6:S6"/>
    <mergeCell ref="U6:W6"/>
    <mergeCell ref="Z6:AA6"/>
    <mergeCell ref="AB6:AC6"/>
    <mergeCell ref="AD6:AE6"/>
    <mergeCell ref="AJ6:AL6"/>
    <mergeCell ref="AN6:AO6"/>
    <mergeCell ref="B69:E69"/>
  </mergeCell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/>
  </sheetViews>
  <sheetFormatPr customHeight="1" defaultColWidth="12.63" defaultRowHeight="15.0"/>
  <cols>
    <col customWidth="1" min="1" max="1" width="31.25"/>
    <col customWidth="1" min="2" max="2" width="11.0"/>
    <col customWidth="1" hidden="1" min="3" max="4" width="0.13"/>
    <col customWidth="1" min="5" max="5" width="15.0"/>
    <col customWidth="1" min="6" max="6" width="8.13"/>
    <col customWidth="1" min="7" max="7" width="22.88"/>
    <col customWidth="1" min="8" max="8" width="7.75"/>
    <col customWidth="1" min="9" max="9" width="12.0"/>
    <col customWidth="1" min="10" max="10" width="17.0"/>
    <col customWidth="1" hidden="1" min="11" max="11" width="17.0"/>
    <col customWidth="1" hidden="1" min="12" max="16" width="7.75"/>
    <col customWidth="1" min="17" max="17" width="5.63"/>
    <col customWidth="1" min="18" max="18" width="10.13"/>
    <col customWidth="1" min="19" max="19" width="37.5"/>
    <col customWidth="1" min="20" max="20" width="8.75"/>
    <col customWidth="1" min="21" max="21" width="10.63"/>
    <col customWidth="1" min="22" max="24" width="7.63"/>
    <col customWidth="1" min="25" max="25" width="63.13"/>
    <col customWidth="1" min="26" max="32" width="7.63"/>
  </cols>
  <sheetData>
    <row r="1" ht="12.75" customHeight="1">
      <c r="A1" s="234" t="s">
        <v>33</v>
      </c>
      <c r="B1" s="235"/>
      <c r="C1" s="235"/>
      <c r="D1" s="235"/>
      <c r="E1" s="235"/>
      <c r="F1" s="235"/>
      <c r="G1" s="236"/>
      <c r="H1" s="237"/>
      <c r="I1" s="238"/>
      <c r="J1" s="238"/>
      <c r="K1" s="239"/>
      <c r="L1" s="239"/>
      <c r="M1" s="239"/>
      <c r="N1" s="239"/>
      <c r="O1" s="239"/>
      <c r="P1" s="239"/>
      <c r="Q1" s="117"/>
      <c r="R1" s="117"/>
      <c r="S1" s="117"/>
      <c r="T1" s="117"/>
      <c r="U1" s="117"/>
      <c r="V1" s="117"/>
      <c r="W1" s="117"/>
      <c r="X1" s="117"/>
      <c r="Y1" s="1"/>
    </row>
    <row r="2" ht="12.75" customHeight="1">
      <c r="A2" s="92"/>
      <c r="B2" s="117"/>
      <c r="C2" s="117"/>
      <c r="D2" s="117"/>
      <c r="E2" s="117"/>
      <c r="F2" s="117"/>
      <c r="G2" s="240"/>
      <c r="H2" s="117"/>
      <c r="I2" s="238"/>
      <c r="J2" s="238"/>
      <c r="K2" s="239"/>
      <c r="L2" s="239"/>
      <c r="M2" s="239"/>
      <c r="N2" s="239"/>
      <c r="O2" s="239"/>
      <c r="P2" s="239"/>
      <c r="Q2" s="117"/>
      <c r="R2" s="117"/>
      <c r="S2" s="117"/>
      <c r="T2" s="117"/>
      <c r="U2" s="117"/>
      <c r="V2" s="117"/>
      <c r="W2" s="117"/>
      <c r="X2" s="117"/>
      <c r="Y2" s="1"/>
    </row>
    <row r="3" ht="12.75" customHeight="1">
      <c r="A3" s="92"/>
      <c r="B3" s="117"/>
      <c r="C3" s="117"/>
      <c r="D3" s="117"/>
      <c r="E3" s="117"/>
      <c r="F3" s="117"/>
      <c r="G3" s="240"/>
      <c r="H3" s="117"/>
      <c r="I3" s="238"/>
      <c r="J3" s="238"/>
      <c r="K3" s="239"/>
      <c r="L3" s="239"/>
      <c r="M3" s="239"/>
      <c r="N3" s="239"/>
      <c r="O3" s="239"/>
      <c r="P3" s="239"/>
      <c r="Q3" s="117"/>
      <c r="R3" s="117"/>
      <c r="S3" s="117"/>
      <c r="T3" s="117"/>
      <c r="U3" s="117"/>
      <c r="V3" s="117"/>
      <c r="W3" s="117"/>
      <c r="X3" s="117"/>
      <c r="Y3" s="1"/>
    </row>
    <row r="4" ht="61.5" customHeight="1">
      <c r="A4" s="117"/>
      <c r="B4" s="117"/>
      <c r="C4" s="117"/>
      <c r="D4" s="117"/>
      <c r="E4" s="117"/>
      <c r="F4" s="117"/>
      <c r="G4" s="241" t="s">
        <v>33</v>
      </c>
      <c r="H4" s="117"/>
      <c r="I4" s="238"/>
      <c r="J4" s="242"/>
      <c r="K4" s="239"/>
      <c r="L4" s="239"/>
      <c r="M4" s="239"/>
      <c r="N4" s="239"/>
      <c r="O4" s="239"/>
      <c r="P4" s="239"/>
      <c r="Q4" s="117"/>
      <c r="R4" s="117"/>
      <c r="S4" s="117"/>
      <c r="T4" s="117"/>
      <c r="U4" s="117"/>
      <c r="V4" s="117"/>
      <c r="W4" s="117"/>
      <c r="X4" s="117"/>
      <c r="Y4" s="1"/>
    </row>
    <row r="5" ht="12.75" customHeight="1">
      <c r="A5" s="243" t="s">
        <v>197</v>
      </c>
      <c r="B5" s="244"/>
      <c r="C5" s="244"/>
      <c r="D5" s="244"/>
      <c r="E5" s="244"/>
      <c r="F5" s="244"/>
      <c r="G5" s="245"/>
      <c r="H5" s="117"/>
      <c r="I5" s="238"/>
      <c r="J5" s="238"/>
      <c r="K5" s="239"/>
      <c r="L5" s="239"/>
      <c r="M5" s="239"/>
      <c r="N5" s="239"/>
      <c r="O5" s="239"/>
      <c r="P5" s="239"/>
      <c r="Q5" s="117"/>
      <c r="R5" s="117"/>
      <c r="S5" s="117"/>
      <c r="T5" s="117"/>
      <c r="U5" s="117"/>
      <c r="V5" s="117"/>
      <c r="W5" s="117"/>
      <c r="X5" s="117"/>
      <c r="Y5" s="1"/>
    </row>
    <row r="6" ht="12.75" customHeight="1">
      <c r="A6" s="246" t="s">
        <v>198</v>
      </c>
      <c r="B6" s="117"/>
      <c r="C6" s="117"/>
      <c r="D6" s="117"/>
      <c r="E6" s="117"/>
      <c r="F6" s="117"/>
      <c r="G6" s="247">
        <v>450.0</v>
      </c>
      <c r="H6" s="238" t="s">
        <v>199</v>
      </c>
      <c r="I6" s="238"/>
      <c r="J6" s="238"/>
      <c r="K6" s="239"/>
      <c r="L6" s="239"/>
      <c r="M6" s="239"/>
      <c r="N6" s="239"/>
      <c r="O6" s="239"/>
      <c r="P6" s="239"/>
      <c r="Q6" s="117"/>
      <c r="R6" s="117"/>
      <c r="S6" s="117"/>
      <c r="T6" s="117"/>
      <c r="U6" s="117"/>
      <c r="V6" s="117"/>
      <c r="W6" s="117"/>
      <c r="X6" s="117"/>
      <c r="Y6" s="1"/>
    </row>
    <row r="7" ht="12.75" customHeight="1">
      <c r="A7" s="248"/>
      <c r="B7" s="249"/>
      <c r="C7" s="249"/>
      <c r="D7" s="249"/>
      <c r="E7" s="249"/>
      <c r="F7" s="249"/>
      <c r="G7" s="250"/>
      <c r="H7" s="117"/>
      <c r="I7" s="238"/>
      <c r="J7" s="238"/>
      <c r="K7" s="239"/>
      <c r="L7" s="239"/>
      <c r="M7" s="239"/>
      <c r="N7" s="239"/>
      <c r="O7" s="239"/>
      <c r="P7" s="239"/>
      <c r="Q7" s="117"/>
      <c r="R7" s="117"/>
      <c r="S7" s="117"/>
      <c r="T7" s="117"/>
      <c r="U7" s="117"/>
      <c r="V7" s="117"/>
      <c r="W7" s="117"/>
      <c r="X7" s="117"/>
      <c r="Y7" s="1"/>
    </row>
    <row r="8" ht="12.75" customHeight="1">
      <c r="A8" s="251" t="s">
        <v>200</v>
      </c>
      <c r="B8" s="252"/>
      <c r="C8" s="253"/>
      <c r="D8" s="253"/>
      <c r="E8" s="253"/>
      <c r="F8" s="253"/>
      <c r="G8" s="254" t="s">
        <v>106</v>
      </c>
      <c r="H8" s="255"/>
      <c r="I8" s="238"/>
      <c r="J8" s="238"/>
      <c r="K8" s="239"/>
      <c r="L8" s="239"/>
      <c r="M8" s="239"/>
      <c r="N8" s="239"/>
      <c r="O8" s="239"/>
      <c r="P8" s="239"/>
      <c r="Q8" s="117"/>
      <c r="R8" s="117"/>
      <c r="S8" s="117"/>
      <c r="T8" s="117"/>
      <c r="U8" s="117"/>
      <c r="V8" s="117"/>
      <c r="W8" s="117"/>
      <c r="X8" s="117"/>
      <c r="Y8" s="1"/>
    </row>
    <row r="9" ht="12.75" customHeight="1">
      <c r="A9" s="243" t="s">
        <v>201</v>
      </c>
      <c r="B9" s="244"/>
      <c r="C9" s="244"/>
      <c r="D9" s="244"/>
      <c r="E9" s="244"/>
      <c r="F9" s="244"/>
      <c r="G9" s="256"/>
      <c r="H9" s="117"/>
      <c r="I9" s="238" t="str">
        <f>IFERROR(VLOOKUP(G8,'quoter(sheetfed)'!C146:D150,2,FALSE),"")</f>
        <v>Mini2</v>
      </c>
      <c r="J9" s="238" t="str">
        <f>IFERROR(VLOOKUP(G8,'quoter(sheetfed)'!C152:D156,2,FALSE),"")</f>
        <v>BWMini2</v>
      </c>
      <c r="K9" s="239"/>
      <c r="L9" s="239"/>
      <c r="M9" s="239"/>
      <c r="N9" s="239"/>
      <c r="O9" s="239"/>
      <c r="P9" s="239"/>
      <c r="Q9" s="117"/>
      <c r="R9" s="117"/>
      <c r="S9" s="117"/>
      <c r="T9" s="117"/>
      <c r="U9" s="117"/>
      <c r="V9" s="117"/>
      <c r="W9" s="117"/>
      <c r="X9" s="117"/>
      <c r="Y9" s="1"/>
    </row>
    <row r="10" ht="12.75" customHeight="1">
      <c r="A10" s="257"/>
      <c r="B10" s="117"/>
      <c r="C10" s="117"/>
      <c r="D10" s="117"/>
      <c r="E10" s="117"/>
      <c r="F10" s="117"/>
      <c r="G10" s="258"/>
      <c r="H10" s="117"/>
      <c r="I10" s="238"/>
      <c r="J10" s="238"/>
      <c r="K10" s="239"/>
      <c r="L10" s="239"/>
      <c r="M10" s="239"/>
      <c r="N10" s="239"/>
      <c r="O10" s="239"/>
      <c r="P10" s="239"/>
      <c r="Q10" s="117"/>
      <c r="R10" s="117"/>
      <c r="S10" s="117"/>
      <c r="T10" s="117"/>
      <c r="U10" s="117"/>
      <c r="V10" s="117"/>
      <c r="W10" s="117"/>
      <c r="X10" s="117"/>
      <c r="Y10" s="1"/>
    </row>
    <row r="11" ht="12.75" customHeight="1">
      <c r="A11" s="257" t="s">
        <v>202</v>
      </c>
      <c r="B11" s="117"/>
      <c r="C11" s="117"/>
      <c r="D11" s="117"/>
      <c r="E11" s="117"/>
      <c r="F11" s="117"/>
      <c r="G11" s="259" t="s">
        <v>158</v>
      </c>
      <c r="H11" s="117"/>
      <c r="I11" s="238" t="s">
        <v>3</v>
      </c>
      <c r="J11" s="238" t="s">
        <v>4</v>
      </c>
      <c r="K11" s="260" t="s">
        <v>203</v>
      </c>
      <c r="L11" s="239" t="s">
        <v>204</v>
      </c>
      <c r="M11" s="239" t="s">
        <v>205</v>
      </c>
      <c r="N11" s="239"/>
      <c r="O11" s="239"/>
      <c r="P11" s="239" t="s">
        <v>150</v>
      </c>
      <c r="Q11" s="117"/>
      <c r="R11" s="117"/>
      <c r="S11" s="117"/>
      <c r="T11" s="117"/>
      <c r="U11" s="117"/>
      <c r="V11" s="117"/>
      <c r="W11" s="117"/>
      <c r="X11" s="117"/>
      <c r="Y11" s="1"/>
    </row>
    <row r="12" ht="12.75" customHeight="1">
      <c r="A12" s="257" t="s">
        <v>206</v>
      </c>
      <c r="B12" s="117"/>
      <c r="C12" s="117"/>
      <c r="D12" s="117"/>
      <c r="E12" s="117"/>
      <c r="F12" s="117"/>
      <c r="G12" s="259" t="s">
        <v>167</v>
      </c>
      <c r="H12" s="117"/>
      <c r="I12" s="238">
        <f>IFERROR(VLOOKUP($G$18,'quoter(sheetfed)'!$P$7:$AG$187,VLOOKUP($G$8,'quoter(sheetfed)'!$A$71:$E$75,2,FALSE),FALSE),0)</f>
        <v>295</v>
      </c>
      <c r="J12" s="238">
        <f>IFERROR(VLOOKUP($G$18,'quoter(sheetfed)'!$P$7:$AG$187,VLOOKUP($G$8,'quoter(sheetfed)'!$A$71:$E$75,3,FALSE),FALSE),0)</f>
        <v>150</v>
      </c>
      <c r="K12" s="260">
        <f>IF(I12="","",IF(G6&lt;1000,I12+L12,I12))</f>
        <v>212.5</v>
      </c>
      <c r="L12" s="239">
        <f t="shared" ref="L12:L13" si="1">IFERROR(J12*(($G$6-1000)/1000),0)</f>
        <v>-82.5</v>
      </c>
      <c r="M12" s="239"/>
      <c r="N12" s="239"/>
      <c r="O12" s="239"/>
      <c r="P12" s="239">
        <f>IFERROR(VLOOKUP($G$18,'quoter(sheetfed)'!$P$7:$X$107,VLOOKUP($G$8,'quoter(sheetfed)'!A71:G75,7,FALSE),FALSE),"")</f>
        <v>1</v>
      </c>
      <c r="Q12" s="117"/>
      <c r="R12" s="117"/>
      <c r="S12" s="117"/>
      <c r="T12" s="117"/>
      <c r="U12" s="117"/>
      <c r="V12" s="117"/>
      <c r="W12" s="117"/>
      <c r="X12" s="117"/>
      <c r="Y12" s="1"/>
    </row>
    <row r="13" ht="12.75" customHeight="1">
      <c r="A13" s="257" t="s">
        <v>207</v>
      </c>
      <c r="B13" s="117"/>
      <c r="C13" s="117"/>
      <c r="D13" s="117"/>
      <c r="E13" s="117"/>
      <c r="F13" s="261"/>
      <c r="G13" s="262" t="s">
        <v>182</v>
      </c>
      <c r="H13" s="117"/>
      <c r="I13" s="263">
        <f>IFERROR(VLOOKUP($G$20,'quoter(sheetfed)'!$AI$7:$AU$132,VLOOKUP($G$8,'quoter(sheetfed)'!$A$71:$E$75,4,FALSE),FALSE)*(G27/100),0)</f>
        <v>0</v>
      </c>
      <c r="J13" s="263">
        <f>IFERROR(VLOOKUP($G$20,'quoter(sheetfed)'!$AI$7:$AU$132,VLOOKUP($G$8,'quoter(sheetfed)'!$A$71:$E$75,5,FALSE),FALSE)*(G28/100),0)</f>
        <v>0</v>
      </c>
      <c r="K13" s="260">
        <f>IF($G$6&lt;1000,I13+L13,I13)</f>
        <v>0</v>
      </c>
      <c r="L13" s="239">
        <f t="shared" si="1"/>
        <v>0</v>
      </c>
      <c r="M13" s="239">
        <f>SUM(L13,L12,I12,I13,L14,I14,L15,I15)</f>
        <v>212.5</v>
      </c>
      <c r="N13" s="239"/>
      <c r="O13" s="239"/>
      <c r="P13" s="239" t="str">
        <f>IFERROR(VLOOKUP($G$20,'quoter(sheetfed)'!$AI$7:$AM$132,VLOOKUP($G$8,'quoter(sheetfed)'!A71:H75,8,FALSE),FALSE),"")</f>
        <v/>
      </c>
      <c r="Q13" s="117"/>
      <c r="R13" s="117"/>
      <c r="S13" s="117"/>
      <c r="T13" s="117"/>
      <c r="U13" s="117"/>
      <c r="V13" s="117"/>
      <c r="W13" s="117"/>
      <c r="X13" s="117"/>
      <c r="Y13" s="264"/>
    </row>
    <row r="14" ht="12.75" customHeight="1">
      <c r="A14" s="265"/>
      <c r="B14" s="266"/>
      <c r="C14" s="266"/>
      <c r="D14" s="266"/>
      <c r="E14" s="266"/>
      <c r="F14" s="266"/>
      <c r="G14" s="267"/>
      <c r="H14" s="117"/>
      <c r="I14" s="238">
        <f>IFERROR(VLOOKUP(G22,'quoter(sheetfed)'!$P$7:$AG$187,VLOOKUP($G$8,'quoter(sheetfed)'!$A$71:$E$75,2,FALSE),FALSE),0)</f>
        <v>0</v>
      </c>
      <c r="J14" s="238">
        <f>IFERROR(VLOOKUP($G$22,'quoter(sheetfed)'!$P$7:$AG$187,VLOOKUP($G$8,'quoter(sheetfed)'!$A$71:$E$75,3,FALSE),FALSE),0)</f>
        <v>0</v>
      </c>
      <c r="K14" s="260">
        <f>IF(G6&lt;1000,I14+L14,I14)</f>
        <v>0</v>
      </c>
      <c r="L14" s="239">
        <f t="shared" ref="L14:L15" si="2">IFERROR(J14*(($G$6-1000)/1000),"")</f>
        <v>0</v>
      </c>
      <c r="M14" s="239"/>
      <c r="N14" s="239"/>
      <c r="O14" s="239"/>
      <c r="P14" s="239" t="str">
        <f>IFERROR(VLOOKUP($G$22,'quoter(sheetfed)'!$AI$7:$AM$132,VLOOKUP($G$8,'quoter(sheetfed)'!A71:H75,8,FALSE),FALSE),"")</f>
        <v/>
      </c>
      <c r="Q14" s="117"/>
      <c r="R14" s="117"/>
      <c r="S14" s="117"/>
      <c r="T14" s="117"/>
      <c r="U14" s="117"/>
      <c r="V14" s="117"/>
      <c r="W14" s="117"/>
      <c r="X14" s="117"/>
      <c r="Y14" s="268"/>
    </row>
    <row r="15" ht="12.75" customHeight="1">
      <c r="A15" s="257" t="s">
        <v>208</v>
      </c>
      <c r="B15" s="117"/>
      <c r="C15" s="117"/>
      <c r="D15" s="117"/>
      <c r="E15" s="117"/>
      <c r="F15" s="269" t="s">
        <v>40</v>
      </c>
      <c r="G15" s="270">
        <v>100.0</v>
      </c>
      <c r="H15" s="117"/>
      <c r="I15" s="242" t="s">
        <v>209</v>
      </c>
      <c r="J15" s="238">
        <f>IF(OR(G8="11.5X16.5",G8="19X25",G8="19x25 (2nd 8p)"),(G22/4)*40*G23,(G22/4)*20*G23)</f>
        <v>0</v>
      </c>
      <c r="K15" s="260" t="str">
        <f>IF(I15="","",IF(G6&lt;1000,I15+L15,I15))</f>
        <v>#VALUE!</v>
      </c>
      <c r="L15" s="239">
        <f t="shared" si="2"/>
        <v>0</v>
      </c>
      <c r="M15" s="239"/>
      <c r="N15" s="239"/>
      <c r="O15" s="239"/>
      <c r="P15" s="239"/>
      <c r="Q15" s="117"/>
      <c r="R15" s="117"/>
      <c r="S15" s="271" t="s">
        <v>210</v>
      </c>
      <c r="T15" s="117"/>
      <c r="U15" s="117"/>
      <c r="V15" s="117"/>
      <c r="W15" s="117"/>
      <c r="X15" s="117"/>
      <c r="Y15" s="268"/>
    </row>
    <row r="16" ht="13.5" customHeight="1">
      <c r="A16" s="248"/>
      <c r="B16" s="249"/>
      <c r="C16" s="249"/>
      <c r="D16" s="249"/>
      <c r="E16" s="249"/>
      <c r="F16" s="248" t="s">
        <v>5</v>
      </c>
      <c r="G16" s="272">
        <v>100.0</v>
      </c>
      <c r="H16" s="117"/>
      <c r="I16" s="238"/>
      <c r="J16" s="238"/>
      <c r="K16" s="260"/>
      <c r="L16" s="239"/>
      <c r="M16" s="239"/>
      <c r="N16" s="239"/>
      <c r="O16" s="239"/>
      <c r="P16" s="239"/>
      <c r="Q16" s="117"/>
      <c r="R16" s="117"/>
      <c r="S16" s="273">
        <f>U48</f>
        <v>898</v>
      </c>
      <c r="T16" s="117"/>
      <c r="U16" s="117"/>
      <c r="V16" s="117"/>
      <c r="W16" s="117"/>
      <c r="X16" s="117"/>
      <c r="Y16" s="268"/>
    </row>
    <row r="17" ht="13.5" customHeight="1">
      <c r="A17" s="243" t="s">
        <v>211</v>
      </c>
      <c r="B17" s="244"/>
      <c r="C17" s="244"/>
      <c r="D17" s="244"/>
      <c r="E17" s="244"/>
      <c r="F17" s="244"/>
      <c r="G17" s="274"/>
      <c r="H17" s="255"/>
      <c r="I17" s="238"/>
      <c r="J17" s="238"/>
      <c r="K17" s="260"/>
      <c r="L17" s="239"/>
      <c r="M17" s="239"/>
      <c r="N17" s="239"/>
      <c r="O17" s="239"/>
      <c r="P17" s="239"/>
      <c r="Q17" s="117"/>
      <c r="R17" s="117"/>
      <c r="S17" s="275"/>
      <c r="T17" s="117"/>
      <c r="U17" s="117"/>
      <c r="V17" s="117"/>
      <c r="W17" s="117"/>
      <c r="X17" s="117"/>
      <c r="Y17" s="268"/>
    </row>
    <row r="18" ht="13.5" customHeight="1">
      <c r="A18" s="276" t="s">
        <v>212</v>
      </c>
      <c r="B18" s="277" t="s">
        <v>213</v>
      </c>
      <c r="C18" s="277"/>
      <c r="D18" s="277"/>
      <c r="E18" s="277"/>
      <c r="F18" s="278"/>
      <c r="G18" s="259">
        <v>16.0</v>
      </c>
      <c r="H18" s="117"/>
      <c r="I18" s="238"/>
      <c r="J18" s="238"/>
      <c r="K18" s="260"/>
      <c r="L18" s="239"/>
      <c r="M18" s="239"/>
      <c r="N18" s="239"/>
      <c r="O18" s="239"/>
      <c r="P18" s="239"/>
      <c r="Q18" s="117"/>
      <c r="R18" s="117"/>
      <c r="S18" s="275" t="str">
        <f>"Finished Size: "&amp;G8</f>
        <v>Finished Size: 6X9</v>
      </c>
      <c r="T18" s="117"/>
      <c r="U18" s="117"/>
      <c r="V18" s="117"/>
      <c r="W18" s="117"/>
      <c r="X18" s="117"/>
      <c r="Y18" s="279"/>
    </row>
    <row r="19" ht="13.5" customHeight="1">
      <c r="A19" s="280"/>
      <c r="B19" s="117"/>
      <c r="C19" s="117"/>
      <c r="D19" s="117"/>
      <c r="E19" s="117"/>
      <c r="F19" s="117"/>
      <c r="G19" s="281"/>
      <c r="I19" s="117"/>
      <c r="J19" s="238"/>
      <c r="K19" s="260"/>
      <c r="L19" s="239"/>
      <c r="M19" s="239"/>
      <c r="N19" s="239"/>
      <c r="O19" s="239"/>
      <c r="P19" s="239"/>
      <c r="Q19" s="117"/>
      <c r="R19" s="117"/>
      <c r="S19" s="275" t="str">
        <f>IF(G11="Yes",VLOOKUP(G13,'quoter(sheetfed)'!C134:E139,3,FALSE)&amp; " 4 Pages " &amp;VLOOKUP(G12,'quoter(sheetfed)'!C114:E127,3,FALSE),"")</f>
        <v>B&amp;W 4 Pages 80LB WHITE ULTRA SMOOTH TXT</v>
      </c>
      <c r="T19" s="117"/>
      <c r="U19" s="117"/>
      <c r="V19" s="117"/>
      <c r="W19" s="117"/>
      <c r="X19" s="117"/>
      <c r="Y19" s="268"/>
    </row>
    <row r="20" ht="13.5" customHeight="1">
      <c r="A20" s="276" t="s">
        <v>214</v>
      </c>
      <c r="B20" s="277" t="s">
        <v>215</v>
      </c>
      <c r="C20" s="277"/>
      <c r="D20" s="277"/>
      <c r="E20" s="277"/>
      <c r="F20" s="278"/>
      <c r="G20" s="259"/>
      <c r="H20" s="117"/>
      <c r="I20" s="238"/>
      <c r="J20" s="238"/>
      <c r="K20" s="260"/>
      <c r="L20" s="239"/>
      <c r="M20" s="239"/>
      <c r="N20" s="239"/>
      <c r="O20" s="239"/>
      <c r="P20" s="239"/>
      <c r="Q20" s="117"/>
      <c r="R20" s="117"/>
      <c r="S20" s="275" t="str">
        <f>IF(G18&gt;0,"B&amp;W "&amp;G18&amp; " Pages "  &amp;VLOOKUP(G25,'quoter(sheetfed)'!C114:E127,3,FALSE),IF(G22&gt;0,G23 &amp;" Spot Color "&amp;G22 &amp; " Pages "  &amp;VLOOKUP(G25,'quoter(sheetfed)'!C114:E127,3,FALSE),IF(G20&gt;0,"Full Color 4/4 "&amp;G20&amp; " Pages "  &amp;VLOOKUP(G25,'quoter(sheetfed)'!C114:E127,3,FALSE),"")))</f>
        <v>B&amp;W 16 Pages 70LB WHITE ULTRA SMOOTH TXT</v>
      </c>
      <c r="T20" s="117"/>
      <c r="U20" s="117"/>
      <c r="V20" s="117"/>
      <c r="W20" s="117"/>
      <c r="X20" s="117"/>
      <c r="Y20" s="268"/>
    </row>
    <row r="21" ht="13.5" customHeight="1">
      <c r="A21" s="257"/>
      <c r="B21" s="117"/>
      <c r="C21" s="117"/>
      <c r="D21" s="117"/>
      <c r="E21" s="117"/>
      <c r="F21" s="117"/>
      <c r="G21" s="258"/>
      <c r="H21" s="117"/>
      <c r="I21" s="238"/>
      <c r="J21" s="238"/>
      <c r="K21" s="260"/>
      <c r="L21" s="239"/>
      <c r="M21" s="239"/>
      <c r="N21" s="239"/>
      <c r="O21" s="239"/>
      <c r="P21" s="239"/>
      <c r="Q21" s="117"/>
      <c r="R21" s="117"/>
      <c r="S21" s="275" t="str">
        <f>UPPER(G30)</f>
        <v>SADDLE STITCH</v>
      </c>
      <c r="T21" s="117"/>
      <c r="U21" s="117"/>
      <c r="V21" s="117"/>
      <c r="W21" s="117"/>
      <c r="X21" s="117"/>
      <c r="Y21" s="282"/>
    </row>
    <row r="22" ht="13.5" customHeight="1">
      <c r="A22" s="283" t="s">
        <v>216</v>
      </c>
      <c r="B22" s="277" t="s">
        <v>213</v>
      </c>
      <c r="C22" s="277"/>
      <c r="D22" s="277"/>
      <c r="E22" s="277"/>
      <c r="F22" s="278"/>
      <c r="G22" s="259"/>
      <c r="H22" s="117"/>
      <c r="I22" s="263">
        <f>IFERROR(VLOOKUP(VLOOKUP(G12,'quoter(sheetfed)'!$C$115:$D$126,2,FALSE),'quoter(sheetfed)'!$BI$3:$BL$11,VLOOKUP('SF QUOTER'!$G$8,'quoter(sheetfed)'!A71:I75,9,FALSE),FALSE),0)</f>
        <v>30</v>
      </c>
      <c r="J22" s="263">
        <f>I22</f>
        <v>30</v>
      </c>
      <c r="K22" s="260">
        <f>IF($G$6&lt;1000,I22+L22,I22)*(G27/100)</f>
        <v>30</v>
      </c>
      <c r="L22" s="239">
        <f>IFERROR(IF(G6&lt;1000,0,J22*(($G$6-1000)/1000))*(G28/100),0)</f>
        <v>0</v>
      </c>
      <c r="M22" s="239">
        <f>IF(I22=0,0,SUM(L22,I22))</f>
        <v>30</v>
      </c>
      <c r="N22" s="239"/>
      <c r="O22" s="239"/>
      <c r="P22" s="239">
        <f>IF(G11="Yes",1,"")</f>
        <v>1</v>
      </c>
      <c r="Q22" s="117"/>
      <c r="R22" s="284" t="s">
        <v>217</v>
      </c>
      <c r="S22" s="275" t="str">
        <f>G6 &amp;" CPS"</f>
        <v>450 CPS</v>
      </c>
      <c r="T22" s="117"/>
      <c r="U22" s="117"/>
      <c r="V22" s="117"/>
      <c r="W22" s="117"/>
      <c r="X22" s="117"/>
      <c r="Y22" s="268"/>
    </row>
    <row r="23" ht="16.5" customHeight="1">
      <c r="A23" s="283" t="s">
        <v>218</v>
      </c>
      <c r="B23" s="277"/>
      <c r="C23" s="277"/>
      <c r="D23" s="277"/>
      <c r="E23" s="277"/>
      <c r="F23" s="278"/>
      <c r="G23" s="259"/>
      <c r="H23" s="117"/>
      <c r="I23" s="238">
        <f>IFERROR(VLOOKUP(VLOOKUP(G13,'quoter(sheetfed)'!C134:D139,2,FALSE),'quoter(sheetfed)'!$AW$6:$BH$24,VLOOKUP($G$8,'quoter(sheetfed)'!$A$71:$K$75,10,FALSE),FALSE)*(G15/100),0)</f>
        <v>305</v>
      </c>
      <c r="J23" s="238">
        <f>IFERROR(VLOOKUP(VLOOKUP(G13,'quoter(sheetfed)'!C134:D139,2,FALSE),'quoter(sheetfed)'!$AW$6:$BH$24,VLOOKUP($G$8,'quoter(sheetfed)'!$A$71:$K$75,11,FALSE),FALSE)*(G16/100),0)</f>
        <v>80</v>
      </c>
      <c r="K23" s="260">
        <f>IF($G$6&lt;1000,I23+L23,I23)*(G27/100)</f>
        <v>261</v>
      </c>
      <c r="L23" s="239">
        <f>IFERROR(J23*(($G$6-1000)/1000)*(G28/100),0)</f>
        <v>-44</v>
      </c>
      <c r="M23" s="239">
        <f>SUM(L23,I23)</f>
        <v>261</v>
      </c>
      <c r="N23" s="239"/>
      <c r="O23" s="239"/>
      <c r="P23" s="239"/>
      <c r="Q23" s="117"/>
      <c r="R23" s="284" t="s">
        <v>219</v>
      </c>
      <c r="S23" s="285"/>
      <c r="T23" s="286"/>
      <c r="U23" s="117"/>
      <c r="V23" s="117"/>
      <c r="W23" s="117"/>
      <c r="X23" s="117"/>
      <c r="Y23" s="268"/>
    </row>
    <row r="24" ht="13.5" customHeight="1">
      <c r="A24" s="257"/>
      <c r="B24" s="117"/>
      <c r="C24" s="117"/>
      <c r="D24" s="117"/>
      <c r="E24" s="117"/>
      <c r="F24" s="117"/>
      <c r="G24" s="258"/>
      <c r="H24" s="117"/>
      <c r="I24" s="238"/>
      <c r="J24" s="238"/>
      <c r="K24" s="260"/>
      <c r="L24" s="239"/>
      <c r="M24" s="239"/>
      <c r="N24" s="239"/>
      <c r="O24" s="239"/>
      <c r="P24" s="239"/>
      <c r="Q24" s="117"/>
      <c r="R24" s="117"/>
      <c r="S24" s="117"/>
      <c r="T24" s="117"/>
      <c r="U24" s="117"/>
      <c r="V24" s="117"/>
      <c r="W24" s="117"/>
      <c r="X24" s="117"/>
      <c r="Y24" s="268"/>
    </row>
    <row r="25" ht="13.5" customHeight="1">
      <c r="A25" s="283" t="s">
        <v>220</v>
      </c>
      <c r="B25" s="278"/>
      <c r="C25" s="278"/>
      <c r="D25" s="278"/>
      <c r="E25" s="278"/>
      <c r="F25" s="278"/>
      <c r="G25" s="259" t="s">
        <v>165</v>
      </c>
      <c r="H25" s="117"/>
      <c r="I25" s="263">
        <f>IFERROR(VLOOKUP(VLOOKUP(G25,'quoter(sheetfed)'!$C$115:$D$126,2,FALSE),'quoter(sheetfed)'!$BI$4:$BL$11,VLOOKUP('SF QUOTER'!$G$8,'quoter(sheetfed)'!A71:I75,9,FALSE),FALSE)*IF(G11="Yes",G31-1,G31),"")</f>
        <v>30</v>
      </c>
      <c r="J25" s="263">
        <f>I25</f>
        <v>30</v>
      </c>
      <c r="K25" s="260">
        <f>IF(I25="","",IF($G$6&lt;1000,I25+L25,I25)*(G27/100))</f>
        <v>30</v>
      </c>
      <c r="L25" s="239">
        <f>IFERROR(IF(G6&lt;1000,0,J25*(($G$6-1000)/1000))*(G28/100),"")</f>
        <v>0</v>
      </c>
      <c r="M25" s="239">
        <f>IF(I25="",0,L25+I25)</f>
        <v>30</v>
      </c>
      <c r="N25" s="239"/>
      <c r="O25" s="239"/>
      <c r="P25" s="239"/>
      <c r="Q25" s="117"/>
      <c r="R25" s="117"/>
      <c r="S25" s="117"/>
      <c r="T25" s="117"/>
      <c r="U25" s="117"/>
      <c r="V25" s="117" t="s">
        <v>221</v>
      </c>
      <c r="W25" s="117"/>
      <c r="X25" s="117"/>
      <c r="Y25" s="268"/>
    </row>
    <row r="26" ht="13.5" customHeight="1">
      <c r="A26" s="257"/>
      <c r="B26" s="117"/>
      <c r="C26" s="117"/>
      <c r="D26" s="117"/>
      <c r="E26" s="117"/>
      <c r="F26" s="117"/>
      <c r="G26" s="258"/>
      <c r="H26" s="117"/>
      <c r="I26" s="287"/>
      <c r="J26" s="287"/>
      <c r="K26" s="260"/>
      <c r="L26" s="239"/>
      <c r="M26" s="239"/>
      <c r="N26" s="239"/>
      <c r="O26" s="239"/>
      <c r="P26" s="239"/>
      <c r="Q26" s="117"/>
      <c r="R26" s="117"/>
      <c r="S26" s="117"/>
      <c r="T26" s="117"/>
      <c r="U26" s="117"/>
      <c r="V26" s="117"/>
      <c r="W26" s="117"/>
      <c r="X26" s="117"/>
      <c r="Y26" s="268"/>
    </row>
    <row r="27" ht="13.5" customHeight="1">
      <c r="A27" s="257" t="s">
        <v>222</v>
      </c>
      <c r="B27" s="117"/>
      <c r="C27" s="117"/>
      <c r="D27" s="117"/>
      <c r="E27" s="117"/>
      <c r="F27" s="269" t="s">
        <v>40</v>
      </c>
      <c r="G27" s="288">
        <v>100.0</v>
      </c>
      <c r="H27" s="117"/>
      <c r="I27" s="238"/>
      <c r="J27" s="238"/>
      <c r="K27" s="260"/>
      <c r="L27" s="239"/>
      <c r="M27" s="239"/>
      <c r="N27" s="239"/>
      <c r="O27" s="239"/>
      <c r="P27" s="239"/>
      <c r="Q27" s="117"/>
      <c r="R27" s="117"/>
      <c r="S27" s="117"/>
      <c r="T27" s="117"/>
      <c r="U27" s="117"/>
      <c r="V27" s="117"/>
      <c r="W27" s="117"/>
      <c r="X27" s="117"/>
      <c r="Y27" s="268"/>
    </row>
    <row r="28" ht="13.5" customHeight="1">
      <c r="A28" s="248"/>
      <c r="B28" s="249"/>
      <c r="C28" s="249"/>
      <c r="D28" s="249"/>
      <c r="E28" s="249"/>
      <c r="F28" s="248" t="s">
        <v>5</v>
      </c>
      <c r="G28" s="289">
        <v>100.0</v>
      </c>
      <c r="H28" s="117"/>
      <c r="I28" s="238"/>
      <c r="J28" s="238"/>
      <c r="K28" s="260"/>
      <c r="L28" s="239"/>
      <c r="M28" s="239"/>
      <c r="N28" s="239"/>
      <c r="O28" s="239"/>
      <c r="P28" s="239"/>
      <c r="Q28" s="117"/>
      <c r="R28" s="117"/>
      <c r="S28" s="117"/>
      <c r="T28" s="117"/>
      <c r="U28" s="117"/>
      <c r="V28" s="117"/>
      <c r="W28" s="117"/>
      <c r="X28" s="117"/>
      <c r="Y28" s="1"/>
    </row>
    <row r="29" ht="12.75" customHeight="1">
      <c r="A29" s="243" t="s">
        <v>223</v>
      </c>
      <c r="B29" s="244"/>
      <c r="C29" s="244"/>
      <c r="D29" s="244"/>
      <c r="E29" s="244"/>
      <c r="F29" s="244"/>
      <c r="G29" s="256"/>
      <c r="H29" s="117"/>
      <c r="I29" s="238" t="s">
        <v>224</v>
      </c>
      <c r="J29" s="238"/>
      <c r="K29" s="260"/>
      <c r="L29" s="239" t="s">
        <v>225</v>
      </c>
      <c r="M29" s="239"/>
      <c r="N29" s="239"/>
      <c r="O29" s="239"/>
      <c r="P29" s="239"/>
      <c r="Q29" s="117"/>
      <c r="R29" s="117"/>
      <c r="S29" s="117"/>
      <c r="T29" s="117"/>
      <c r="U29" s="117"/>
      <c r="V29" s="117"/>
      <c r="W29" s="117"/>
      <c r="X29" s="117"/>
      <c r="Y29" s="1"/>
    </row>
    <row r="30" ht="12.75" customHeight="1">
      <c r="A30" s="257" t="s">
        <v>226</v>
      </c>
      <c r="B30" s="117"/>
      <c r="C30" s="117"/>
      <c r="D30" s="117"/>
      <c r="E30" s="117"/>
      <c r="F30" s="290"/>
      <c r="G30" s="259" t="s">
        <v>160</v>
      </c>
      <c r="H30" s="117"/>
      <c r="I30" s="238" t="s">
        <v>227</v>
      </c>
      <c r="J30" s="238" t="s">
        <v>228</v>
      </c>
      <c r="K30" s="260"/>
      <c r="L30" s="239" t="s">
        <v>229</v>
      </c>
      <c r="M30" s="239" t="s">
        <v>230</v>
      </c>
      <c r="N30" s="239"/>
      <c r="O30" s="239" t="s">
        <v>231</v>
      </c>
      <c r="P30" s="239" t="s">
        <v>232</v>
      </c>
      <c r="Q30" s="117"/>
      <c r="R30" s="117"/>
      <c r="S30" s="291" t="s">
        <v>233</v>
      </c>
      <c r="T30" s="292"/>
      <c r="U30" s="293"/>
      <c r="V30" s="117"/>
      <c r="W30" s="117"/>
      <c r="X30" s="117"/>
      <c r="Y30" s="1"/>
    </row>
    <row r="31" ht="12.75" customHeight="1">
      <c r="A31" s="294" t="s">
        <v>46</v>
      </c>
      <c r="B31" s="117" t="s">
        <v>234</v>
      </c>
      <c r="C31" s="117"/>
      <c r="D31" s="117"/>
      <c r="E31" s="117"/>
      <c r="F31" s="295">
        <f>IFERROR(SUM(P22,P12,P13,P14),"")</f>
        <v>2</v>
      </c>
      <c r="G31" s="296">
        <v>2.0</v>
      </c>
      <c r="H31" s="255"/>
      <c r="I31" s="263">
        <f>IFERROR(IF(G30="Saddle Stitch",VLOOKUP(G31,'quoter(sheetfed)'!$A$5:$F$67,5,FALSE)*(G33/100),0),0)</f>
        <v>255</v>
      </c>
      <c r="J31" s="263">
        <f>IFERROR(IF(G30="Saddle Stitch",VLOOKUP(G31,'quoter(sheetfed)'!$A$5:$F$67,6,FALSE)*(G34/100),0),0)</f>
        <v>80</v>
      </c>
      <c r="K31" s="260">
        <f>IF(I31="","",IF($G$6&lt;1000,I31+O31,I31))</f>
        <v>211</v>
      </c>
      <c r="L31" s="263">
        <f>IFERROR(IF(G30="Perfect Bind",VLOOKUP(G31,'quoter(sheetfed)'!$H$5:$M$67,5,FALSE)*(G33/100),0),0)</f>
        <v>0</v>
      </c>
      <c r="M31" s="263">
        <f>IFERROR(IF(G30="Perfect Bind",VLOOKUP(G31,'quoter(sheetfed)'!$H$5:$M$67,6,FALSE)*(G34/100),0),0)</f>
        <v>0</v>
      </c>
      <c r="N31" s="260">
        <f>IF(L31="","",L31)</f>
        <v>0</v>
      </c>
      <c r="O31" s="239">
        <f>SUM(M31,J31)*(($G$6-1000)/1000)</f>
        <v>-44</v>
      </c>
      <c r="P31" s="239">
        <f>SUM(O31,I31,L31)</f>
        <v>211</v>
      </c>
      <c r="Q31" s="117"/>
      <c r="R31" s="117"/>
      <c r="S31" s="269"/>
      <c r="T31" s="244" t="s">
        <v>235</v>
      </c>
      <c r="U31" s="297" t="s">
        <v>236</v>
      </c>
      <c r="V31" s="117" t="s">
        <v>237</v>
      </c>
      <c r="W31" s="117"/>
      <c r="X31" s="117"/>
      <c r="Y31" s="1"/>
      <c r="AF31" s="22"/>
    </row>
    <row r="32" ht="12.75" customHeight="1">
      <c r="A32" s="294"/>
      <c r="B32" s="117"/>
      <c r="C32" s="117"/>
      <c r="D32" s="117"/>
      <c r="E32" s="117"/>
      <c r="F32" s="298"/>
      <c r="G32" s="299"/>
      <c r="H32" s="255"/>
      <c r="I32" s="263"/>
      <c r="J32" s="263"/>
      <c r="K32" s="260"/>
      <c r="L32" s="300"/>
      <c r="M32" s="300"/>
      <c r="N32" s="260"/>
      <c r="O32" s="239"/>
      <c r="P32" s="239"/>
      <c r="Q32" s="117"/>
      <c r="R32" s="117"/>
      <c r="S32" s="301" t="s">
        <v>238</v>
      </c>
      <c r="T32" s="302">
        <f t="shared" ref="T32:U32" si="3">SUM(I12:I14)</f>
        <v>295</v>
      </c>
      <c r="U32" s="303">
        <f t="shared" si="3"/>
        <v>150</v>
      </c>
      <c r="V32" s="117">
        <f t="shared" ref="V32:V33" si="5">IFERROR((($G$6-1000)/1000)*U32,0)</f>
        <v>-82.5</v>
      </c>
      <c r="W32" s="117"/>
      <c r="X32" s="117"/>
      <c r="Y32" s="1"/>
      <c r="AF32" s="22"/>
    </row>
    <row r="33" ht="12.75" customHeight="1">
      <c r="A33" s="257" t="s">
        <v>239</v>
      </c>
      <c r="B33" s="117"/>
      <c r="C33" s="117"/>
      <c r="D33" s="117"/>
      <c r="E33" s="117"/>
      <c r="F33" s="269" t="s">
        <v>3</v>
      </c>
      <c r="G33" s="288">
        <v>100.0</v>
      </c>
      <c r="H33" s="117"/>
      <c r="I33" s="238"/>
      <c r="J33" s="238"/>
      <c r="K33" s="260"/>
      <c r="L33" s="239"/>
      <c r="M33" s="239"/>
      <c r="N33" s="239"/>
      <c r="O33" s="239"/>
      <c r="P33" s="239"/>
      <c r="Q33" s="117"/>
      <c r="R33" s="117"/>
      <c r="S33" s="257" t="s">
        <v>240</v>
      </c>
      <c r="T33" s="117" t="str">
        <f t="shared" ref="T33:U33" si="4">I15</f>
        <v>g</v>
      </c>
      <c r="U33" s="304">
        <f t="shared" si="4"/>
        <v>0</v>
      </c>
      <c r="V33" s="117">
        <f t="shared" si="5"/>
        <v>0</v>
      </c>
      <c r="W33" s="117"/>
      <c r="X33" s="117"/>
      <c r="Y33" s="1"/>
      <c r="AF33" s="22"/>
    </row>
    <row r="34" ht="12.75" customHeight="1">
      <c r="A34" s="305"/>
      <c r="B34" s="249"/>
      <c r="C34" s="249"/>
      <c r="D34" s="249"/>
      <c r="E34" s="249"/>
      <c r="F34" s="248" t="s">
        <v>5</v>
      </c>
      <c r="G34" s="289">
        <v>100.0</v>
      </c>
      <c r="H34" s="117"/>
      <c r="I34" s="238"/>
      <c r="J34" s="238"/>
      <c r="K34" s="260"/>
      <c r="L34" s="239"/>
      <c r="M34" s="239"/>
      <c r="N34" s="239"/>
      <c r="O34" s="239"/>
      <c r="P34" s="239"/>
      <c r="Q34" s="117"/>
      <c r="R34" s="117"/>
      <c r="S34" s="301" t="s">
        <v>241</v>
      </c>
      <c r="T34" s="302">
        <f t="shared" ref="T34:U34" si="6">I22</f>
        <v>30</v>
      </c>
      <c r="U34" s="303">
        <f t="shared" si="6"/>
        <v>30</v>
      </c>
      <c r="V34" s="117"/>
      <c r="W34" s="117"/>
      <c r="X34" s="117"/>
      <c r="Y34" s="1"/>
      <c r="AF34" s="22"/>
    </row>
    <row r="35" ht="12.75" hidden="1" customHeight="1">
      <c r="A35" s="257"/>
      <c r="B35" s="117"/>
      <c r="C35" s="117"/>
      <c r="D35" s="117"/>
      <c r="E35" s="117"/>
      <c r="F35" s="117"/>
      <c r="G35" s="258"/>
      <c r="H35" s="117"/>
      <c r="I35" s="238"/>
      <c r="J35" s="238"/>
      <c r="K35" s="260"/>
      <c r="L35" s="239"/>
      <c r="M35" s="239"/>
      <c r="N35" s="239"/>
      <c r="O35" s="239"/>
      <c r="P35" s="239"/>
      <c r="Q35" s="117"/>
      <c r="R35" s="117"/>
      <c r="S35" s="257"/>
      <c r="T35" s="117"/>
      <c r="U35" s="304"/>
      <c r="V35" s="117">
        <f t="shared" ref="V35:V36" si="8">IFERROR((($G$6-1000)/1000)*U35,0)</f>
        <v>0</v>
      </c>
      <c r="W35" s="117"/>
      <c r="X35" s="117"/>
      <c r="Y35" s="1"/>
      <c r="AF35" s="22"/>
    </row>
    <row r="36" ht="12.75" customHeight="1">
      <c r="A36" s="306" t="s">
        <v>242</v>
      </c>
      <c r="B36" s="307"/>
      <c r="C36" s="307"/>
      <c r="D36" s="307"/>
      <c r="E36" s="307"/>
      <c r="F36" s="307"/>
      <c r="G36" s="256"/>
      <c r="H36" s="117"/>
      <c r="I36" s="238" t="s">
        <v>243</v>
      </c>
      <c r="J36" s="238" t="s">
        <v>244</v>
      </c>
      <c r="K36" s="260"/>
      <c r="L36" s="239" t="s">
        <v>231</v>
      </c>
      <c r="M36" s="239" t="s">
        <v>245</v>
      </c>
      <c r="N36" s="239"/>
      <c r="O36" s="239"/>
      <c r="P36" s="239"/>
      <c r="Q36" s="117"/>
      <c r="R36" s="117"/>
      <c r="S36" s="257" t="s">
        <v>246</v>
      </c>
      <c r="T36" s="117">
        <f t="shared" ref="T36:U36" si="7">I23</f>
        <v>305</v>
      </c>
      <c r="U36" s="304">
        <f t="shared" si="7"/>
        <v>80</v>
      </c>
      <c r="V36" s="117">
        <f t="shared" si="8"/>
        <v>-44</v>
      </c>
      <c r="W36" s="117"/>
      <c r="X36" s="117"/>
      <c r="Y36" s="1"/>
      <c r="AF36" s="22"/>
    </row>
    <row r="37" ht="12.75" customHeight="1">
      <c r="A37" s="308" t="s">
        <v>247</v>
      </c>
      <c r="B37" s="309"/>
      <c r="C37" s="309"/>
      <c r="D37" s="309"/>
      <c r="E37" s="309"/>
      <c r="F37" s="310"/>
      <c r="G37" s="311" t="s">
        <v>158</v>
      </c>
      <c r="H37" s="117"/>
      <c r="I37" s="238">
        <f>IF(G37="Yes",'quoter(sheetfed)'!BJ27*(G41/100),"")</f>
        <v>80</v>
      </c>
      <c r="J37" s="238">
        <f>IF(G37="Yes",'quoter(sheetfed)'!BK27*(G42/100),"")</f>
        <v>30</v>
      </c>
      <c r="K37" s="260">
        <f t="shared" ref="K37:K38" si="10">IF(I37="","",IF($G$6&lt;1000,I37+L37,I37))</f>
        <v>63.5</v>
      </c>
      <c r="L37" s="239">
        <f t="shared" ref="L37:L38" si="11">IFERROR(J37*(($G$6-1000)/1000),"")</f>
        <v>-16.5</v>
      </c>
      <c r="M37" s="239">
        <f t="shared" ref="M37:M38" si="12">SUM(L37,I37)</f>
        <v>63.5</v>
      </c>
      <c r="N37" s="239"/>
      <c r="O37" s="239"/>
      <c r="P37" s="239"/>
      <c r="Q37" s="117"/>
      <c r="R37" s="117"/>
      <c r="S37" s="301" t="s">
        <v>248</v>
      </c>
      <c r="T37" s="302">
        <f t="shared" ref="T37:U37" si="9">K25</f>
        <v>30</v>
      </c>
      <c r="U37" s="303">
        <f t="shared" si="9"/>
        <v>0</v>
      </c>
      <c r="V37" s="117"/>
      <c r="W37" s="117"/>
      <c r="X37" s="117"/>
      <c r="Y37" s="1"/>
      <c r="AF37" s="22"/>
    </row>
    <row r="38" ht="12.75" customHeight="1">
      <c r="A38" s="308" t="s">
        <v>249</v>
      </c>
      <c r="B38" s="309"/>
      <c r="C38" s="309"/>
      <c r="D38" s="309"/>
      <c r="E38" s="309"/>
      <c r="F38" s="310"/>
      <c r="G38" s="311" t="s">
        <v>159</v>
      </c>
      <c r="H38" s="312" t="s">
        <v>250</v>
      </c>
      <c r="I38" s="238" t="str">
        <f>IF(G38="Yes",30*IF(G11="Yes",G31-1,G31)*(G41/100),"")</f>
        <v/>
      </c>
      <c r="J38" s="238" t="str">
        <f>IF(G38="Yes",15*IF(G11="Yes",G31-1,G31)*(G42/100),"")</f>
        <v/>
      </c>
      <c r="K38" s="260" t="str">
        <f t="shared" si="10"/>
        <v/>
      </c>
      <c r="L38" s="239">
        <f t="shared" si="11"/>
        <v>0</v>
      </c>
      <c r="M38" s="239">
        <f t="shared" si="12"/>
        <v>0</v>
      </c>
      <c r="N38" s="239"/>
      <c r="O38" s="239"/>
      <c r="P38" s="239"/>
      <c r="Q38" s="117"/>
      <c r="R38" s="117"/>
      <c r="S38" s="257" t="s">
        <v>251</v>
      </c>
      <c r="T38" s="117">
        <f t="shared" ref="T38:U38" si="13">IFERROR(I31+L31,0)</f>
        <v>255</v>
      </c>
      <c r="U38" s="304">
        <f t="shared" si="13"/>
        <v>80</v>
      </c>
      <c r="V38" s="117">
        <f>IF(G30="Saddle Stitch",O31,"")</f>
        <v>-44</v>
      </c>
      <c r="W38" s="117"/>
      <c r="X38" s="117"/>
      <c r="Y38" s="1"/>
      <c r="AF38" s="22"/>
    </row>
    <row r="39" ht="24.0" customHeight="1">
      <c r="A39" s="313" t="s">
        <v>252</v>
      </c>
      <c r="B39" s="128"/>
      <c r="C39" s="128"/>
      <c r="D39" s="128"/>
      <c r="E39" s="128"/>
      <c r="F39" s="129"/>
      <c r="G39" s="314">
        <v>90.0</v>
      </c>
      <c r="H39" s="117"/>
      <c r="I39" s="315">
        <f>G39</f>
        <v>90</v>
      </c>
      <c r="J39" s="238"/>
      <c r="K39" s="239"/>
      <c r="L39" s="239"/>
      <c r="M39" s="239"/>
      <c r="N39" s="239"/>
      <c r="O39" s="239"/>
      <c r="P39" s="239"/>
      <c r="Q39" s="117"/>
      <c r="R39" s="117"/>
      <c r="S39" s="301" t="s">
        <v>253</v>
      </c>
      <c r="T39" s="302">
        <f t="shared" ref="T39:U39" si="14">I37</f>
        <v>80</v>
      </c>
      <c r="U39" s="303">
        <f t="shared" si="14"/>
        <v>30</v>
      </c>
      <c r="V39" s="117">
        <f t="shared" ref="V39:V43" si="16">IFERROR((($G$6-1000)/1000)*U39,0)</f>
        <v>-16.5</v>
      </c>
      <c r="W39" s="117"/>
      <c r="X39" s="117"/>
      <c r="Y39" s="1"/>
      <c r="AF39" s="22"/>
    </row>
    <row r="40" ht="12.75" customHeight="1">
      <c r="A40" s="280" t="s">
        <v>254</v>
      </c>
      <c r="B40" s="117"/>
      <c r="C40" s="117"/>
      <c r="D40" s="117"/>
      <c r="E40" s="117"/>
      <c r="F40" s="117"/>
      <c r="G40" s="259" t="s">
        <v>159</v>
      </c>
      <c r="H40" s="117"/>
      <c r="I40" s="238">
        <f>IF(G40="Yes",100,0)</f>
        <v>0</v>
      </c>
      <c r="J40" s="238">
        <f>IF(G40="Yes",50,0)</f>
        <v>0</v>
      </c>
      <c r="K40" s="260">
        <f>IF(I40="","",IF($G$6&lt;1000,I40+L40,I40))</f>
        <v>0</v>
      </c>
      <c r="L40" s="239">
        <f>IFERROR(J40*(($G$6-1000)/1000),"")</f>
        <v>0</v>
      </c>
      <c r="M40" s="239">
        <f>SUM(L40,I40)</f>
        <v>0</v>
      </c>
      <c r="N40" s="239"/>
      <c r="O40" s="239"/>
      <c r="P40" s="239"/>
      <c r="Q40" s="117"/>
      <c r="R40" s="117"/>
      <c r="S40" s="257" t="s">
        <v>255</v>
      </c>
      <c r="T40" s="117" t="str">
        <f t="shared" ref="T40:U40" si="15">I38</f>
        <v/>
      </c>
      <c r="U40" s="304" t="str">
        <f t="shared" si="15"/>
        <v/>
      </c>
      <c r="V40" s="117">
        <f t="shared" si="16"/>
        <v>0</v>
      </c>
      <c r="W40" s="117"/>
      <c r="X40" s="117"/>
      <c r="Y40" s="1"/>
      <c r="AF40" s="22"/>
    </row>
    <row r="41" ht="12.75" hidden="1" customHeight="1">
      <c r="A41" s="257"/>
      <c r="B41" s="117"/>
      <c r="C41" s="117"/>
      <c r="D41" s="117"/>
      <c r="E41" s="117"/>
      <c r="F41" s="269" t="s">
        <v>40</v>
      </c>
      <c r="G41" s="316">
        <v>100.0</v>
      </c>
      <c r="H41" s="117"/>
      <c r="I41" s="238"/>
      <c r="J41" s="238"/>
      <c r="K41" s="239"/>
      <c r="L41" s="239"/>
      <c r="M41" s="239"/>
      <c r="N41" s="239"/>
      <c r="O41" s="239"/>
      <c r="P41" s="239"/>
      <c r="Q41" s="117"/>
      <c r="R41" s="117"/>
      <c r="S41" s="257"/>
      <c r="T41" s="117"/>
      <c r="U41" s="304"/>
      <c r="V41" s="117">
        <f t="shared" si="16"/>
        <v>0</v>
      </c>
      <c r="W41" s="117"/>
      <c r="X41" s="117"/>
      <c r="Y41" s="1"/>
      <c r="AF41" s="22"/>
    </row>
    <row r="42" ht="12.75" hidden="1" customHeight="1">
      <c r="A42" s="248"/>
      <c r="B42" s="249"/>
      <c r="C42" s="249"/>
      <c r="D42" s="249"/>
      <c r="E42" s="249"/>
      <c r="F42" s="248" t="s">
        <v>5</v>
      </c>
      <c r="G42" s="317">
        <v>100.0</v>
      </c>
      <c r="H42" s="318"/>
      <c r="I42" s="287"/>
      <c r="J42" s="287"/>
      <c r="K42" s="319"/>
      <c r="L42" s="319"/>
      <c r="M42" s="319"/>
      <c r="N42" s="319"/>
      <c r="O42" s="319"/>
      <c r="P42" s="319"/>
      <c r="Q42" s="318"/>
      <c r="R42" s="318"/>
      <c r="S42" s="320"/>
      <c r="T42" s="318"/>
      <c r="U42" s="321"/>
      <c r="V42" s="117">
        <f t="shared" si="16"/>
        <v>0</v>
      </c>
      <c r="W42" s="318"/>
      <c r="X42" s="318"/>
      <c r="Y42" s="22"/>
      <c r="Z42" s="22"/>
      <c r="AA42" s="22"/>
      <c r="AB42" s="22"/>
      <c r="AC42" s="22"/>
      <c r="AD42" s="22"/>
      <c r="AE42" s="22"/>
      <c r="AF42" s="22"/>
    </row>
    <row r="43" ht="3.0" customHeight="1">
      <c r="A43" s="322"/>
      <c r="B43" s="322"/>
      <c r="C43" s="322"/>
      <c r="D43" s="322"/>
      <c r="E43" s="322"/>
      <c r="F43" s="322"/>
      <c r="G43" s="323"/>
      <c r="H43" s="324"/>
      <c r="I43" s="287"/>
      <c r="J43" s="287"/>
      <c r="K43" s="319"/>
      <c r="L43" s="319"/>
      <c r="M43" s="319"/>
      <c r="N43" s="319"/>
      <c r="O43" s="319"/>
      <c r="P43" s="319"/>
      <c r="Q43" s="324"/>
      <c r="R43" s="324"/>
      <c r="S43" s="325"/>
      <c r="T43" s="324"/>
      <c r="U43" s="326"/>
      <c r="V43" s="117">
        <f t="shared" si="16"/>
        <v>0</v>
      </c>
      <c r="W43" s="324"/>
      <c r="X43" s="324"/>
      <c r="Y43" s="327"/>
      <c r="Z43" s="327"/>
      <c r="AA43" s="327"/>
      <c r="AB43" s="327"/>
      <c r="AC43" s="327"/>
      <c r="AD43" s="327"/>
      <c r="AE43" s="327"/>
      <c r="AF43" s="327"/>
    </row>
    <row r="44" ht="12.75" customHeight="1">
      <c r="A44" s="117"/>
      <c r="B44" s="117"/>
      <c r="C44" s="117"/>
      <c r="D44" s="117"/>
      <c r="E44" s="117"/>
      <c r="F44" s="117"/>
      <c r="G44" s="240"/>
      <c r="H44" s="318"/>
      <c r="I44" s="287"/>
      <c r="J44" s="287"/>
      <c r="K44" s="319"/>
      <c r="L44" s="319"/>
      <c r="M44" s="319"/>
      <c r="N44" s="319"/>
      <c r="O44" s="319"/>
      <c r="P44" s="319"/>
      <c r="Q44" s="318"/>
      <c r="R44" s="318"/>
      <c r="S44" s="301" t="s">
        <v>256</v>
      </c>
      <c r="T44" s="328">
        <f t="shared" ref="T44:T45" si="17">I39</f>
        <v>90</v>
      </c>
      <c r="U44" s="303"/>
      <c r="V44" s="117"/>
      <c r="W44" s="117"/>
      <c r="X44" s="318"/>
      <c r="Y44" s="22"/>
      <c r="Z44" s="22"/>
      <c r="AA44" s="22"/>
      <c r="AB44" s="22"/>
      <c r="AC44" s="22"/>
      <c r="AD44" s="22"/>
      <c r="AE44" s="22"/>
      <c r="AF44" s="22"/>
    </row>
    <row r="45" ht="12.75" customHeight="1">
      <c r="A45" s="117"/>
      <c r="B45" s="117"/>
      <c r="C45" s="117"/>
      <c r="D45" s="117"/>
      <c r="E45" s="117"/>
      <c r="F45" s="117"/>
      <c r="G45" s="240"/>
      <c r="H45" s="318"/>
      <c r="I45" s="287"/>
      <c r="J45" s="287"/>
      <c r="K45" s="319"/>
      <c r="L45" s="319"/>
      <c r="M45" s="319"/>
      <c r="N45" s="319"/>
      <c r="O45" s="319"/>
      <c r="P45" s="319"/>
      <c r="Q45" s="318"/>
      <c r="R45" s="318"/>
      <c r="S45" s="329" t="s">
        <v>257</v>
      </c>
      <c r="T45" s="249">
        <f t="shared" si="17"/>
        <v>0</v>
      </c>
      <c r="U45" s="330">
        <f>J40</f>
        <v>0</v>
      </c>
      <c r="V45" s="117">
        <f>IFERROR((($G$6-1000)/1000)*U45,0)</f>
        <v>0</v>
      </c>
      <c r="W45" s="117"/>
      <c r="X45" s="318"/>
      <c r="Y45" s="22"/>
      <c r="Z45" s="22"/>
      <c r="AA45" s="22"/>
      <c r="AB45" s="22"/>
      <c r="AC45" s="22"/>
      <c r="AD45" s="22"/>
      <c r="AE45" s="22"/>
      <c r="AF45" s="22"/>
    </row>
    <row r="46" ht="12.75" customHeight="1">
      <c r="A46" s="117"/>
      <c r="B46" s="117"/>
      <c r="C46" s="117"/>
      <c r="D46" s="117"/>
      <c r="E46" s="117"/>
      <c r="F46" s="117"/>
      <c r="G46" s="240"/>
      <c r="H46" s="318"/>
      <c r="I46" s="287"/>
      <c r="J46" s="287"/>
      <c r="K46" s="319"/>
      <c r="L46" s="319"/>
      <c r="M46" s="319"/>
      <c r="N46" s="319"/>
      <c r="O46" s="319"/>
      <c r="P46" s="319"/>
      <c r="Q46" s="318"/>
      <c r="R46" s="318"/>
      <c r="S46" s="331" t="s">
        <v>258</v>
      </c>
      <c r="T46" s="332">
        <f t="shared" ref="T46:V46" si="18">SUM(T32:T45)</f>
        <v>1085</v>
      </c>
      <c r="U46" s="297">
        <f t="shared" si="18"/>
        <v>370</v>
      </c>
      <c r="V46" s="333">
        <f t="shared" si="18"/>
        <v>-187</v>
      </c>
      <c r="W46" s="117"/>
      <c r="X46" s="318"/>
      <c r="Y46" s="22"/>
      <c r="Z46" s="22"/>
      <c r="AA46" s="22"/>
      <c r="AB46" s="22"/>
      <c r="AC46" s="22"/>
      <c r="AD46" s="22"/>
      <c r="AE46" s="22"/>
      <c r="AF46" s="22"/>
    </row>
    <row r="47" ht="12.75" customHeight="1">
      <c r="A47" s="117"/>
      <c r="B47" s="117"/>
      <c r="C47" s="117"/>
      <c r="D47" s="117"/>
      <c r="E47" s="117"/>
      <c r="F47" s="117"/>
      <c r="G47" s="240"/>
      <c r="H47" s="318"/>
      <c r="I47" s="287"/>
      <c r="J47" s="287"/>
      <c r="K47" s="319"/>
      <c r="L47" s="319"/>
      <c r="M47" s="319"/>
      <c r="N47" s="319"/>
      <c r="O47" s="319"/>
      <c r="P47" s="319"/>
      <c r="Q47" s="318"/>
      <c r="R47" s="318"/>
      <c r="S47" s="320" t="s">
        <v>259</v>
      </c>
      <c r="T47" s="117" t="str">
        <f>SUM(K40,K14,K15,K37,I39,K38,K31,N31,K25,K23,K22,K13,K12)</f>
        <v>#VALUE!</v>
      </c>
      <c r="U47" s="304">
        <f>IF(V46&gt;0,U46,0)</f>
        <v>0</v>
      </c>
      <c r="V47" s="117"/>
      <c r="W47" s="117"/>
      <c r="X47" s="318"/>
      <c r="Y47" s="22"/>
      <c r="Z47" s="22"/>
      <c r="AA47" s="22"/>
      <c r="AB47" s="22"/>
      <c r="AC47" s="22"/>
      <c r="AD47" s="22"/>
      <c r="AE47" s="22"/>
      <c r="AF47" s="22"/>
    </row>
    <row r="48" ht="12.75" customHeight="1">
      <c r="A48" s="117"/>
      <c r="B48" s="117"/>
      <c r="C48" s="117"/>
      <c r="D48" s="117"/>
      <c r="E48" s="117"/>
      <c r="F48" s="117"/>
      <c r="G48" s="240"/>
      <c r="H48" s="318"/>
      <c r="I48" s="287"/>
      <c r="J48" s="287"/>
      <c r="K48" s="319"/>
      <c r="L48" s="319"/>
      <c r="M48" s="319"/>
      <c r="N48" s="319"/>
      <c r="O48" s="319"/>
      <c r="P48" s="319"/>
      <c r="Q48" s="318"/>
      <c r="R48" s="318"/>
      <c r="S48" s="329"/>
      <c r="T48" s="249" t="s">
        <v>260</v>
      </c>
      <c r="U48" s="330">
        <f>SUM(P31,M25,M13,M23,M22,M37,M40,M38,I39)</f>
        <v>898</v>
      </c>
      <c r="V48" s="117"/>
      <c r="W48" s="117"/>
      <c r="X48" s="318"/>
      <c r="Y48" s="22"/>
      <c r="Z48" s="22"/>
      <c r="AA48" s="22"/>
      <c r="AB48" s="22"/>
      <c r="AC48" s="22"/>
      <c r="AD48" s="22"/>
      <c r="AE48" s="22"/>
      <c r="AF48" s="22"/>
    </row>
    <row r="49" ht="12.75" customHeight="1">
      <c r="A49" s="117"/>
      <c r="B49" s="117"/>
      <c r="C49" s="117"/>
      <c r="D49" s="117"/>
      <c r="E49" s="117"/>
      <c r="F49" s="117"/>
      <c r="G49" s="240"/>
      <c r="H49" s="318"/>
      <c r="I49" s="287"/>
      <c r="J49" s="287"/>
      <c r="K49" s="319"/>
      <c r="L49" s="319"/>
      <c r="M49" s="319"/>
      <c r="N49" s="319"/>
      <c r="O49" s="319"/>
      <c r="P49" s="319"/>
      <c r="Q49" s="318"/>
      <c r="R49" s="318"/>
      <c r="S49" s="318"/>
      <c r="T49" s="117"/>
      <c r="U49" s="117"/>
      <c r="V49" s="117"/>
      <c r="W49" s="117"/>
      <c r="X49" s="318"/>
      <c r="Y49" s="22"/>
      <c r="Z49" s="22"/>
      <c r="AA49" s="22"/>
      <c r="AB49" s="22"/>
      <c r="AC49" s="22"/>
      <c r="AD49" s="22"/>
      <c r="AE49" s="22"/>
      <c r="AF49" s="22"/>
    </row>
    <row r="50" ht="12.75" customHeight="1">
      <c r="A50" s="117"/>
      <c r="B50" s="117"/>
      <c r="C50" s="117"/>
      <c r="D50" s="117"/>
      <c r="E50" s="117"/>
      <c r="F50" s="117"/>
      <c r="G50" s="240"/>
      <c r="H50" s="318"/>
      <c r="I50" s="287"/>
      <c r="J50" s="287"/>
      <c r="K50" s="319"/>
      <c r="L50" s="319"/>
      <c r="M50" s="319"/>
      <c r="N50" s="319"/>
      <c r="O50" s="319"/>
      <c r="P50" s="319"/>
      <c r="Q50" s="318"/>
      <c r="R50" s="318"/>
      <c r="S50" s="318"/>
      <c r="T50" s="318"/>
      <c r="U50" s="318"/>
      <c r="V50" s="318"/>
      <c r="W50" s="318"/>
      <c r="X50" s="318"/>
      <c r="Y50" s="22"/>
      <c r="Z50" s="22"/>
      <c r="AA50" s="22"/>
      <c r="AB50" s="22"/>
      <c r="AC50" s="22"/>
      <c r="AD50" s="22"/>
      <c r="AE50" s="22"/>
      <c r="AF50" s="22"/>
    </row>
    <row r="51" ht="12.75" customHeight="1">
      <c r="A51" s="117"/>
      <c r="B51" s="117"/>
      <c r="C51" s="117"/>
      <c r="D51" s="117"/>
      <c r="E51" s="117"/>
      <c r="F51" s="117"/>
      <c r="G51" s="240"/>
      <c r="H51" s="318"/>
      <c r="I51" s="287"/>
      <c r="J51" s="287"/>
      <c r="K51" s="319"/>
      <c r="L51" s="319"/>
      <c r="M51" s="319"/>
      <c r="N51" s="319"/>
      <c r="O51" s="319"/>
      <c r="P51" s="319"/>
      <c r="Q51" s="318"/>
      <c r="R51" s="318"/>
      <c r="S51" s="318"/>
      <c r="T51" s="318"/>
      <c r="U51" s="318"/>
      <c r="V51" s="318"/>
      <c r="W51" s="318"/>
      <c r="X51" s="318"/>
      <c r="Y51" s="22"/>
      <c r="Z51" s="22"/>
      <c r="AA51" s="22"/>
      <c r="AB51" s="22"/>
      <c r="AC51" s="22"/>
      <c r="AD51" s="22"/>
      <c r="AE51" s="22"/>
      <c r="AF51" s="22"/>
    </row>
    <row r="52" ht="12.75" customHeight="1">
      <c r="A52" s="117"/>
      <c r="B52" s="117"/>
      <c r="C52" s="117"/>
      <c r="D52" s="117"/>
      <c r="E52" s="117"/>
      <c r="F52" s="117"/>
      <c r="G52" s="240"/>
      <c r="H52" s="117"/>
      <c r="I52" s="238"/>
      <c r="J52" s="238"/>
      <c r="K52" s="239"/>
      <c r="L52" s="239"/>
      <c r="M52" s="239"/>
      <c r="N52" s="239"/>
      <c r="O52" s="239"/>
      <c r="P52" s="239"/>
      <c r="Q52" s="117"/>
      <c r="R52" s="117"/>
      <c r="S52" s="117"/>
      <c r="T52" s="117"/>
      <c r="U52" s="117"/>
      <c r="V52" s="117"/>
      <c r="W52" s="117"/>
      <c r="X52" s="117"/>
      <c r="Y52" s="1"/>
    </row>
    <row r="53" ht="12.75" customHeight="1">
      <c r="A53" s="8"/>
      <c r="B53" s="8"/>
      <c r="C53" s="8"/>
      <c r="D53" s="8"/>
      <c r="E53" s="8"/>
      <c r="F53" s="8"/>
      <c r="G53" s="334"/>
      <c r="H53" s="1"/>
      <c r="I53" s="212"/>
      <c r="J53" s="212"/>
      <c r="K53" s="335"/>
      <c r="L53" s="335"/>
      <c r="M53" s="335"/>
      <c r="N53" s="335"/>
      <c r="O53" s="335"/>
      <c r="P53" s="335"/>
      <c r="Q53" s="1"/>
      <c r="R53" s="1"/>
      <c r="S53" s="1"/>
      <c r="T53" s="1"/>
      <c r="U53" s="1"/>
      <c r="Y53" s="1"/>
    </row>
    <row r="54" ht="12.75" customHeight="1">
      <c r="A54" s="8"/>
      <c r="B54" s="8"/>
      <c r="C54" s="8"/>
      <c r="D54" s="8"/>
      <c r="E54" s="8"/>
      <c r="F54" s="8"/>
      <c r="G54" s="334"/>
      <c r="H54" s="1"/>
      <c r="I54" s="212"/>
      <c r="J54" s="212"/>
      <c r="K54" s="335"/>
      <c r="L54" s="335"/>
      <c r="M54" s="335"/>
      <c r="N54" s="335"/>
      <c r="O54" s="335"/>
      <c r="P54" s="335"/>
      <c r="Q54" s="1"/>
      <c r="R54" s="1"/>
      <c r="S54" s="1"/>
      <c r="T54" s="1"/>
      <c r="U54" s="1"/>
      <c r="Y54" s="1"/>
    </row>
    <row r="55" ht="12.75" customHeight="1">
      <c r="A55" s="8"/>
      <c r="B55" s="8"/>
      <c r="C55" s="8"/>
      <c r="D55" s="8"/>
      <c r="E55" s="8"/>
      <c r="F55" s="8"/>
      <c r="G55" s="334"/>
      <c r="H55" s="1"/>
      <c r="I55" s="212"/>
      <c r="J55" s="212"/>
      <c r="K55" s="335"/>
      <c r="L55" s="335"/>
      <c r="M55" s="335"/>
      <c r="N55" s="335"/>
      <c r="O55" s="335"/>
      <c r="P55" s="335"/>
      <c r="Q55" s="1"/>
      <c r="R55" s="1"/>
      <c r="S55" s="1"/>
      <c r="T55" s="1"/>
      <c r="U55" s="1"/>
      <c r="Y55" s="1"/>
    </row>
    <row r="56" ht="12.75" customHeight="1">
      <c r="A56" s="8"/>
      <c r="B56" s="8"/>
      <c r="C56" s="8"/>
      <c r="D56" s="8"/>
      <c r="E56" s="8"/>
      <c r="F56" s="8"/>
      <c r="G56" s="334"/>
      <c r="H56" s="1"/>
      <c r="I56" s="212"/>
      <c r="J56" s="212"/>
      <c r="K56" s="335"/>
      <c r="L56" s="335"/>
      <c r="M56" s="335"/>
      <c r="N56" s="335"/>
      <c r="O56" s="335"/>
      <c r="P56" s="335"/>
      <c r="Q56" s="1"/>
      <c r="R56" s="1"/>
      <c r="S56" s="1"/>
      <c r="T56" s="1"/>
      <c r="U56" s="1"/>
      <c r="Y56" s="1"/>
    </row>
    <row r="57" ht="12.75" customHeight="1">
      <c r="A57" s="8"/>
      <c r="B57" s="8"/>
      <c r="C57" s="8"/>
      <c r="D57" s="8"/>
      <c r="E57" s="8"/>
      <c r="F57" s="8"/>
      <c r="G57" s="334"/>
      <c r="H57" s="1"/>
      <c r="I57" s="212"/>
      <c r="J57" s="212"/>
      <c r="K57" s="335"/>
      <c r="L57" s="335"/>
      <c r="M57" s="335"/>
      <c r="N57" s="335"/>
      <c r="O57" s="335"/>
      <c r="P57" s="335"/>
      <c r="Q57" s="1"/>
      <c r="R57" s="1"/>
      <c r="S57" s="1"/>
      <c r="T57" s="1"/>
      <c r="U57" s="1"/>
      <c r="Y57" s="1"/>
    </row>
    <row r="58" ht="12.75" customHeight="1">
      <c r="A58" s="8"/>
      <c r="B58" s="8"/>
      <c r="C58" s="8"/>
      <c r="D58" s="8"/>
      <c r="E58" s="8"/>
      <c r="F58" s="8"/>
      <c r="G58" s="334"/>
      <c r="H58" s="1"/>
      <c r="I58" s="212"/>
      <c r="J58" s="212"/>
      <c r="K58" s="335"/>
      <c r="L58" s="335"/>
      <c r="M58" s="335"/>
      <c r="N58" s="335"/>
      <c r="O58" s="335"/>
      <c r="P58" s="335"/>
      <c r="Q58" s="1"/>
      <c r="R58" s="1"/>
      <c r="S58" s="1"/>
      <c r="T58" s="1"/>
      <c r="U58" s="1"/>
      <c r="Y58" s="1"/>
    </row>
    <row r="59" ht="12.75" customHeight="1">
      <c r="A59" s="8"/>
      <c r="B59" s="8"/>
      <c r="C59" s="8"/>
      <c r="D59" s="8"/>
      <c r="E59" s="8"/>
      <c r="F59" s="8"/>
      <c r="G59" s="334"/>
      <c r="H59" s="1"/>
      <c r="I59" s="212"/>
      <c r="J59" s="212"/>
      <c r="K59" s="335"/>
      <c r="L59" s="335"/>
      <c r="M59" s="335"/>
      <c r="N59" s="335"/>
      <c r="O59" s="335"/>
      <c r="P59" s="335"/>
      <c r="Q59" s="1"/>
      <c r="R59" s="1"/>
      <c r="S59" s="1"/>
      <c r="T59" s="1"/>
      <c r="U59" s="1"/>
      <c r="Y59" s="1"/>
    </row>
    <row r="60" ht="12.75" customHeight="1">
      <c r="A60" s="8"/>
      <c r="B60" s="8"/>
      <c r="C60" s="8"/>
      <c r="D60" s="8"/>
      <c r="E60" s="8"/>
      <c r="F60" s="8"/>
      <c r="G60" s="334"/>
      <c r="H60" s="1"/>
      <c r="I60" s="212"/>
      <c r="J60" s="212"/>
      <c r="K60" s="335"/>
      <c r="L60" s="335"/>
      <c r="M60" s="335"/>
      <c r="N60" s="335"/>
      <c r="O60" s="335"/>
      <c r="P60" s="335"/>
      <c r="Q60" s="1"/>
      <c r="R60" s="1"/>
      <c r="S60" s="1"/>
      <c r="T60" s="1"/>
      <c r="U60" s="1"/>
      <c r="Y60" s="1"/>
    </row>
    <row r="61" ht="12.75" customHeight="1">
      <c r="A61" s="8"/>
      <c r="B61" s="8"/>
      <c r="C61" s="8"/>
      <c r="D61" s="8"/>
      <c r="E61" s="8"/>
      <c r="F61" s="8"/>
      <c r="G61" s="334"/>
      <c r="H61" s="1"/>
      <c r="I61" s="212"/>
      <c r="J61" s="212"/>
      <c r="K61" s="335"/>
      <c r="L61" s="335"/>
      <c r="M61" s="335"/>
      <c r="N61" s="335"/>
      <c r="O61" s="335"/>
      <c r="P61" s="335"/>
      <c r="Q61" s="1"/>
      <c r="R61" s="1"/>
      <c r="S61" s="1"/>
      <c r="T61" s="1"/>
      <c r="U61" s="1"/>
      <c r="Y61" s="1"/>
    </row>
    <row r="62" ht="12.75" customHeight="1">
      <c r="A62" s="8"/>
      <c r="B62" s="8"/>
      <c r="C62" s="8"/>
      <c r="D62" s="8"/>
      <c r="E62" s="8"/>
      <c r="F62" s="8"/>
      <c r="G62" s="334"/>
      <c r="H62" s="1"/>
      <c r="I62" s="212"/>
      <c r="J62" s="212"/>
      <c r="K62" s="335"/>
      <c r="L62" s="335"/>
      <c r="M62" s="335"/>
      <c r="N62" s="335"/>
      <c r="O62" s="335"/>
      <c r="P62" s="335"/>
      <c r="Q62" s="1"/>
      <c r="R62" s="1"/>
      <c r="S62" s="1"/>
      <c r="T62" s="1"/>
      <c r="U62" s="1"/>
      <c r="Y62" s="1"/>
    </row>
    <row r="63" ht="12.75" customHeight="1">
      <c r="A63" s="8"/>
      <c r="B63" s="8"/>
      <c r="C63" s="8"/>
      <c r="D63" s="8"/>
      <c r="E63" s="8"/>
      <c r="F63" s="8"/>
      <c r="G63" s="334"/>
      <c r="H63" s="1"/>
      <c r="I63" s="212"/>
      <c r="J63" s="212"/>
      <c r="K63" s="335"/>
      <c r="L63" s="335"/>
      <c r="M63" s="335"/>
      <c r="N63" s="335"/>
      <c r="O63" s="335"/>
      <c r="P63" s="335"/>
      <c r="Q63" s="1"/>
      <c r="R63" s="1"/>
      <c r="S63" s="1"/>
      <c r="T63" s="1"/>
      <c r="U63" s="1"/>
      <c r="Y63" s="1"/>
    </row>
    <row r="64" ht="12.75" customHeight="1">
      <c r="A64" s="8"/>
      <c r="B64" s="8"/>
      <c r="C64" s="8"/>
      <c r="D64" s="8"/>
      <c r="E64" s="8"/>
      <c r="F64" s="8"/>
      <c r="G64" s="334"/>
      <c r="H64" s="1"/>
      <c r="I64" s="212"/>
      <c r="J64" s="212"/>
      <c r="K64" s="335"/>
      <c r="L64" s="335"/>
      <c r="M64" s="335"/>
      <c r="N64" s="335"/>
      <c r="O64" s="335"/>
      <c r="P64" s="335"/>
      <c r="Q64" s="1"/>
      <c r="R64" s="1"/>
      <c r="S64" s="1"/>
      <c r="T64" s="1"/>
      <c r="U64" s="1"/>
      <c r="Y64" s="1"/>
    </row>
    <row r="65" ht="12.75" customHeight="1">
      <c r="A65" s="8"/>
      <c r="B65" s="8"/>
      <c r="C65" s="8"/>
      <c r="D65" s="8"/>
      <c r="E65" s="8"/>
      <c r="F65" s="8"/>
      <c r="G65" s="334"/>
      <c r="H65" s="1"/>
      <c r="I65" s="212"/>
      <c r="J65" s="212"/>
      <c r="K65" s="335"/>
      <c r="L65" s="335"/>
      <c r="M65" s="335"/>
      <c r="N65" s="335"/>
      <c r="O65" s="335"/>
      <c r="P65" s="335"/>
      <c r="Q65" s="1"/>
      <c r="R65" s="1"/>
      <c r="S65" s="1"/>
      <c r="T65" s="1"/>
      <c r="U65" s="1"/>
      <c r="Y65" s="1"/>
    </row>
    <row r="66" ht="12.75" customHeight="1">
      <c r="A66" s="8"/>
      <c r="B66" s="8"/>
      <c r="C66" s="8"/>
      <c r="D66" s="8"/>
      <c r="E66" s="8"/>
      <c r="F66" s="8"/>
      <c r="G66" s="334"/>
      <c r="H66" s="1"/>
      <c r="I66" s="212"/>
      <c r="J66" s="212"/>
      <c r="K66" s="335"/>
      <c r="L66" s="335"/>
      <c r="M66" s="335"/>
      <c r="N66" s="335"/>
      <c r="O66" s="335"/>
      <c r="P66" s="335"/>
      <c r="Q66" s="1"/>
      <c r="R66" s="1"/>
      <c r="S66" s="1"/>
      <c r="T66" s="1"/>
      <c r="U66" s="1"/>
      <c r="Y66" s="1"/>
    </row>
    <row r="67" ht="12.75" customHeight="1">
      <c r="A67" s="8"/>
      <c r="B67" s="8"/>
      <c r="C67" s="8"/>
      <c r="D67" s="8"/>
      <c r="E67" s="8"/>
      <c r="F67" s="8"/>
      <c r="G67" s="334"/>
      <c r="H67" s="1"/>
      <c r="I67" s="212"/>
      <c r="J67" s="212"/>
      <c r="K67" s="335"/>
      <c r="L67" s="335"/>
      <c r="M67" s="335"/>
      <c r="N67" s="335"/>
      <c r="O67" s="335"/>
      <c r="P67" s="335"/>
      <c r="Q67" s="1"/>
      <c r="R67" s="1"/>
      <c r="S67" s="1"/>
      <c r="T67" s="1"/>
      <c r="U67" s="1"/>
      <c r="Y67" s="1"/>
    </row>
    <row r="68" ht="12.75" customHeight="1">
      <c r="A68" s="8"/>
      <c r="B68" s="8"/>
      <c r="C68" s="8"/>
      <c r="D68" s="8"/>
      <c r="E68" s="8"/>
      <c r="F68" s="8"/>
      <c r="G68" s="334"/>
      <c r="H68" s="1"/>
      <c r="I68" s="212"/>
      <c r="J68" s="212"/>
      <c r="K68" s="335"/>
      <c r="L68" s="335"/>
      <c r="M68" s="335"/>
      <c r="N68" s="335"/>
      <c r="O68" s="335"/>
      <c r="P68" s="335"/>
      <c r="Q68" s="1"/>
      <c r="R68" s="1"/>
      <c r="S68" s="1"/>
      <c r="T68" s="1"/>
      <c r="U68" s="1"/>
      <c r="Y68" s="1"/>
    </row>
    <row r="69" ht="12.75" customHeight="1">
      <c r="A69" s="8"/>
      <c r="B69" s="8"/>
      <c r="C69" s="8"/>
      <c r="D69" s="8"/>
      <c r="E69" s="8"/>
      <c r="F69" s="8"/>
      <c r="G69" s="334"/>
      <c r="H69" s="1"/>
      <c r="I69" s="212"/>
      <c r="J69" s="212"/>
      <c r="K69" s="335"/>
      <c r="L69" s="335"/>
      <c r="M69" s="335"/>
      <c r="N69" s="335"/>
      <c r="O69" s="335"/>
      <c r="P69" s="335"/>
      <c r="Q69" s="1"/>
      <c r="R69" s="1"/>
      <c r="S69" s="1"/>
      <c r="T69" s="1"/>
      <c r="U69" s="1"/>
      <c r="Y69" s="1"/>
    </row>
    <row r="70" ht="12.75" customHeight="1">
      <c r="A70" s="8"/>
      <c r="B70" s="8"/>
      <c r="C70" s="8"/>
      <c r="D70" s="8"/>
      <c r="E70" s="8"/>
      <c r="F70" s="8"/>
      <c r="G70" s="334"/>
      <c r="H70" s="1"/>
      <c r="I70" s="212"/>
      <c r="J70" s="212"/>
      <c r="K70" s="335"/>
      <c r="L70" s="335"/>
      <c r="M70" s="335"/>
      <c r="N70" s="335"/>
      <c r="O70" s="335"/>
      <c r="P70" s="335"/>
      <c r="Q70" s="1"/>
      <c r="R70" s="1"/>
      <c r="S70" s="1"/>
      <c r="T70" s="1"/>
      <c r="U70" s="1"/>
      <c r="Y70" s="1"/>
    </row>
    <row r="71" ht="12.75" customHeight="1">
      <c r="A71" s="8"/>
      <c r="B71" s="8"/>
      <c r="C71" s="8"/>
      <c r="D71" s="8"/>
      <c r="E71" s="8"/>
      <c r="F71" s="8"/>
      <c r="G71" s="334"/>
      <c r="H71" s="1"/>
      <c r="I71" s="212"/>
      <c r="J71" s="212"/>
      <c r="K71" s="335"/>
      <c r="L71" s="335"/>
      <c r="M71" s="335"/>
      <c r="N71" s="335"/>
      <c r="O71" s="335"/>
      <c r="P71" s="335"/>
      <c r="Q71" s="1"/>
      <c r="R71" s="1"/>
      <c r="S71" s="1"/>
      <c r="T71" s="1"/>
      <c r="U71" s="1"/>
      <c r="Y71" s="1"/>
    </row>
    <row r="72" ht="12.75" customHeight="1">
      <c r="A72" s="8"/>
      <c r="B72" s="8"/>
      <c r="C72" s="8"/>
      <c r="D72" s="8"/>
      <c r="E72" s="8"/>
      <c r="F72" s="8"/>
      <c r="G72" s="334"/>
      <c r="H72" s="1"/>
      <c r="I72" s="212"/>
      <c r="J72" s="212"/>
      <c r="K72" s="335"/>
      <c r="L72" s="335"/>
      <c r="M72" s="335"/>
      <c r="N72" s="335"/>
      <c r="O72" s="335"/>
      <c r="P72" s="335"/>
      <c r="Q72" s="1"/>
      <c r="R72" s="1"/>
      <c r="S72" s="1"/>
      <c r="T72" s="1"/>
      <c r="U72" s="1"/>
      <c r="Y72" s="1"/>
    </row>
    <row r="73" ht="12.75" customHeight="1">
      <c r="A73" s="8"/>
      <c r="B73" s="8"/>
      <c r="C73" s="8"/>
      <c r="D73" s="8"/>
      <c r="E73" s="8"/>
      <c r="F73" s="8"/>
      <c r="G73" s="334"/>
      <c r="H73" s="1"/>
      <c r="I73" s="212"/>
      <c r="J73" s="212"/>
      <c r="K73" s="335"/>
      <c r="L73" s="335"/>
      <c r="M73" s="335"/>
      <c r="N73" s="335"/>
      <c r="O73" s="335"/>
      <c r="P73" s="335"/>
      <c r="Q73" s="1"/>
      <c r="R73" s="1"/>
      <c r="S73" s="1"/>
      <c r="T73" s="1"/>
      <c r="U73" s="1"/>
      <c r="Y73" s="1"/>
    </row>
    <row r="74" ht="12.75" customHeight="1">
      <c r="A74" s="8"/>
      <c r="B74" s="8"/>
      <c r="C74" s="8"/>
      <c r="D74" s="8"/>
      <c r="E74" s="8"/>
      <c r="F74" s="8"/>
      <c r="G74" s="334"/>
      <c r="H74" s="1"/>
      <c r="I74" s="212"/>
      <c r="J74" s="212"/>
      <c r="K74" s="335"/>
      <c r="L74" s="335"/>
      <c r="M74" s="335"/>
      <c r="N74" s="335"/>
      <c r="O74" s="335"/>
      <c r="P74" s="335"/>
      <c r="Q74" s="1"/>
      <c r="R74" s="1"/>
      <c r="S74" s="1"/>
      <c r="T74" s="1"/>
      <c r="U74" s="1"/>
      <c r="Y74" s="1"/>
    </row>
    <row r="75" ht="12.75" customHeight="1">
      <c r="A75" s="8"/>
      <c r="B75" s="8"/>
      <c r="C75" s="8"/>
      <c r="D75" s="8"/>
      <c r="E75" s="8"/>
      <c r="F75" s="8"/>
      <c r="G75" s="334"/>
      <c r="H75" s="1"/>
      <c r="I75" s="212"/>
      <c r="J75" s="212"/>
      <c r="K75" s="335"/>
      <c r="L75" s="335"/>
      <c r="M75" s="335"/>
      <c r="N75" s="335"/>
      <c r="O75" s="335"/>
      <c r="P75" s="335"/>
      <c r="Q75" s="1"/>
      <c r="R75" s="1"/>
      <c r="S75" s="1"/>
      <c r="T75" s="1"/>
      <c r="U75" s="1"/>
      <c r="Y75" s="1"/>
    </row>
    <row r="76" ht="12.75" customHeight="1">
      <c r="A76" s="8"/>
      <c r="B76" s="8"/>
      <c r="C76" s="8"/>
      <c r="D76" s="8"/>
      <c r="E76" s="8"/>
      <c r="F76" s="8"/>
      <c r="G76" s="334"/>
      <c r="H76" s="1"/>
      <c r="I76" s="212"/>
      <c r="J76" s="212"/>
      <c r="K76" s="335"/>
      <c r="L76" s="335"/>
      <c r="M76" s="335"/>
      <c r="N76" s="335"/>
      <c r="O76" s="335"/>
      <c r="P76" s="335"/>
      <c r="Q76" s="1"/>
      <c r="R76" s="1"/>
      <c r="S76" s="1"/>
      <c r="T76" s="1"/>
      <c r="U76" s="1"/>
      <c r="Y76" s="1"/>
    </row>
    <row r="77" ht="12.75" customHeight="1">
      <c r="A77" s="8"/>
      <c r="B77" s="8"/>
      <c r="C77" s="8"/>
      <c r="D77" s="8"/>
      <c r="E77" s="8"/>
      <c r="F77" s="8"/>
      <c r="G77" s="334"/>
      <c r="H77" s="1"/>
      <c r="I77" s="212"/>
      <c r="J77" s="212"/>
      <c r="K77" s="335"/>
      <c r="L77" s="335"/>
      <c r="M77" s="335"/>
      <c r="N77" s="335"/>
      <c r="O77" s="335"/>
      <c r="P77" s="335"/>
      <c r="Q77" s="1"/>
      <c r="R77" s="1"/>
      <c r="S77" s="1"/>
      <c r="T77" s="1"/>
      <c r="U77" s="1"/>
      <c r="Y77" s="1"/>
    </row>
    <row r="78" ht="12.75" customHeight="1">
      <c r="A78" s="8"/>
      <c r="B78" s="8"/>
      <c r="C78" s="8"/>
      <c r="D78" s="8"/>
      <c r="E78" s="8"/>
      <c r="F78" s="8"/>
      <c r="G78" s="334"/>
      <c r="H78" s="1"/>
      <c r="I78" s="212"/>
      <c r="J78" s="212"/>
      <c r="K78" s="335"/>
      <c r="L78" s="335"/>
      <c r="M78" s="335"/>
      <c r="N78" s="335"/>
      <c r="O78" s="335"/>
      <c r="P78" s="335"/>
      <c r="Q78" s="1"/>
      <c r="R78" s="1"/>
      <c r="S78" s="1"/>
      <c r="T78" s="1"/>
      <c r="U78" s="1"/>
      <c r="Y78" s="1"/>
    </row>
    <row r="79" ht="12.75" customHeight="1">
      <c r="A79" s="8"/>
      <c r="B79" s="8"/>
      <c r="C79" s="8"/>
      <c r="D79" s="8"/>
      <c r="E79" s="8"/>
      <c r="F79" s="8"/>
      <c r="G79" s="334"/>
      <c r="H79" s="1"/>
      <c r="I79" s="212"/>
      <c r="J79" s="212"/>
      <c r="K79" s="335"/>
      <c r="L79" s="335"/>
      <c r="M79" s="335"/>
      <c r="N79" s="335"/>
      <c r="O79" s="335"/>
      <c r="P79" s="335"/>
      <c r="Q79" s="1"/>
      <c r="R79" s="1"/>
      <c r="S79" s="1"/>
      <c r="T79" s="1"/>
      <c r="U79" s="1"/>
      <c r="Y79" s="1"/>
    </row>
    <row r="80" ht="12.75" customHeight="1">
      <c r="A80" s="8"/>
      <c r="B80" s="8"/>
      <c r="C80" s="8"/>
      <c r="D80" s="8"/>
      <c r="E80" s="8"/>
      <c r="F80" s="8"/>
      <c r="G80" s="334"/>
      <c r="H80" s="1"/>
      <c r="I80" s="212"/>
      <c r="J80" s="212"/>
      <c r="K80" s="335"/>
      <c r="L80" s="335"/>
      <c r="M80" s="335"/>
      <c r="N80" s="335"/>
      <c r="O80" s="335"/>
      <c r="P80" s="335"/>
      <c r="Q80" s="1"/>
      <c r="R80" s="1"/>
      <c r="S80" s="1"/>
      <c r="T80" s="1"/>
      <c r="U80" s="1"/>
      <c r="Y80" s="1"/>
    </row>
    <row r="81" ht="12.75" customHeight="1">
      <c r="A81" s="8"/>
      <c r="B81" s="8"/>
      <c r="C81" s="8"/>
      <c r="D81" s="8"/>
      <c r="E81" s="8"/>
      <c r="F81" s="8"/>
      <c r="G81" s="334"/>
      <c r="H81" s="1"/>
      <c r="I81" s="212"/>
      <c r="J81" s="212"/>
      <c r="K81" s="335"/>
      <c r="L81" s="335"/>
      <c r="M81" s="335"/>
      <c r="N81" s="335"/>
      <c r="O81" s="335"/>
      <c r="P81" s="335"/>
      <c r="Q81" s="1"/>
      <c r="R81" s="1"/>
      <c r="S81" s="1"/>
      <c r="T81" s="1"/>
      <c r="U81" s="1"/>
      <c r="Y81" s="1"/>
    </row>
    <row r="82" ht="12.75" customHeight="1">
      <c r="A82" s="8"/>
      <c r="B82" s="8"/>
      <c r="C82" s="8"/>
      <c r="D82" s="8"/>
      <c r="E82" s="8"/>
      <c r="F82" s="8"/>
      <c r="G82" s="334"/>
      <c r="H82" s="1"/>
      <c r="I82" s="212"/>
      <c r="J82" s="212"/>
      <c r="K82" s="335"/>
      <c r="L82" s="335"/>
      <c r="M82" s="335"/>
      <c r="N82" s="335"/>
      <c r="O82" s="335"/>
      <c r="P82" s="335"/>
      <c r="Q82" s="1"/>
      <c r="R82" s="1"/>
      <c r="S82" s="1"/>
      <c r="T82" s="1"/>
      <c r="U82" s="1"/>
      <c r="Y82" s="1"/>
    </row>
    <row r="83" ht="12.75" customHeight="1">
      <c r="A83" s="8"/>
      <c r="B83" s="8"/>
      <c r="C83" s="8"/>
      <c r="D83" s="8"/>
      <c r="E83" s="8"/>
      <c r="F83" s="8"/>
      <c r="G83" s="334"/>
      <c r="H83" s="1"/>
      <c r="I83" s="212"/>
      <c r="J83" s="212"/>
      <c r="K83" s="335"/>
      <c r="L83" s="335"/>
      <c r="M83" s="335"/>
      <c r="N83" s="335"/>
      <c r="O83" s="335"/>
      <c r="P83" s="335"/>
      <c r="Q83" s="1"/>
      <c r="R83" s="1"/>
      <c r="S83" s="1"/>
      <c r="T83" s="1"/>
      <c r="U83" s="1"/>
      <c r="Y83" s="1"/>
    </row>
    <row r="84" ht="12.75" customHeight="1">
      <c r="A84" s="8"/>
      <c r="B84" s="8"/>
      <c r="C84" s="8"/>
      <c r="D84" s="8"/>
      <c r="E84" s="8"/>
      <c r="F84" s="8"/>
      <c r="G84" s="334"/>
      <c r="H84" s="1"/>
      <c r="I84" s="212"/>
      <c r="J84" s="212"/>
      <c r="K84" s="335"/>
      <c r="L84" s="335"/>
      <c r="M84" s="335"/>
      <c r="N84" s="335"/>
      <c r="O84" s="335"/>
      <c r="P84" s="335"/>
      <c r="Q84" s="1"/>
      <c r="R84" s="1"/>
      <c r="S84" s="1"/>
      <c r="T84" s="1"/>
      <c r="U84" s="1"/>
      <c r="Y84" s="1"/>
    </row>
    <row r="85" ht="12.75" customHeight="1">
      <c r="A85" s="8"/>
      <c r="B85" s="8"/>
      <c r="C85" s="8"/>
      <c r="D85" s="8"/>
      <c r="E85" s="8"/>
      <c r="F85" s="8"/>
      <c r="G85" s="334"/>
      <c r="H85" s="1"/>
      <c r="I85" s="212"/>
      <c r="J85" s="212"/>
      <c r="K85" s="335"/>
      <c r="L85" s="335"/>
      <c r="M85" s="335"/>
      <c r="N85" s="335"/>
      <c r="O85" s="335"/>
      <c r="P85" s="335"/>
      <c r="Q85" s="1"/>
      <c r="R85" s="1"/>
      <c r="S85" s="1"/>
      <c r="T85" s="1"/>
      <c r="U85" s="1"/>
      <c r="Y85" s="1"/>
    </row>
    <row r="86" ht="12.75" customHeight="1">
      <c r="A86" s="8"/>
      <c r="B86" s="8"/>
      <c r="C86" s="8"/>
      <c r="D86" s="8"/>
      <c r="E86" s="8"/>
      <c r="F86" s="8"/>
      <c r="G86" s="334"/>
      <c r="H86" s="1"/>
      <c r="I86" s="212"/>
      <c r="J86" s="212"/>
      <c r="K86" s="335"/>
      <c r="L86" s="335"/>
      <c r="M86" s="335"/>
      <c r="N86" s="335"/>
      <c r="O86" s="335"/>
      <c r="P86" s="335"/>
      <c r="Q86" s="1"/>
      <c r="R86" s="1"/>
      <c r="S86" s="1"/>
      <c r="T86" s="1"/>
      <c r="U86" s="1"/>
      <c r="Y86" s="1"/>
    </row>
    <row r="87" ht="12.75" customHeight="1">
      <c r="A87" s="8"/>
      <c r="B87" s="8"/>
      <c r="C87" s="8"/>
      <c r="D87" s="8"/>
      <c r="E87" s="8"/>
      <c r="F87" s="8"/>
      <c r="G87" s="334"/>
      <c r="H87" s="1"/>
      <c r="I87" s="212"/>
      <c r="J87" s="212"/>
      <c r="K87" s="335"/>
      <c r="L87" s="335"/>
      <c r="M87" s="335"/>
      <c r="N87" s="335"/>
      <c r="O87" s="335"/>
      <c r="P87" s="335"/>
      <c r="Q87" s="1"/>
      <c r="R87" s="1"/>
      <c r="S87" s="1"/>
      <c r="T87" s="1"/>
      <c r="U87" s="1"/>
      <c r="Y87" s="1"/>
    </row>
    <row r="88" ht="12.75" customHeight="1">
      <c r="A88" s="8"/>
      <c r="B88" s="8"/>
      <c r="C88" s="8"/>
      <c r="D88" s="8"/>
      <c r="E88" s="8"/>
      <c r="F88" s="8"/>
      <c r="G88" s="334"/>
      <c r="H88" s="1"/>
      <c r="I88" s="212"/>
      <c r="J88" s="212"/>
      <c r="K88" s="335"/>
      <c r="L88" s="335"/>
      <c r="M88" s="335"/>
      <c r="N88" s="335"/>
      <c r="O88" s="335"/>
      <c r="P88" s="335"/>
      <c r="Q88" s="1"/>
      <c r="R88" s="1"/>
      <c r="S88" s="1"/>
      <c r="T88" s="1"/>
      <c r="U88" s="1"/>
      <c r="Y88" s="1"/>
    </row>
    <row r="89" ht="12.75" customHeight="1">
      <c r="A89" s="8"/>
      <c r="B89" s="8"/>
      <c r="C89" s="8"/>
      <c r="D89" s="8"/>
      <c r="E89" s="8"/>
      <c r="F89" s="8"/>
      <c r="G89" s="334"/>
      <c r="H89" s="1"/>
      <c r="I89" s="212"/>
      <c r="J89" s="212"/>
      <c r="K89" s="335"/>
      <c r="L89" s="335"/>
      <c r="M89" s="335"/>
      <c r="N89" s="335"/>
      <c r="O89" s="335"/>
      <c r="P89" s="335"/>
      <c r="Q89" s="1"/>
      <c r="R89" s="1"/>
      <c r="S89" s="1"/>
      <c r="T89" s="1"/>
      <c r="U89" s="1"/>
      <c r="Y89" s="1"/>
    </row>
    <row r="90" ht="12.75" customHeight="1">
      <c r="A90" s="8"/>
      <c r="B90" s="8"/>
      <c r="C90" s="8"/>
      <c r="D90" s="8"/>
      <c r="E90" s="8"/>
      <c r="F90" s="8"/>
      <c r="G90" s="334"/>
      <c r="H90" s="1"/>
      <c r="I90" s="212"/>
      <c r="J90" s="212"/>
      <c r="K90" s="335"/>
      <c r="L90" s="335"/>
      <c r="M90" s="335"/>
      <c r="N90" s="335"/>
      <c r="O90" s="335"/>
      <c r="P90" s="335"/>
      <c r="Q90" s="1"/>
      <c r="R90" s="1"/>
      <c r="S90" s="1"/>
      <c r="T90" s="1"/>
      <c r="U90" s="1"/>
      <c r="Y90" s="1"/>
    </row>
    <row r="91" ht="12.75" customHeight="1">
      <c r="A91" s="8"/>
      <c r="B91" s="8"/>
      <c r="C91" s="8"/>
      <c r="D91" s="8"/>
      <c r="E91" s="8"/>
      <c r="F91" s="8"/>
      <c r="G91" s="334"/>
      <c r="H91" s="1"/>
      <c r="I91" s="212"/>
      <c r="J91" s="212"/>
      <c r="K91" s="335"/>
      <c r="L91" s="335"/>
      <c r="M91" s="335"/>
      <c r="N91" s="335"/>
      <c r="O91" s="335"/>
      <c r="P91" s="335"/>
      <c r="Q91" s="1"/>
      <c r="R91" s="1"/>
      <c r="S91" s="1"/>
      <c r="T91" s="1"/>
      <c r="U91" s="1"/>
      <c r="Y91" s="1"/>
    </row>
    <row r="92" ht="12.75" customHeight="1">
      <c r="A92" s="8"/>
      <c r="B92" s="8"/>
      <c r="C92" s="8"/>
      <c r="D92" s="8"/>
      <c r="E92" s="8"/>
      <c r="F92" s="8"/>
      <c r="G92" s="334"/>
      <c r="H92" s="1"/>
      <c r="I92" s="212"/>
      <c r="J92" s="212"/>
      <c r="K92" s="335"/>
      <c r="L92" s="335"/>
      <c r="M92" s="335"/>
      <c r="N92" s="335"/>
      <c r="O92" s="335"/>
      <c r="P92" s="335"/>
      <c r="Q92" s="1"/>
      <c r="R92" s="1"/>
      <c r="S92" s="1"/>
      <c r="T92" s="1"/>
      <c r="U92" s="1"/>
      <c r="Y92" s="1"/>
    </row>
    <row r="93" ht="12.75" customHeight="1">
      <c r="A93" s="8"/>
      <c r="B93" s="8"/>
      <c r="C93" s="8"/>
      <c r="D93" s="8"/>
      <c r="E93" s="8"/>
      <c r="F93" s="8"/>
      <c r="G93" s="334"/>
      <c r="H93" s="1"/>
      <c r="I93" s="212"/>
      <c r="J93" s="212"/>
      <c r="K93" s="335"/>
      <c r="L93" s="335"/>
      <c r="M93" s="335"/>
      <c r="N93" s="335"/>
      <c r="O93" s="335"/>
      <c r="P93" s="335"/>
      <c r="Q93" s="1"/>
      <c r="R93" s="1"/>
      <c r="S93" s="1"/>
      <c r="T93" s="1"/>
      <c r="U93" s="1"/>
      <c r="Y93" s="1"/>
    </row>
    <row r="94" ht="12.75" customHeight="1">
      <c r="A94" s="8"/>
      <c r="B94" s="8"/>
      <c r="C94" s="8"/>
      <c r="D94" s="8"/>
      <c r="E94" s="8"/>
      <c r="F94" s="8"/>
      <c r="G94" s="334"/>
      <c r="H94" s="1"/>
      <c r="I94" s="212"/>
      <c r="J94" s="212"/>
      <c r="K94" s="335"/>
      <c r="L94" s="335"/>
      <c r="M94" s="335"/>
      <c r="N94" s="335"/>
      <c r="O94" s="335"/>
      <c r="P94" s="335"/>
      <c r="Q94" s="1"/>
      <c r="R94" s="1"/>
      <c r="S94" s="1"/>
      <c r="T94" s="1"/>
      <c r="U94" s="1"/>
      <c r="Y94" s="1"/>
    </row>
    <row r="95" ht="12.75" customHeight="1">
      <c r="A95" s="8"/>
      <c r="B95" s="8"/>
      <c r="C95" s="8"/>
      <c r="D95" s="8"/>
      <c r="E95" s="8"/>
      <c r="F95" s="8"/>
      <c r="G95" s="334"/>
      <c r="H95" s="1"/>
      <c r="I95" s="212"/>
      <c r="J95" s="212"/>
      <c r="K95" s="335"/>
      <c r="L95" s="335"/>
      <c r="M95" s="335"/>
      <c r="N95" s="335"/>
      <c r="O95" s="335"/>
      <c r="P95" s="335"/>
      <c r="Q95" s="1"/>
      <c r="R95" s="1"/>
      <c r="S95" s="1"/>
      <c r="T95" s="1"/>
      <c r="U95" s="1"/>
      <c r="Y95" s="1"/>
    </row>
    <row r="96" ht="12.75" customHeight="1">
      <c r="A96" s="8"/>
      <c r="B96" s="8"/>
      <c r="C96" s="8"/>
      <c r="D96" s="8"/>
      <c r="E96" s="8"/>
      <c r="F96" s="8"/>
      <c r="G96" s="334"/>
      <c r="H96" s="1"/>
      <c r="I96" s="212"/>
      <c r="J96" s="212"/>
      <c r="K96" s="335"/>
      <c r="L96" s="335"/>
      <c r="M96" s="335"/>
      <c r="N96" s="335"/>
      <c r="O96" s="335"/>
      <c r="P96" s="335"/>
      <c r="Q96" s="1"/>
      <c r="R96" s="1"/>
      <c r="S96" s="1"/>
      <c r="T96" s="1"/>
      <c r="U96" s="1"/>
      <c r="Y96" s="1"/>
    </row>
    <row r="97" ht="12.75" customHeight="1">
      <c r="A97" s="8"/>
      <c r="B97" s="8"/>
      <c r="C97" s="8"/>
      <c r="D97" s="8"/>
      <c r="E97" s="8"/>
      <c r="F97" s="8"/>
      <c r="G97" s="334"/>
      <c r="H97" s="1"/>
      <c r="I97" s="212"/>
      <c r="J97" s="212"/>
      <c r="K97" s="335"/>
      <c r="L97" s="335"/>
      <c r="M97" s="335"/>
      <c r="N97" s="335"/>
      <c r="O97" s="335"/>
      <c r="P97" s="335"/>
      <c r="Q97" s="1"/>
      <c r="R97" s="1"/>
      <c r="S97" s="1"/>
      <c r="T97" s="1"/>
      <c r="U97" s="1"/>
      <c r="Y97" s="1"/>
    </row>
    <row r="98" ht="12.75" customHeight="1">
      <c r="A98" s="8"/>
      <c r="B98" s="8"/>
      <c r="C98" s="8"/>
      <c r="D98" s="8"/>
      <c r="E98" s="8"/>
      <c r="F98" s="8"/>
      <c r="G98" s="334"/>
      <c r="H98" s="1"/>
      <c r="I98" s="212"/>
      <c r="J98" s="212"/>
      <c r="K98" s="335"/>
      <c r="L98" s="335"/>
      <c r="M98" s="335"/>
      <c r="N98" s="335"/>
      <c r="O98" s="335"/>
      <c r="P98" s="335"/>
      <c r="Q98" s="1"/>
      <c r="R98" s="1"/>
      <c r="S98" s="1"/>
      <c r="T98" s="1"/>
      <c r="U98" s="1"/>
      <c r="Y98" s="1"/>
    </row>
    <row r="99" ht="12.75" customHeight="1">
      <c r="A99" s="8"/>
      <c r="B99" s="8"/>
      <c r="C99" s="8"/>
      <c r="D99" s="8"/>
      <c r="E99" s="8"/>
      <c r="F99" s="8"/>
      <c r="G99" s="334"/>
      <c r="H99" s="1"/>
      <c r="I99" s="212"/>
      <c r="J99" s="212"/>
      <c r="K99" s="335"/>
      <c r="L99" s="335"/>
      <c r="M99" s="335"/>
      <c r="N99" s="335"/>
      <c r="O99" s="335"/>
      <c r="P99" s="335"/>
      <c r="Q99" s="1"/>
      <c r="R99" s="1"/>
      <c r="S99" s="1"/>
      <c r="T99" s="1"/>
      <c r="U99" s="1"/>
      <c r="Y99" s="1"/>
    </row>
    <row r="100" ht="12.75" customHeight="1">
      <c r="A100" s="8"/>
      <c r="B100" s="8"/>
      <c r="C100" s="8"/>
      <c r="D100" s="8"/>
      <c r="E100" s="8"/>
      <c r="F100" s="8"/>
      <c r="G100" s="334"/>
      <c r="H100" s="1"/>
      <c r="I100" s="212"/>
      <c r="J100" s="212"/>
      <c r="K100" s="335"/>
      <c r="L100" s="335"/>
      <c r="M100" s="335"/>
      <c r="N100" s="335"/>
      <c r="O100" s="335"/>
      <c r="P100" s="335"/>
      <c r="Q100" s="1"/>
      <c r="R100" s="1"/>
      <c r="S100" s="1"/>
      <c r="T100" s="1"/>
      <c r="U100" s="1"/>
      <c r="Y100" s="1"/>
    </row>
    <row r="101" ht="12.75" customHeight="1">
      <c r="A101" s="8"/>
      <c r="B101" s="8"/>
      <c r="C101" s="8"/>
      <c r="D101" s="8"/>
      <c r="E101" s="8"/>
      <c r="F101" s="8"/>
      <c r="G101" s="334"/>
      <c r="H101" s="1"/>
      <c r="I101" s="212"/>
      <c r="J101" s="212"/>
      <c r="K101" s="335"/>
      <c r="L101" s="335"/>
      <c r="M101" s="335"/>
      <c r="N101" s="335"/>
      <c r="O101" s="335"/>
      <c r="P101" s="335"/>
      <c r="Q101" s="1"/>
      <c r="R101" s="1"/>
      <c r="S101" s="1"/>
      <c r="T101" s="1"/>
      <c r="U101" s="1"/>
      <c r="Y101" s="1"/>
    </row>
    <row r="102" ht="12.75" customHeight="1">
      <c r="A102" s="8"/>
      <c r="B102" s="8"/>
      <c r="C102" s="8"/>
      <c r="D102" s="8"/>
      <c r="E102" s="8"/>
      <c r="F102" s="8"/>
      <c r="G102" s="334"/>
      <c r="H102" s="1"/>
      <c r="I102" s="212"/>
      <c r="J102" s="212"/>
      <c r="K102" s="335"/>
      <c r="L102" s="335"/>
      <c r="M102" s="335"/>
      <c r="N102" s="335"/>
      <c r="O102" s="335"/>
      <c r="P102" s="335"/>
      <c r="Q102" s="1"/>
      <c r="R102" s="1"/>
      <c r="S102" s="1"/>
      <c r="T102" s="1"/>
      <c r="U102" s="1"/>
      <c r="Y102" s="1"/>
    </row>
    <row r="103" ht="12.75" customHeight="1">
      <c r="A103" s="8"/>
      <c r="B103" s="8"/>
      <c r="C103" s="8"/>
      <c r="D103" s="8"/>
      <c r="E103" s="8"/>
      <c r="F103" s="8"/>
      <c r="G103" s="334"/>
      <c r="H103" s="1"/>
      <c r="I103" s="212"/>
      <c r="J103" s="212"/>
      <c r="K103" s="335"/>
      <c r="L103" s="335"/>
      <c r="M103" s="335"/>
      <c r="N103" s="335"/>
      <c r="O103" s="335"/>
      <c r="P103" s="335"/>
      <c r="Q103" s="1"/>
      <c r="R103" s="1"/>
      <c r="S103" s="1"/>
      <c r="T103" s="1"/>
      <c r="U103" s="1"/>
      <c r="Y103" s="1"/>
    </row>
    <row r="104" ht="12.75" customHeight="1">
      <c r="A104" s="8"/>
      <c r="B104" s="8"/>
      <c r="C104" s="8"/>
      <c r="D104" s="8"/>
      <c r="E104" s="8"/>
      <c r="F104" s="8"/>
      <c r="G104" s="334"/>
      <c r="H104" s="1"/>
      <c r="I104" s="212"/>
      <c r="J104" s="212"/>
      <c r="K104" s="335"/>
      <c r="L104" s="335"/>
      <c r="M104" s="335"/>
      <c r="N104" s="335"/>
      <c r="O104" s="335"/>
      <c r="P104" s="335"/>
      <c r="Q104" s="1"/>
      <c r="R104" s="1"/>
      <c r="S104" s="1"/>
      <c r="T104" s="1"/>
      <c r="U104" s="1"/>
      <c r="Y104" s="1"/>
    </row>
    <row r="105" ht="12.75" customHeight="1">
      <c r="A105" s="8"/>
      <c r="B105" s="8"/>
      <c r="C105" s="8"/>
      <c r="D105" s="8"/>
      <c r="E105" s="8"/>
      <c r="F105" s="8"/>
      <c r="G105" s="334"/>
      <c r="H105" s="1"/>
      <c r="I105" s="212"/>
      <c r="J105" s="212"/>
      <c r="K105" s="335"/>
      <c r="L105" s="335"/>
      <c r="M105" s="335"/>
      <c r="N105" s="335"/>
      <c r="O105" s="335"/>
      <c r="P105" s="335"/>
      <c r="Q105" s="1"/>
      <c r="R105" s="1"/>
      <c r="S105" s="1"/>
      <c r="T105" s="1"/>
      <c r="U105" s="1"/>
      <c r="Y105" s="1"/>
    </row>
    <row r="106" ht="12.75" customHeight="1">
      <c r="A106" s="8"/>
      <c r="B106" s="8"/>
      <c r="C106" s="8"/>
      <c r="D106" s="8"/>
      <c r="E106" s="8"/>
      <c r="F106" s="8"/>
      <c r="G106" s="334"/>
      <c r="H106" s="1"/>
      <c r="I106" s="212"/>
      <c r="J106" s="212"/>
      <c r="K106" s="335"/>
      <c r="L106" s="335"/>
      <c r="M106" s="335"/>
      <c r="N106" s="335"/>
      <c r="O106" s="335"/>
      <c r="P106" s="335"/>
      <c r="Q106" s="1"/>
      <c r="R106" s="1"/>
      <c r="S106" s="1"/>
      <c r="T106" s="1"/>
      <c r="U106" s="1"/>
      <c r="Y106" s="1"/>
    </row>
    <row r="107" ht="12.75" customHeight="1">
      <c r="A107" s="8"/>
      <c r="B107" s="8"/>
      <c r="C107" s="8"/>
      <c r="D107" s="8"/>
      <c r="E107" s="8"/>
      <c r="F107" s="8"/>
      <c r="G107" s="334"/>
      <c r="H107" s="1"/>
      <c r="I107" s="212"/>
      <c r="J107" s="212"/>
      <c r="K107" s="335"/>
      <c r="L107" s="335"/>
      <c r="M107" s="335"/>
      <c r="N107" s="335"/>
      <c r="O107" s="335"/>
      <c r="P107" s="335"/>
      <c r="Q107" s="1"/>
      <c r="R107" s="1"/>
      <c r="S107" s="1"/>
      <c r="T107" s="1"/>
      <c r="U107" s="1"/>
      <c r="Y107" s="1"/>
    </row>
    <row r="108" ht="12.75" customHeight="1">
      <c r="A108" s="8"/>
      <c r="B108" s="8"/>
      <c r="C108" s="8"/>
      <c r="D108" s="8"/>
      <c r="E108" s="8"/>
      <c r="F108" s="8"/>
      <c r="G108" s="334"/>
      <c r="H108" s="1"/>
      <c r="I108" s="212"/>
      <c r="J108" s="212"/>
      <c r="K108" s="335"/>
      <c r="L108" s="335"/>
      <c r="M108" s="335"/>
      <c r="N108" s="335"/>
      <c r="O108" s="335"/>
      <c r="P108" s="335"/>
      <c r="Q108" s="1"/>
      <c r="R108" s="1"/>
      <c r="S108" s="1"/>
      <c r="T108" s="1"/>
      <c r="U108" s="1"/>
      <c r="Y108" s="1"/>
    </row>
    <row r="109" ht="12.75" customHeight="1">
      <c r="A109" s="8"/>
      <c r="B109" s="8"/>
      <c r="C109" s="8"/>
      <c r="D109" s="8"/>
      <c r="E109" s="8"/>
      <c r="F109" s="8"/>
      <c r="G109" s="334"/>
      <c r="H109" s="1"/>
      <c r="I109" s="212"/>
      <c r="J109" s="212"/>
      <c r="K109" s="335"/>
      <c r="L109" s="335"/>
      <c r="M109" s="335"/>
      <c r="N109" s="335"/>
      <c r="O109" s="335"/>
      <c r="P109" s="335"/>
      <c r="Q109" s="1"/>
      <c r="R109" s="1"/>
      <c r="S109" s="1"/>
      <c r="T109" s="1"/>
      <c r="U109" s="1"/>
      <c r="Y109" s="1"/>
    </row>
    <row r="110" ht="12.75" customHeight="1">
      <c r="A110" s="8"/>
      <c r="B110" s="8"/>
      <c r="C110" s="8"/>
      <c r="D110" s="8"/>
      <c r="E110" s="8"/>
      <c r="F110" s="8"/>
      <c r="G110" s="334"/>
      <c r="H110" s="1"/>
      <c r="I110" s="212"/>
      <c r="J110" s="212"/>
      <c r="K110" s="335"/>
      <c r="L110" s="335"/>
      <c r="M110" s="335"/>
      <c r="N110" s="335"/>
      <c r="O110" s="335"/>
      <c r="P110" s="335"/>
      <c r="Q110" s="1"/>
      <c r="R110" s="1"/>
      <c r="S110" s="1"/>
      <c r="T110" s="1"/>
      <c r="U110" s="1"/>
      <c r="Y110" s="1"/>
    </row>
    <row r="111" ht="12.75" customHeight="1">
      <c r="A111" s="8"/>
      <c r="B111" s="8"/>
      <c r="C111" s="8"/>
      <c r="D111" s="8"/>
      <c r="E111" s="8"/>
      <c r="F111" s="8"/>
      <c r="G111" s="334"/>
      <c r="H111" s="1"/>
      <c r="I111" s="212"/>
      <c r="J111" s="212"/>
      <c r="K111" s="335"/>
      <c r="L111" s="335"/>
      <c r="M111" s="335"/>
      <c r="N111" s="335"/>
      <c r="O111" s="335"/>
      <c r="P111" s="335"/>
      <c r="Q111" s="1"/>
      <c r="R111" s="1"/>
      <c r="S111" s="1"/>
      <c r="T111" s="1"/>
      <c r="U111" s="1"/>
      <c r="Y111" s="1"/>
    </row>
    <row r="112" ht="12.75" customHeight="1">
      <c r="A112" s="8"/>
      <c r="B112" s="8"/>
      <c r="C112" s="8"/>
      <c r="D112" s="8"/>
      <c r="E112" s="8"/>
      <c r="F112" s="8"/>
      <c r="G112" s="334"/>
      <c r="H112" s="1"/>
      <c r="I112" s="212"/>
      <c r="J112" s="212"/>
      <c r="K112" s="335"/>
      <c r="L112" s="335"/>
      <c r="M112" s="335"/>
      <c r="N112" s="335"/>
      <c r="O112" s="335"/>
      <c r="P112" s="335"/>
      <c r="Q112" s="1"/>
      <c r="R112" s="1"/>
      <c r="S112" s="1"/>
      <c r="T112" s="1"/>
      <c r="U112" s="1"/>
      <c r="Y112" s="1"/>
    </row>
    <row r="113" ht="12.75" customHeight="1">
      <c r="A113" s="8"/>
      <c r="B113" s="8"/>
      <c r="C113" s="8"/>
      <c r="D113" s="8"/>
      <c r="E113" s="8"/>
      <c r="F113" s="8"/>
      <c r="G113" s="334"/>
      <c r="H113" s="1"/>
      <c r="I113" s="212"/>
      <c r="J113" s="212"/>
      <c r="K113" s="335"/>
      <c r="L113" s="335"/>
      <c r="M113" s="335"/>
      <c r="N113" s="335"/>
      <c r="O113" s="335"/>
      <c r="P113" s="335"/>
      <c r="Q113" s="1"/>
      <c r="R113" s="1"/>
      <c r="S113" s="1"/>
      <c r="T113" s="1"/>
      <c r="U113" s="1"/>
      <c r="Y113" s="1"/>
    </row>
    <row r="114" ht="12.75" customHeight="1">
      <c r="A114" s="8"/>
      <c r="B114" s="8"/>
      <c r="C114" s="8"/>
      <c r="D114" s="8"/>
      <c r="E114" s="8"/>
      <c r="F114" s="8"/>
      <c r="G114" s="334"/>
      <c r="H114" s="1"/>
      <c r="I114" s="212"/>
      <c r="J114" s="212"/>
      <c r="K114" s="335"/>
      <c r="L114" s="335"/>
      <c r="M114" s="335"/>
      <c r="N114" s="335"/>
      <c r="O114" s="335"/>
      <c r="P114" s="335"/>
      <c r="Q114" s="1"/>
      <c r="R114" s="1"/>
      <c r="S114" s="1"/>
      <c r="T114" s="1"/>
      <c r="U114" s="1"/>
      <c r="Y114" s="1"/>
    </row>
    <row r="115" ht="12.75" customHeight="1">
      <c r="A115" s="8"/>
      <c r="B115" s="8"/>
      <c r="C115" s="8"/>
      <c r="D115" s="8"/>
      <c r="E115" s="8"/>
      <c r="F115" s="8"/>
      <c r="G115" s="334"/>
      <c r="H115" s="1"/>
      <c r="I115" s="212"/>
      <c r="J115" s="212"/>
      <c r="K115" s="335"/>
      <c r="L115" s="335"/>
      <c r="M115" s="335"/>
      <c r="N115" s="335"/>
      <c r="O115" s="335"/>
      <c r="P115" s="335"/>
      <c r="Q115" s="1"/>
      <c r="R115" s="1"/>
      <c r="S115" s="1"/>
      <c r="T115" s="1"/>
      <c r="U115" s="1"/>
      <c r="Y115" s="1"/>
    </row>
    <row r="116" ht="12.75" customHeight="1">
      <c r="A116" s="8"/>
      <c r="B116" s="8"/>
      <c r="C116" s="8"/>
      <c r="D116" s="8"/>
      <c r="E116" s="8"/>
      <c r="F116" s="8"/>
      <c r="G116" s="334"/>
      <c r="H116" s="1"/>
      <c r="I116" s="212"/>
      <c r="J116" s="212"/>
      <c r="K116" s="335"/>
      <c r="L116" s="335"/>
      <c r="M116" s="335"/>
      <c r="N116" s="335"/>
      <c r="O116" s="335"/>
      <c r="P116" s="335"/>
      <c r="Q116" s="1"/>
      <c r="R116" s="1"/>
      <c r="S116" s="1"/>
      <c r="T116" s="1"/>
      <c r="U116" s="1"/>
      <c r="Y116" s="1"/>
    </row>
    <row r="117" ht="12.75" customHeight="1">
      <c r="A117" s="8"/>
      <c r="B117" s="8"/>
      <c r="C117" s="8"/>
      <c r="D117" s="8"/>
      <c r="E117" s="8"/>
      <c r="F117" s="8"/>
      <c r="G117" s="334"/>
      <c r="H117" s="1"/>
      <c r="I117" s="212"/>
      <c r="J117" s="212"/>
      <c r="K117" s="335"/>
      <c r="L117" s="335"/>
      <c r="M117" s="335"/>
      <c r="N117" s="335"/>
      <c r="O117" s="335"/>
      <c r="P117" s="335"/>
      <c r="Q117" s="1"/>
      <c r="R117" s="1"/>
      <c r="S117" s="1"/>
      <c r="T117" s="1"/>
      <c r="U117" s="1"/>
      <c r="Y117" s="1"/>
    </row>
    <row r="118" ht="12.75" customHeight="1">
      <c r="A118" s="8"/>
      <c r="B118" s="8"/>
      <c r="C118" s="8"/>
      <c r="D118" s="8"/>
      <c r="E118" s="8"/>
      <c r="F118" s="8"/>
      <c r="G118" s="334"/>
      <c r="H118" s="1"/>
      <c r="I118" s="212"/>
      <c r="J118" s="212"/>
      <c r="K118" s="335"/>
      <c r="L118" s="335"/>
      <c r="M118" s="335"/>
      <c r="N118" s="335"/>
      <c r="O118" s="335"/>
      <c r="P118" s="335"/>
      <c r="Q118" s="1"/>
      <c r="R118" s="1"/>
      <c r="S118" s="1"/>
      <c r="T118" s="1"/>
      <c r="U118" s="1"/>
      <c r="Y118" s="1"/>
    </row>
    <row r="119" ht="12.75" customHeight="1">
      <c r="A119" s="8"/>
      <c r="B119" s="8"/>
      <c r="C119" s="8"/>
      <c r="D119" s="8"/>
      <c r="E119" s="8"/>
      <c r="F119" s="8"/>
      <c r="G119" s="334"/>
      <c r="H119" s="1"/>
      <c r="I119" s="212"/>
      <c r="J119" s="212"/>
      <c r="K119" s="335"/>
      <c r="L119" s="335"/>
      <c r="M119" s="335"/>
      <c r="N119" s="335"/>
      <c r="O119" s="335"/>
      <c r="P119" s="335"/>
      <c r="Q119" s="1"/>
      <c r="R119" s="1"/>
      <c r="S119" s="1"/>
      <c r="T119" s="1"/>
      <c r="U119" s="1"/>
      <c r="Y119" s="1"/>
    </row>
    <row r="120" ht="12.75" customHeight="1">
      <c r="A120" s="8"/>
      <c r="B120" s="8"/>
      <c r="C120" s="8"/>
      <c r="D120" s="8"/>
      <c r="E120" s="8"/>
      <c r="F120" s="8"/>
      <c r="G120" s="334"/>
      <c r="H120" s="1"/>
      <c r="I120" s="212"/>
      <c r="J120" s="212"/>
      <c r="K120" s="335"/>
      <c r="L120" s="335"/>
      <c r="M120" s="335"/>
      <c r="N120" s="335"/>
      <c r="O120" s="335"/>
      <c r="P120" s="335"/>
      <c r="Q120" s="1"/>
      <c r="R120" s="1"/>
      <c r="S120" s="1"/>
      <c r="T120" s="1"/>
      <c r="U120" s="1"/>
      <c r="Y120" s="1"/>
    </row>
    <row r="121" ht="12.75" customHeight="1">
      <c r="A121" s="8"/>
      <c r="B121" s="8"/>
      <c r="C121" s="8"/>
      <c r="D121" s="8"/>
      <c r="E121" s="8"/>
      <c r="F121" s="8"/>
      <c r="G121" s="334"/>
      <c r="H121" s="1"/>
      <c r="I121" s="212"/>
      <c r="J121" s="212"/>
      <c r="K121" s="335"/>
      <c r="L121" s="335"/>
      <c r="M121" s="335"/>
      <c r="N121" s="335"/>
      <c r="O121" s="335"/>
      <c r="P121" s="335"/>
      <c r="Q121" s="1"/>
      <c r="R121" s="1"/>
      <c r="S121" s="1"/>
      <c r="T121" s="1"/>
      <c r="U121" s="1"/>
      <c r="Y121" s="1"/>
    </row>
    <row r="122" ht="12.75" customHeight="1">
      <c r="A122" s="8"/>
      <c r="B122" s="8"/>
      <c r="C122" s="8"/>
      <c r="D122" s="8"/>
      <c r="E122" s="8"/>
      <c r="F122" s="8"/>
      <c r="G122" s="334"/>
      <c r="H122" s="1"/>
      <c r="I122" s="212"/>
      <c r="J122" s="212"/>
      <c r="K122" s="335"/>
      <c r="L122" s="335"/>
      <c r="M122" s="335"/>
      <c r="N122" s="335"/>
      <c r="O122" s="335"/>
      <c r="P122" s="335"/>
      <c r="Q122" s="1"/>
      <c r="R122" s="1"/>
      <c r="S122" s="1"/>
      <c r="T122" s="1"/>
      <c r="U122" s="1"/>
      <c r="Y122" s="1"/>
    </row>
    <row r="123" ht="12.75" customHeight="1">
      <c r="A123" s="8"/>
      <c r="B123" s="8"/>
      <c r="C123" s="8"/>
      <c r="D123" s="8"/>
      <c r="E123" s="8"/>
      <c r="F123" s="8"/>
      <c r="G123" s="334"/>
      <c r="H123" s="1"/>
      <c r="I123" s="212"/>
      <c r="J123" s="212"/>
      <c r="K123" s="335"/>
      <c r="L123" s="335"/>
      <c r="M123" s="335"/>
      <c r="N123" s="335"/>
      <c r="O123" s="335"/>
      <c r="P123" s="335"/>
      <c r="Q123" s="1"/>
      <c r="R123" s="1"/>
      <c r="S123" s="1"/>
      <c r="T123" s="1"/>
      <c r="U123" s="1"/>
      <c r="Y123" s="1"/>
    </row>
    <row r="124" ht="12.75" customHeight="1">
      <c r="A124" s="8"/>
      <c r="B124" s="8"/>
      <c r="C124" s="8"/>
      <c r="D124" s="8"/>
      <c r="E124" s="8"/>
      <c r="F124" s="8"/>
      <c r="G124" s="334"/>
      <c r="H124" s="1"/>
      <c r="I124" s="212"/>
      <c r="J124" s="212"/>
      <c r="K124" s="335"/>
      <c r="L124" s="335"/>
      <c r="M124" s="335"/>
      <c r="N124" s="335"/>
      <c r="O124" s="335"/>
      <c r="P124" s="335"/>
      <c r="Q124" s="1"/>
      <c r="R124" s="1"/>
      <c r="S124" s="1"/>
      <c r="T124" s="1"/>
      <c r="U124" s="1"/>
      <c r="Y124" s="1"/>
    </row>
    <row r="125" ht="12.75" customHeight="1">
      <c r="A125" s="8"/>
      <c r="B125" s="8"/>
      <c r="C125" s="8"/>
      <c r="D125" s="8"/>
      <c r="E125" s="8"/>
      <c r="F125" s="8"/>
      <c r="G125" s="334"/>
      <c r="H125" s="1"/>
      <c r="I125" s="212"/>
      <c r="J125" s="212"/>
      <c r="K125" s="335"/>
      <c r="L125" s="335"/>
      <c r="M125" s="335"/>
      <c r="N125" s="335"/>
      <c r="O125" s="335"/>
      <c r="P125" s="335"/>
      <c r="Q125" s="1"/>
      <c r="R125" s="1"/>
      <c r="S125" s="1"/>
      <c r="T125" s="1"/>
      <c r="U125" s="1"/>
      <c r="Y125" s="1"/>
    </row>
    <row r="126" ht="12.75" customHeight="1">
      <c r="A126" s="8"/>
      <c r="B126" s="8"/>
      <c r="C126" s="8"/>
      <c r="D126" s="8"/>
      <c r="E126" s="8"/>
      <c r="F126" s="8"/>
      <c r="G126" s="334"/>
      <c r="H126" s="1"/>
      <c r="I126" s="212"/>
      <c r="J126" s="212"/>
      <c r="K126" s="335"/>
      <c r="L126" s="335"/>
      <c r="M126" s="335"/>
      <c r="N126" s="335"/>
      <c r="O126" s="335"/>
      <c r="P126" s="335"/>
      <c r="Q126" s="1"/>
      <c r="R126" s="1"/>
      <c r="S126" s="1"/>
      <c r="T126" s="1"/>
      <c r="U126" s="1"/>
      <c r="Y126" s="1"/>
    </row>
    <row r="127" ht="12.75" customHeight="1">
      <c r="A127" s="8"/>
      <c r="B127" s="8"/>
      <c r="C127" s="8"/>
      <c r="D127" s="8"/>
      <c r="E127" s="8"/>
      <c r="F127" s="8"/>
      <c r="G127" s="334"/>
      <c r="H127" s="1"/>
      <c r="I127" s="212"/>
      <c r="J127" s="212"/>
      <c r="K127" s="335"/>
      <c r="L127" s="335"/>
      <c r="M127" s="335"/>
      <c r="N127" s="335"/>
      <c r="O127" s="335"/>
      <c r="P127" s="335"/>
      <c r="Q127" s="1"/>
      <c r="R127" s="1"/>
      <c r="S127" s="1"/>
      <c r="T127" s="1"/>
      <c r="U127" s="1"/>
      <c r="Y127" s="1"/>
    </row>
    <row r="128" ht="12.75" customHeight="1">
      <c r="A128" s="8"/>
      <c r="B128" s="8"/>
      <c r="C128" s="8"/>
      <c r="D128" s="8"/>
      <c r="E128" s="8"/>
      <c r="F128" s="8"/>
      <c r="G128" s="334"/>
      <c r="H128" s="1"/>
      <c r="I128" s="212"/>
      <c r="J128" s="212"/>
      <c r="K128" s="335"/>
      <c r="L128" s="335"/>
      <c r="M128" s="335"/>
      <c r="N128" s="335"/>
      <c r="O128" s="335"/>
      <c r="P128" s="335"/>
      <c r="Q128" s="1"/>
      <c r="R128" s="1"/>
      <c r="S128" s="1"/>
      <c r="T128" s="1"/>
      <c r="U128" s="1"/>
      <c r="Y128" s="1"/>
    </row>
    <row r="129" ht="12.75" customHeight="1">
      <c r="A129" s="8"/>
      <c r="B129" s="8"/>
      <c r="C129" s="8"/>
      <c r="D129" s="8"/>
      <c r="E129" s="8"/>
      <c r="F129" s="8"/>
      <c r="G129" s="334"/>
      <c r="H129" s="1"/>
      <c r="I129" s="212"/>
      <c r="J129" s="212"/>
      <c r="K129" s="335"/>
      <c r="L129" s="335"/>
      <c r="M129" s="335"/>
      <c r="N129" s="335"/>
      <c r="O129" s="335"/>
      <c r="P129" s="335"/>
      <c r="Q129" s="1"/>
      <c r="R129" s="1"/>
      <c r="S129" s="1"/>
      <c r="T129" s="1"/>
      <c r="U129" s="1"/>
      <c r="Y129" s="1"/>
    </row>
    <row r="130" ht="12.75" customHeight="1">
      <c r="A130" s="8"/>
      <c r="B130" s="8"/>
      <c r="C130" s="8"/>
      <c r="D130" s="8"/>
      <c r="E130" s="8"/>
      <c r="F130" s="8"/>
      <c r="G130" s="334"/>
      <c r="H130" s="1"/>
      <c r="I130" s="212"/>
      <c r="J130" s="212"/>
      <c r="K130" s="335"/>
      <c r="L130" s="335"/>
      <c r="M130" s="335"/>
      <c r="N130" s="335"/>
      <c r="O130" s="335"/>
      <c r="P130" s="335"/>
      <c r="Q130" s="1"/>
      <c r="R130" s="1"/>
      <c r="S130" s="1"/>
      <c r="T130" s="1"/>
      <c r="U130" s="1"/>
      <c r="Y130" s="1"/>
    </row>
    <row r="131" ht="12.75" customHeight="1">
      <c r="A131" s="8"/>
      <c r="B131" s="8"/>
      <c r="C131" s="8"/>
      <c r="D131" s="8"/>
      <c r="E131" s="8"/>
      <c r="F131" s="8"/>
      <c r="G131" s="334"/>
      <c r="H131" s="1"/>
      <c r="I131" s="212"/>
      <c r="J131" s="212"/>
      <c r="K131" s="335"/>
      <c r="L131" s="335"/>
      <c r="M131" s="335"/>
      <c r="N131" s="335"/>
      <c r="O131" s="335"/>
      <c r="P131" s="335"/>
      <c r="Q131" s="1"/>
      <c r="R131" s="1"/>
      <c r="S131" s="1"/>
      <c r="T131" s="1"/>
      <c r="U131" s="1"/>
      <c r="Y131" s="1"/>
    </row>
    <row r="132" ht="12.75" customHeight="1">
      <c r="A132" s="8"/>
      <c r="B132" s="8"/>
      <c r="C132" s="8"/>
      <c r="D132" s="8"/>
      <c r="E132" s="8"/>
      <c r="F132" s="8"/>
      <c r="G132" s="334"/>
      <c r="H132" s="1"/>
      <c r="I132" s="212"/>
      <c r="J132" s="212"/>
      <c r="K132" s="335"/>
      <c r="L132" s="335"/>
      <c r="M132" s="335"/>
      <c r="N132" s="335"/>
      <c r="O132" s="335"/>
      <c r="P132" s="335"/>
      <c r="Q132" s="1"/>
      <c r="R132" s="1"/>
      <c r="S132" s="1"/>
      <c r="T132" s="1"/>
      <c r="U132" s="1"/>
      <c r="Y132" s="1"/>
    </row>
    <row r="133" ht="12.75" customHeight="1">
      <c r="A133" s="8"/>
      <c r="B133" s="8"/>
      <c r="C133" s="8"/>
      <c r="D133" s="8"/>
      <c r="E133" s="8"/>
      <c r="F133" s="8"/>
      <c r="G133" s="334"/>
      <c r="H133" s="1"/>
      <c r="I133" s="212"/>
      <c r="J133" s="212"/>
      <c r="K133" s="335"/>
      <c r="L133" s="335"/>
      <c r="M133" s="335"/>
      <c r="N133" s="335"/>
      <c r="O133" s="335"/>
      <c r="P133" s="335"/>
      <c r="Q133" s="1"/>
      <c r="R133" s="1"/>
      <c r="S133" s="1"/>
      <c r="T133" s="1"/>
      <c r="U133" s="1"/>
      <c r="Y133" s="1"/>
    </row>
    <row r="134" ht="12.75" customHeight="1">
      <c r="A134" s="8"/>
      <c r="B134" s="8"/>
      <c r="C134" s="8"/>
      <c r="D134" s="8"/>
      <c r="E134" s="8"/>
      <c r="F134" s="8"/>
      <c r="G134" s="334"/>
      <c r="H134" s="1"/>
      <c r="I134" s="212"/>
      <c r="J134" s="212"/>
      <c r="K134" s="335"/>
      <c r="L134" s="335"/>
      <c r="M134" s="335"/>
      <c r="N134" s="335"/>
      <c r="O134" s="335"/>
      <c r="P134" s="335"/>
      <c r="Q134" s="1"/>
      <c r="R134" s="1"/>
      <c r="S134" s="1"/>
      <c r="T134" s="1"/>
      <c r="U134" s="1"/>
      <c r="Y134" s="1"/>
    </row>
    <row r="135" ht="12.75" customHeight="1">
      <c r="A135" s="8"/>
      <c r="B135" s="8"/>
      <c r="C135" s="8"/>
      <c r="D135" s="8"/>
      <c r="E135" s="8"/>
      <c r="F135" s="8"/>
      <c r="G135" s="334"/>
      <c r="H135" s="1"/>
      <c r="I135" s="212"/>
      <c r="J135" s="212"/>
      <c r="K135" s="335"/>
      <c r="L135" s="335"/>
      <c r="M135" s="335"/>
      <c r="N135" s="335"/>
      <c r="O135" s="335"/>
      <c r="P135" s="335"/>
      <c r="Q135" s="1"/>
      <c r="R135" s="1"/>
      <c r="S135" s="1"/>
      <c r="T135" s="1"/>
      <c r="U135" s="1"/>
      <c r="Y135" s="1"/>
    </row>
    <row r="136" ht="12.75" customHeight="1">
      <c r="A136" s="8"/>
      <c r="B136" s="8"/>
      <c r="C136" s="8"/>
      <c r="D136" s="8"/>
      <c r="E136" s="8"/>
      <c r="F136" s="8"/>
      <c r="G136" s="334"/>
      <c r="H136" s="1"/>
      <c r="I136" s="212"/>
      <c r="J136" s="212"/>
      <c r="K136" s="335"/>
      <c r="L136" s="335"/>
      <c r="M136" s="335"/>
      <c r="N136" s="335"/>
      <c r="O136" s="335"/>
      <c r="P136" s="335"/>
      <c r="Q136" s="1"/>
      <c r="R136" s="1"/>
      <c r="S136" s="1"/>
      <c r="T136" s="1"/>
      <c r="U136" s="1"/>
      <c r="Y136" s="1"/>
    </row>
    <row r="137" ht="12.75" customHeight="1">
      <c r="A137" s="8"/>
      <c r="B137" s="8"/>
      <c r="C137" s="8"/>
      <c r="D137" s="8"/>
      <c r="E137" s="8"/>
      <c r="F137" s="8"/>
      <c r="G137" s="334"/>
      <c r="H137" s="1"/>
      <c r="I137" s="212"/>
      <c r="J137" s="212"/>
      <c r="K137" s="335"/>
      <c r="L137" s="335"/>
      <c r="M137" s="335"/>
      <c r="N137" s="335"/>
      <c r="O137" s="335"/>
      <c r="P137" s="335"/>
      <c r="Q137" s="1"/>
      <c r="R137" s="1"/>
      <c r="S137" s="1"/>
      <c r="T137" s="1"/>
      <c r="U137" s="1"/>
      <c r="Y137" s="1"/>
    </row>
    <row r="138" ht="12.75" customHeight="1">
      <c r="A138" s="8"/>
      <c r="B138" s="8"/>
      <c r="C138" s="8"/>
      <c r="D138" s="8"/>
      <c r="E138" s="8"/>
      <c r="F138" s="8"/>
      <c r="G138" s="334"/>
      <c r="H138" s="1"/>
      <c r="I138" s="212"/>
      <c r="J138" s="212"/>
      <c r="K138" s="335"/>
      <c r="L138" s="335"/>
      <c r="M138" s="335"/>
      <c r="N138" s="335"/>
      <c r="O138" s="335"/>
      <c r="P138" s="335"/>
      <c r="Q138" s="1"/>
      <c r="R138" s="1"/>
      <c r="S138" s="1"/>
      <c r="T138" s="1"/>
      <c r="U138" s="1"/>
      <c r="Y138" s="1"/>
    </row>
    <row r="139" ht="12.75" customHeight="1">
      <c r="A139" s="8"/>
      <c r="B139" s="8"/>
      <c r="C139" s="8"/>
      <c r="D139" s="8"/>
      <c r="E139" s="8"/>
      <c r="F139" s="8"/>
      <c r="G139" s="334"/>
      <c r="H139" s="1"/>
      <c r="I139" s="212"/>
      <c r="J139" s="336"/>
      <c r="K139" s="337"/>
      <c r="L139" s="335"/>
      <c r="M139" s="335"/>
      <c r="N139" s="335"/>
      <c r="O139" s="335"/>
      <c r="P139" s="335"/>
      <c r="Q139" s="1"/>
      <c r="R139" s="1"/>
      <c r="S139" s="1"/>
      <c r="T139" s="1"/>
      <c r="U139" s="1"/>
      <c r="Y139" s="1"/>
    </row>
    <row r="140" ht="12.75" customHeight="1">
      <c r="A140" s="8"/>
      <c r="B140" s="8"/>
      <c r="C140" s="8"/>
      <c r="D140" s="8"/>
      <c r="E140" s="8"/>
      <c r="F140" s="8"/>
      <c r="G140" s="334"/>
      <c r="H140" s="1"/>
      <c r="I140" s="212"/>
      <c r="J140" s="336"/>
      <c r="K140" s="337"/>
      <c r="L140" s="335"/>
      <c r="M140" s="335"/>
      <c r="N140" s="335"/>
      <c r="O140" s="335"/>
      <c r="P140" s="335"/>
      <c r="Q140" s="1"/>
      <c r="R140" s="1"/>
      <c r="S140" s="1"/>
      <c r="T140" s="1"/>
      <c r="U140" s="1"/>
      <c r="Y140" s="1"/>
    </row>
    <row r="141" ht="12.75" customHeight="1">
      <c r="A141" s="8"/>
      <c r="B141" s="8"/>
      <c r="C141" s="8"/>
      <c r="D141" s="8"/>
      <c r="E141" s="8"/>
      <c r="F141" s="8"/>
      <c r="G141" s="334"/>
      <c r="H141" s="1"/>
      <c r="I141" s="212"/>
      <c r="J141" s="336"/>
      <c r="K141" s="337"/>
      <c r="L141" s="335"/>
      <c r="M141" s="335"/>
      <c r="N141" s="335"/>
      <c r="O141" s="335"/>
      <c r="P141" s="335"/>
      <c r="Q141" s="1"/>
      <c r="R141" s="1"/>
      <c r="S141" s="1"/>
      <c r="T141" s="1"/>
      <c r="U141" s="1"/>
      <c r="Y141" s="1"/>
    </row>
    <row r="142" ht="12.75" customHeight="1">
      <c r="A142" s="8"/>
      <c r="B142" s="8"/>
      <c r="C142" s="8"/>
      <c r="D142" s="8"/>
      <c r="E142" s="8"/>
      <c r="F142" s="8"/>
      <c r="G142" s="334"/>
      <c r="H142" s="1"/>
      <c r="I142" s="212"/>
      <c r="J142" s="336"/>
      <c r="K142" s="337"/>
      <c r="L142" s="335"/>
      <c r="M142" s="335"/>
      <c r="N142" s="335"/>
      <c r="O142" s="335"/>
      <c r="P142" s="335"/>
      <c r="Q142" s="1"/>
      <c r="R142" s="1"/>
      <c r="S142" s="1"/>
      <c r="T142" s="1"/>
      <c r="U142" s="1"/>
      <c r="Y142" s="1"/>
    </row>
    <row r="143" ht="12.75" customHeight="1">
      <c r="A143" s="8"/>
      <c r="B143" s="8"/>
      <c r="C143" s="8"/>
      <c r="D143" s="8"/>
      <c r="E143" s="8"/>
      <c r="F143" s="8"/>
      <c r="G143" s="334"/>
      <c r="H143" s="1"/>
      <c r="I143" s="212"/>
      <c r="J143" s="336"/>
      <c r="K143" s="337"/>
      <c r="L143" s="335"/>
      <c r="M143" s="335"/>
      <c r="N143" s="335"/>
      <c r="O143" s="335"/>
      <c r="P143" s="335"/>
      <c r="Q143" s="1"/>
      <c r="R143" s="1"/>
      <c r="S143" s="1"/>
      <c r="T143" s="1"/>
      <c r="U143" s="1"/>
      <c r="Y143" s="1"/>
    </row>
    <row r="144" ht="12.75" customHeight="1">
      <c r="A144" s="8"/>
      <c r="B144" s="8"/>
      <c r="C144" s="8"/>
      <c r="D144" s="8"/>
      <c r="E144" s="8"/>
      <c r="F144" s="8"/>
      <c r="G144" s="334"/>
      <c r="H144" s="1"/>
      <c r="I144" s="212"/>
      <c r="J144" s="336"/>
      <c r="K144" s="337"/>
      <c r="L144" s="335"/>
      <c r="M144" s="335"/>
      <c r="N144" s="335"/>
      <c r="O144" s="335"/>
      <c r="P144" s="335"/>
      <c r="Q144" s="1"/>
      <c r="R144" s="1"/>
      <c r="S144" s="1"/>
      <c r="T144" s="1"/>
      <c r="U144" s="1"/>
      <c r="Y144" s="1"/>
    </row>
    <row r="145" ht="12.75" customHeight="1">
      <c r="A145" s="8"/>
      <c r="B145" s="8"/>
      <c r="C145" s="8"/>
      <c r="D145" s="8"/>
      <c r="E145" s="8"/>
      <c r="F145" s="8"/>
      <c r="G145" s="334"/>
      <c r="H145" s="1"/>
      <c r="I145" s="212"/>
      <c r="J145" s="336"/>
      <c r="K145" s="337"/>
      <c r="L145" s="335"/>
      <c r="M145" s="335"/>
      <c r="N145" s="335"/>
      <c r="O145" s="335"/>
      <c r="P145" s="335"/>
      <c r="Q145" s="1"/>
      <c r="R145" s="1"/>
      <c r="S145" s="1"/>
      <c r="T145" s="1"/>
      <c r="U145" s="1"/>
      <c r="Y145" s="1"/>
    </row>
    <row r="146" ht="12.75" customHeight="1">
      <c r="A146" s="8"/>
      <c r="B146" s="8"/>
      <c r="C146" s="8"/>
      <c r="D146" s="8"/>
      <c r="E146" s="8"/>
      <c r="F146" s="8"/>
      <c r="G146" s="334"/>
      <c r="H146" s="1"/>
      <c r="I146" s="212"/>
      <c r="J146" s="336"/>
      <c r="K146" s="337"/>
      <c r="L146" s="335"/>
      <c r="M146" s="335"/>
      <c r="N146" s="335"/>
      <c r="O146" s="335"/>
      <c r="P146" s="335"/>
      <c r="Q146" s="1"/>
      <c r="R146" s="1"/>
      <c r="S146" s="1"/>
      <c r="T146" s="1"/>
      <c r="U146" s="1"/>
      <c r="Y146" s="1"/>
    </row>
    <row r="147" ht="12.75" customHeight="1">
      <c r="A147" s="8"/>
      <c r="B147" s="8"/>
      <c r="C147" s="8"/>
      <c r="D147" s="8"/>
      <c r="E147" s="8"/>
      <c r="F147" s="8"/>
      <c r="G147" s="334"/>
      <c r="H147" s="1"/>
      <c r="I147" s="212"/>
      <c r="J147" s="212"/>
      <c r="K147" s="335"/>
      <c r="L147" s="335"/>
      <c r="M147" s="335"/>
      <c r="N147" s="335"/>
      <c r="O147" s="335"/>
      <c r="P147" s="335"/>
      <c r="Q147" s="1"/>
      <c r="R147" s="1"/>
      <c r="S147" s="1"/>
      <c r="T147" s="1"/>
      <c r="U147" s="1"/>
      <c r="Y147" s="1"/>
    </row>
    <row r="148" ht="12.75" customHeight="1">
      <c r="A148" s="8"/>
      <c r="B148" s="8"/>
      <c r="C148" s="8"/>
      <c r="D148" s="8"/>
      <c r="E148" s="8"/>
      <c r="F148" s="8"/>
      <c r="G148" s="334"/>
      <c r="H148" s="1"/>
      <c r="I148" s="212"/>
      <c r="J148" s="212"/>
      <c r="K148" s="335"/>
      <c r="L148" s="335"/>
      <c r="M148" s="335"/>
      <c r="N148" s="335"/>
      <c r="O148" s="335"/>
      <c r="P148" s="335"/>
      <c r="Q148" s="1"/>
      <c r="R148" s="1"/>
      <c r="S148" s="1"/>
      <c r="T148" s="1"/>
      <c r="U148" s="1"/>
      <c r="Y148" s="1"/>
    </row>
    <row r="149" ht="12.75" customHeight="1">
      <c r="A149" s="8"/>
      <c r="B149" s="8"/>
      <c r="C149" s="8"/>
      <c r="D149" s="8"/>
      <c r="E149" s="8"/>
      <c r="F149" s="8"/>
      <c r="G149" s="334"/>
      <c r="H149" s="1"/>
      <c r="I149" s="212"/>
      <c r="J149" s="212"/>
      <c r="K149" s="335"/>
      <c r="L149" s="335"/>
      <c r="M149" s="335"/>
      <c r="N149" s="335"/>
      <c r="O149" s="335"/>
      <c r="P149" s="335"/>
      <c r="Q149" s="1"/>
      <c r="R149" s="1"/>
      <c r="S149" s="1"/>
      <c r="T149" s="1"/>
      <c r="U149" s="1"/>
      <c r="Y149" s="1"/>
    </row>
    <row r="150" ht="12.75" customHeight="1">
      <c r="A150" s="8"/>
      <c r="B150" s="8"/>
      <c r="C150" s="8"/>
      <c r="D150" s="8"/>
      <c r="E150" s="8"/>
      <c r="F150" s="8"/>
      <c r="G150" s="334"/>
      <c r="H150" s="1"/>
      <c r="I150" s="212"/>
      <c r="J150" s="212"/>
      <c r="K150" s="335"/>
      <c r="L150" s="335"/>
      <c r="M150" s="335"/>
      <c r="N150" s="335"/>
      <c r="O150" s="335"/>
      <c r="P150" s="335"/>
      <c r="Q150" s="1"/>
      <c r="R150" s="1"/>
      <c r="S150" s="1"/>
      <c r="T150" s="1"/>
      <c r="U150" s="1"/>
      <c r="Y150" s="1"/>
    </row>
    <row r="151" ht="12.75" customHeight="1">
      <c r="A151" s="8"/>
      <c r="B151" s="8"/>
      <c r="C151" s="8"/>
      <c r="D151" s="8"/>
      <c r="E151" s="8"/>
      <c r="F151" s="8"/>
      <c r="G151" s="334"/>
      <c r="H151" s="1"/>
      <c r="I151" s="212"/>
      <c r="J151" s="212"/>
      <c r="K151" s="335"/>
      <c r="L151" s="335"/>
      <c r="M151" s="335"/>
      <c r="N151" s="335"/>
      <c r="O151" s="335"/>
      <c r="P151" s="335"/>
      <c r="Q151" s="1"/>
      <c r="R151" s="1"/>
      <c r="S151" s="1"/>
      <c r="T151" s="1"/>
      <c r="U151" s="1"/>
      <c r="Y151" s="1"/>
    </row>
    <row r="152" ht="12.75" customHeight="1">
      <c r="A152" s="8"/>
      <c r="B152" s="8"/>
      <c r="C152" s="8"/>
      <c r="D152" s="8"/>
      <c r="E152" s="8"/>
      <c r="F152" s="8"/>
      <c r="G152" s="334"/>
      <c r="H152" s="1"/>
      <c r="I152" s="212"/>
      <c r="J152" s="212"/>
      <c r="K152" s="335"/>
      <c r="L152" s="335"/>
      <c r="M152" s="335"/>
      <c r="N152" s="335"/>
      <c r="O152" s="335"/>
      <c r="P152" s="335"/>
      <c r="Q152" s="1"/>
      <c r="R152" s="1"/>
      <c r="S152" s="1"/>
      <c r="T152" s="1"/>
      <c r="U152" s="1"/>
      <c r="Y152" s="1"/>
    </row>
    <row r="153" ht="12.75" customHeight="1">
      <c r="A153" s="8"/>
      <c r="B153" s="8"/>
      <c r="C153" s="8"/>
      <c r="D153" s="8"/>
      <c r="E153" s="8"/>
      <c r="F153" s="8"/>
      <c r="G153" s="334"/>
      <c r="H153" s="1"/>
      <c r="I153" s="212"/>
      <c r="J153" s="212"/>
      <c r="K153" s="335"/>
      <c r="L153" s="335"/>
      <c r="M153" s="335"/>
      <c r="N153" s="335"/>
      <c r="O153" s="335"/>
      <c r="P153" s="335"/>
      <c r="Q153" s="1"/>
      <c r="R153" s="1"/>
      <c r="S153" s="1"/>
      <c r="T153" s="1"/>
      <c r="U153" s="1"/>
      <c r="Y153" s="1"/>
    </row>
    <row r="154" ht="12.75" customHeight="1">
      <c r="A154" s="8"/>
      <c r="B154" s="8"/>
      <c r="C154" s="8"/>
      <c r="D154" s="8"/>
      <c r="E154" s="8"/>
      <c r="F154" s="8"/>
      <c r="G154" s="334"/>
      <c r="H154" s="1"/>
      <c r="I154" s="212"/>
      <c r="J154" s="212"/>
      <c r="K154" s="335"/>
      <c r="L154" s="335"/>
      <c r="M154" s="335"/>
      <c r="N154" s="335"/>
      <c r="O154" s="335"/>
      <c r="P154" s="335"/>
      <c r="Q154" s="1"/>
      <c r="R154" s="1"/>
      <c r="S154" s="1"/>
      <c r="T154" s="1"/>
      <c r="U154" s="1"/>
      <c r="Y154" s="1"/>
    </row>
    <row r="155" ht="12.75" customHeight="1">
      <c r="A155" s="8"/>
      <c r="B155" s="8"/>
      <c r="C155" s="8"/>
      <c r="D155" s="8"/>
      <c r="E155" s="8"/>
      <c r="F155" s="8"/>
      <c r="G155" s="334"/>
      <c r="H155" s="1"/>
      <c r="I155" s="212"/>
      <c r="J155" s="212"/>
      <c r="K155" s="335"/>
      <c r="L155" s="335"/>
      <c r="M155" s="335"/>
      <c r="N155" s="335"/>
      <c r="O155" s="335"/>
      <c r="P155" s="335"/>
      <c r="Q155" s="1"/>
      <c r="R155" s="1"/>
      <c r="S155" s="1"/>
      <c r="T155" s="1"/>
      <c r="U155" s="1"/>
      <c r="Y155" s="1"/>
    </row>
    <row r="156" ht="12.75" customHeight="1">
      <c r="A156" s="8"/>
      <c r="B156" s="8"/>
      <c r="C156" s="8"/>
      <c r="D156" s="8"/>
      <c r="E156" s="8"/>
      <c r="F156" s="8"/>
      <c r="G156" s="334"/>
      <c r="H156" s="1"/>
      <c r="I156" s="212"/>
      <c r="J156" s="212"/>
      <c r="K156" s="335"/>
      <c r="L156" s="335"/>
      <c r="M156" s="335"/>
      <c r="N156" s="335"/>
      <c r="O156" s="335"/>
      <c r="P156" s="335"/>
      <c r="Q156" s="1"/>
      <c r="R156" s="1"/>
      <c r="S156" s="1"/>
      <c r="T156" s="1"/>
      <c r="U156" s="1"/>
      <c r="Y156" s="1"/>
    </row>
    <row r="157" ht="12.75" customHeight="1">
      <c r="A157" s="8"/>
      <c r="B157" s="8"/>
      <c r="C157" s="8"/>
      <c r="D157" s="8"/>
      <c r="E157" s="8"/>
      <c r="F157" s="8"/>
      <c r="G157" s="334"/>
      <c r="H157" s="1"/>
      <c r="I157" s="212"/>
      <c r="J157" s="212"/>
      <c r="K157" s="335"/>
      <c r="L157" s="335"/>
      <c r="M157" s="335"/>
      <c r="N157" s="335"/>
      <c r="O157" s="335"/>
      <c r="P157" s="335"/>
      <c r="Q157" s="1"/>
      <c r="R157" s="1"/>
      <c r="S157" s="1"/>
      <c r="T157" s="1"/>
      <c r="U157" s="1"/>
      <c r="Y157" s="1"/>
    </row>
    <row r="158" ht="12.75" customHeight="1">
      <c r="A158" s="8"/>
      <c r="B158" s="8"/>
      <c r="C158" s="8"/>
      <c r="D158" s="8"/>
      <c r="E158" s="8"/>
      <c r="F158" s="8"/>
      <c r="G158" s="334"/>
      <c r="H158" s="1"/>
      <c r="I158" s="212"/>
      <c r="J158" s="212"/>
      <c r="K158" s="335"/>
      <c r="L158" s="335"/>
      <c r="M158" s="335"/>
      <c r="N158" s="335"/>
      <c r="O158" s="335"/>
      <c r="P158" s="335"/>
      <c r="Q158" s="1"/>
      <c r="R158" s="1"/>
      <c r="S158" s="1"/>
      <c r="T158" s="1"/>
      <c r="U158" s="1"/>
      <c r="Y158" s="1"/>
    </row>
    <row r="159" ht="12.75" customHeight="1">
      <c r="A159" s="8"/>
      <c r="B159" s="8"/>
      <c r="C159" s="8"/>
      <c r="D159" s="8"/>
      <c r="E159" s="8"/>
      <c r="F159" s="8"/>
      <c r="G159" s="334"/>
      <c r="H159" s="1"/>
      <c r="I159" s="212"/>
      <c r="J159" s="212"/>
      <c r="K159" s="335"/>
      <c r="L159" s="335"/>
      <c r="M159" s="335"/>
      <c r="N159" s="335"/>
      <c r="O159" s="335"/>
      <c r="P159" s="335"/>
      <c r="Q159" s="1"/>
      <c r="R159" s="1"/>
      <c r="S159" s="1"/>
      <c r="T159" s="1"/>
      <c r="U159" s="1"/>
      <c r="Y159" s="1"/>
    </row>
    <row r="160" ht="12.75" customHeight="1">
      <c r="A160" s="8"/>
      <c r="B160" s="8"/>
      <c r="C160" s="8"/>
      <c r="D160" s="8"/>
      <c r="E160" s="8"/>
      <c r="F160" s="8"/>
      <c r="G160" s="334"/>
      <c r="H160" s="1"/>
      <c r="I160" s="212"/>
      <c r="J160" s="212"/>
      <c r="K160" s="335"/>
      <c r="L160" s="335"/>
      <c r="M160" s="335"/>
      <c r="N160" s="335"/>
      <c r="O160" s="335"/>
      <c r="P160" s="335"/>
      <c r="Q160" s="1"/>
      <c r="R160" s="1"/>
      <c r="S160" s="1"/>
      <c r="T160" s="1"/>
      <c r="U160" s="1"/>
      <c r="Y160" s="1"/>
    </row>
    <row r="161" ht="12.75" customHeight="1">
      <c r="A161" s="8"/>
      <c r="B161" s="8"/>
      <c r="C161" s="8"/>
      <c r="D161" s="8"/>
      <c r="E161" s="8"/>
      <c r="F161" s="8"/>
      <c r="G161" s="334"/>
      <c r="H161" s="1"/>
      <c r="I161" s="212"/>
      <c r="J161" s="212"/>
      <c r="K161" s="335"/>
      <c r="L161" s="335"/>
      <c r="M161" s="335"/>
      <c r="N161" s="335"/>
      <c r="O161" s="335"/>
      <c r="P161" s="335"/>
      <c r="Q161" s="1"/>
      <c r="R161" s="1"/>
      <c r="S161" s="1"/>
      <c r="T161" s="1"/>
      <c r="U161" s="1"/>
      <c r="Y161" s="1"/>
    </row>
    <row r="162" ht="12.75" customHeight="1">
      <c r="A162" s="8"/>
      <c r="B162" s="8"/>
      <c r="C162" s="8"/>
      <c r="D162" s="8"/>
      <c r="E162" s="8"/>
      <c r="F162" s="8"/>
      <c r="G162" s="334"/>
      <c r="H162" s="1"/>
      <c r="I162" s="212"/>
      <c r="J162" s="212"/>
      <c r="K162" s="335"/>
      <c r="L162" s="335"/>
      <c r="M162" s="335"/>
      <c r="N162" s="335"/>
      <c r="O162" s="335"/>
      <c r="P162" s="335"/>
      <c r="Q162" s="1"/>
      <c r="R162" s="1"/>
      <c r="S162" s="1"/>
      <c r="T162" s="1"/>
      <c r="U162" s="1"/>
      <c r="Y162" s="1"/>
    </row>
    <row r="163" ht="12.75" customHeight="1">
      <c r="A163" s="8"/>
      <c r="B163" s="8"/>
      <c r="C163" s="8"/>
      <c r="D163" s="8"/>
      <c r="E163" s="8"/>
      <c r="F163" s="8"/>
      <c r="G163" s="334"/>
      <c r="H163" s="1"/>
      <c r="I163" s="212"/>
      <c r="J163" s="212"/>
      <c r="K163" s="335"/>
      <c r="L163" s="335"/>
      <c r="M163" s="335"/>
      <c r="N163" s="335"/>
      <c r="O163" s="335"/>
      <c r="P163" s="335"/>
      <c r="Q163" s="1"/>
      <c r="R163" s="1"/>
      <c r="S163" s="1"/>
      <c r="T163" s="1"/>
      <c r="U163" s="1"/>
      <c r="Y163" s="1"/>
    </row>
    <row r="164" ht="12.75" customHeight="1">
      <c r="A164" s="8"/>
      <c r="B164" s="8"/>
      <c r="C164" s="8"/>
      <c r="D164" s="8"/>
      <c r="E164" s="8"/>
      <c r="F164" s="8"/>
      <c r="G164" s="334"/>
      <c r="H164" s="1"/>
      <c r="I164" s="212"/>
      <c r="J164" s="212"/>
      <c r="K164" s="335"/>
      <c r="L164" s="335"/>
      <c r="M164" s="335"/>
      <c r="N164" s="335"/>
      <c r="O164" s="335"/>
      <c r="P164" s="335"/>
      <c r="Q164" s="1"/>
      <c r="R164" s="1"/>
      <c r="S164" s="1"/>
      <c r="T164" s="1"/>
      <c r="U164" s="1"/>
      <c r="Y164" s="1"/>
    </row>
    <row r="165" ht="12.75" customHeight="1">
      <c r="A165" s="8"/>
      <c r="B165" s="8"/>
      <c r="C165" s="8"/>
      <c r="D165" s="8"/>
      <c r="E165" s="8"/>
      <c r="F165" s="8"/>
      <c r="G165" s="334"/>
      <c r="H165" s="1"/>
      <c r="I165" s="212"/>
      <c r="J165" s="212"/>
      <c r="K165" s="335"/>
      <c r="L165" s="335"/>
      <c r="M165" s="335"/>
      <c r="N165" s="335"/>
      <c r="O165" s="335"/>
      <c r="P165" s="335"/>
      <c r="Q165" s="1"/>
      <c r="R165" s="1"/>
      <c r="S165" s="1"/>
      <c r="T165" s="1"/>
      <c r="U165" s="1"/>
      <c r="Y165" s="1"/>
    </row>
    <row r="166" ht="12.75" customHeight="1">
      <c r="A166" s="8"/>
      <c r="B166" s="8"/>
      <c r="C166" s="8"/>
      <c r="D166" s="8"/>
      <c r="E166" s="8"/>
      <c r="F166" s="8"/>
      <c r="G166" s="334"/>
      <c r="H166" s="1"/>
      <c r="I166" s="212"/>
      <c r="J166" s="212"/>
      <c r="K166" s="335"/>
      <c r="L166" s="335"/>
      <c r="M166" s="335"/>
      <c r="N166" s="335"/>
      <c r="O166" s="335"/>
      <c r="P166" s="335"/>
      <c r="Q166" s="1"/>
      <c r="R166" s="1"/>
      <c r="S166" s="1"/>
      <c r="T166" s="1"/>
      <c r="U166" s="1"/>
      <c r="Y166" s="1"/>
    </row>
    <row r="167" ht="12.75" customHeight="1">
      <c r="A167" s="8"/>
      <c r="B167" s="8"/>
      <c r="C167" s="8"/>
      <c r="D167" s="8"/>
      <c r="E167" s="8"/>
      <c r="F167" s="8"/>
      <c r="G167" s="334"/>
      <c r="H167" s="1"/>
      <c r="I167" s="212"/>
      <c r="J167" s="212"/>
      <c r="K167" s="335"/>
      <c r="L167" s="335"/>
      <c r="M167" s="335"/>
      <c r="N167" s="335"/>
      <c r="O167" s="335"/>
      <c r="P167" s="335"/>
      <c r="Q167" s="1"/>
      <c r="R167" s="1"/>
      <c r="S167" s="1"/>
      <c r="T167" s="1"/>
      <c r="U167" s="1"/>
      <c r="Y167" s="1"/>
    </row>
    <row r="168" ht="12.75" customHeight="1">
      <c r="A168" s="8"/>
      <c r="B168" s="8"/>
      <c r="C168" s="8"/>
      <c r="D168" s="8"/>
      <c r="E168" s="8"/>
      <c r="F168" s="8"/>
      <c r="G168" s="334"/>
      <c r="H168" s="1"/>
      <c r="I168" s="212"/>
      <c r="J168" s="212"/>
      <c r="K168" s="335"/>
      <c r="L168" s="335"/>
      <c r="M168" s="335"/>
      <c r="N168" s="335"/>
      <c r="O168" s="335"/>
      <c r="P168" s="335"/>
      <c r="Q168" s="1"/>
      <c r="R168" s="1"/>
      <c r="S168" s="1"/>
      <c r="T168" s="1"/>
      <c r="U168" s="1"/>
      <c r="Y168" s="1"/>
    </row>
    <row r="169" ht="12.75" customHeight="1">
      <c r="A169" s="8"/>
      <c r="B169" s="8"/>
      <c r="C169" s="8"/>
      <c r="D169" s="8"/>
      <c r="E169" s="8"/>
      <c r="F169" s="8"/>
      <c r="G169" s="334"/>
      <c r="H169" s="1"/>
      <c r="I169" s="212"/>
      <c r="J169" s="212"/>
      <c r="K169" s="335"/>
      <c r="L169" s="335"/>
      <c r="M169" s="335"/>
      <c r="N169" s="335"/>
      <c r="O169" s="335"/>
      <c r="P169" s="335"/>
      <c r="Q169" s="1"/>
      <c r="R169" s="1"/>
      <c r="S169" s="1"/>
      <c r="T169" s="1"/>
      <c r="U169" s="1"/>
      <c r="Y169" s="1"/>
    </row>
    <row r="170" ht="12.75" customHeight="1">
      <c r="A170" s="8"/>
      <c r="B170" s="8"/>
      <c r="C170" s="8"/>
      <c r="D170" s="8"/>
      <c r="E170" s="8"/>
      <c r="F170" s="8"/>
      <c r="G170" s="334"/>
      <c r="H170" s="1"/>
      <c r="I170" s="212"/>
      <c r="J170" s="212"/>
      <c r="K170" s="335"/>
      <c r="L170" s="335"/>
      <c r="M170" s="335"/>
      <c r="N170" s="335"/>
      <c r="O170" s="335"/>
      <c r="P170" s="335"/>
      <c r="Q170" s="1"/>
      <c r="R170" s="1"/>
      <c r="S170" s="1"/>
      <c r="T170" s="1"/>
      <c r="U170" s="1"/>
      <c r="Y170" s="1"/>
    </row>
    <row r="171" ht="12.75" customHeight="1">
      <c r="A171" s="8"/>
      <c r="B171" s="8"/>
      <c r="C171" s="8"/>
      <c r="D171" s="8"/>
      <c r="E171" s="8"/>
      <c r="F171" s="8"/>
      <c r="G171" s="334"/>
      <c r="H171" s="1"/>
      <c r="I171" s="212"/>
      <c r="J171" s="212"/>
      <c r="K171" s="335"/>
      <c r="L171" s="335"/>
      <c r="M171" s="335"/>
      <c r="N171" s="335"/>
      <c r="O171" s="335"/>
      <c r="P171" s="335"/>
      <c r="Q171" s="1"/>
      <c r="R171" s="1"/>
      <c r="S171" s="1"/>
      <c r="T171" s="1"/>
      <c r="U171" s="1"/>
      <c r="Y171" s="1"/>
    </row>
    <row r="172" ht="12.75" customHeight="1">
      <c r="A172" s="8"/>
      <c r="B172" s="8"/>
      <c r="C172" s="8"/>
      <c r="D172" s="8"/>
      <c r="E172" s="8"/>
      <c r="F172" s="8"/>
      <c r="G172" s="334"/>
      <c r="H172" s="1"/>
      <c r="I172" s="212"/>
      <c r="J172" s="212"/>
      <c r="K172" s="335"/>
      <c r="L172" s="335"/>
      <c r="M172" s="335"/>
      <c r="N172" s="335"/>
      <c r="O172" s="335"/>
      <c r="P172" s="335"/>
      <c r="Q172" s="1"/>
      <c r="R172" s="1"/>
      <c r="S172" s="1"/>
      <c r="T172" s="1"/>
      <c r="U172" s="1"/>
      <c r="Y172" s="1"/>
    </row>
    <row r="173" ht="12.75" customHeight="1">
      <c r="A173" s="8"/>
      <c r="B173" s="8"/>
      <c r="C173" s="8"/>
      <c r="D173" s="8"/>
      <c r="E173" s="8"/>
      <c r="F173" s="8"/>
      <c r="G173" s="334"/>
      <c r="H173" s="1"/>
      <c r="I173" s="212"/>
      <c r="J173" s="212"/>
      <c r="K173" s="335"/>
      <c r="L173" s="335"/>
      <c r="M173" s="335"/>
      <c r="N173" s="335"/>
      <c r="O173" s="335"/>
      <c r="P173" s="335"/>
      <c r="Q173" s="1"/>
      <c r="R173" s="1"/>
      <c r="S173" s="1"/>
      <c r="T173" s="1"/>
      <c r="U173" s="1"/>
      <c r="Y173" s="1"/>
    </row>
    <row r="174" ht="12.75" customHeight="1">
      <c r="A174" s="8"/>
      <c r="B174" s="8"/>
      <c r="C174" s="8"/>
      <c r="D174" s="8"/>
      <c r="E174" s="8"/>
      <c r="F174" s="8"/>
      <c r="G174" s="334"/>
      <c r="H174" s="1"/>
      <c r="I174" s="212"/>
      <c r="J174" s="212"/>
      <c r="K174" s="335"/>
      <c r="L174" s="335"/>
      <c r="M174" s="335"/>
      <c r="N174" s="335"/>
      <c r="O174" s="335"/>
      <c r="P174" s="335"/>
      <c r="Q174" s="1"/>
      <c r="R174" s="1"/>
      <c r="S174" s="1"/>
      <c r="T174" s="1"/>
      <c r="U174" s="1"/>
      <c r="Y174" s="1"/>
    </row>
    <row r="175" ht="12.75" customHeight="1">
      <c r="A175" s="8"/>
      <c r="B175" s="8"/>
      <c r="C175" s="8"/>
      <c r="D175" s="8"/>
      <c r="E175" s="8"/>
      <c r="F175" s="8"/>
      <c r="G175" s="334"/>
      <c r="H175" s="1"/>
      <c r="I175" s="212"/>
      <c r="J175" s="212"/>
      <c r="K175" s="335"/>
      <c r="L175" s="335"/>
      <c r="M175" s="335"/>
      <c r="N175" s="335"/>
      <c r="O175" s="335"/>
      <c r="P175" s="335"/>
      <c r="Q175" s="1"/>
      <c r="R175" s="1"/>
      <c r="S175" s="1"/>
      <c r="T175" s="1"/>
      <c r="U175" s="1"/>
      <c r="Y175" s="1"/>
    </row>
    <row r="176" ht="12.75" customHeight="1">
      <c r="A176" s="8"/>
      <c r="B176" s="8"/>
      <c r="C176" s="8"/>
      <c r="D176" s="8"/>
      <c r="E176" s="8"/>
      <c r="F176" s="8"/>
      <c r="G176" s="334"/>
      <c r="H176" s="1"/>
      <c r="I176" s="212"/>
      <c r="J176" s="212"/>
      <c r="K176" s="335"/>
      <c r="L176" s="335"/>
      <c r="M176" s="335"/>
      <c r="N176" s="335"/>
      <c r="O176" s="335"/>
      <c r="P176" s="335"/>
      <c r="Q176" s="1"/>
      <c r="R176" s="1"/>
      <c r="S176" s="1"/>
      <c r="T176" s="1"/>
      <c r="U176" s="1"/>
      <c r="Y176" s="1"/>
    </row>
    <row r="177" ht="12.75" customHeight="1">
      <c r="A177" s="8"/>
      <c r="B177" s="8"/>
      <c r="C177" s="8"/>
      <c r="D177" s="8"/>
      <c r="E177" s="8"/>
      <c r="F177" s="8"/>
      <c r="G177" s="334"/>
      <c r="H177" s="1"/>
      <c r="I177" s="212"/>
      <c r="J177" s="212"/>
      <c r="K177" s="335"/>
      <c r="L177" s="335"/>
      <c r="M177" s="335"/>
      <c r="N177" s="335"/>
      <c r="O177" s="335"/>
      <c r="P177" s="335"/>
      <c r="Q177" s="1"/>
      <c r="R177" s="1"/>
      <c r="S177" s="1"/>
      <c r="T177" s="1"/>
      <c r="U177" s="1"/>
      <c r="Y177" s="1"/>
    </row>
    <row r="178" ht="12.75" customHeight="1">
      <c r="A178" s="8"/>
      <c r="B178" s="8"/>
      <c r="C178" s="8"/>
      <c r="D178" s="8"/>
      <c r="E178" s="8"/>
      <c r="F178" s="8"/>
      <c r="G178" s="334"/>
      <c r="H178" s="1"/>
      <c r="I178" s="212"/>
      <c r="J178" s="212"/>
      <c r="K178" s="335"/>
      <c r="L178" s="335"/>
      <c r="M178" s="335"/>
      <c r="N178" s="335"/>
      <c r="O178" s="335"/>
      <c r="P178" s="335"/>
      <c r="Q178" s="1"/>
      <c r="R178" s="1"/>
      <c r="S178" s="1"/>
      <c r="T178" s="1"/>
      <c r="U178" s="1"/>
      <c r="Y178" s="1"/>
    </row>
    <row r="179" ht="12.75" customHeight="1">
      <c r="A179" s="8"/>
      <c r="B179" s="8"/>
      <c r="C179" s="8"/>
      <c r="D179" s="8"/>
      <c r="E179" s="8"/>
      <c r="F179" s="8"/>
      <c r="G179" s="334"/>
      <c r="H179" s="1"/>
      <c r="I179" s="212"/>
      <c r="J179" s="212"/>
      <c r="K179" s="335"/>
      <c r="L179" s="335"/>
      <c r="M179" s="335"/>
      <c r="N179" s="335"/>
      <c r="O179" s="335"/>
      <c r="P179" s="335"/>
      <c r="Q179" s="1"/>
      <c r="R179" s="1"/>
      <c r="S179" s="1"/>
      <c r="T179" s="1"/>
      <c r="U179" s="1"/>
      <c r="Y179" s="1"/>
    </row>
    <row r="180" ht="12.75" customHeight="1">
      <c r="A180" s="8"/>
      <c r="B180" s="8"/>
      <c r="C180" s="8"/>
      <c r="D180" s="8"/>
      <c r="E180" s="8"/>
      <c r="F180" s="8"/>
      <c r="G180" s="334"/>
      <c r="H180" s="1"/>
      <c r="I180" s="212"/>
      <c r="J180" s="212"/>
      <c r="K180" s="335"/>
      <c r="L180" s="335"/>
      <c r="M180" s="335"/>
      <c r="N180" s="335"/>
      <c r="O180" s="335"/>
      <c r="P180" s="335"/>
      <c r="Q180" s="1"/>
      <c r="R180" s="1"/>
      <c r="S180" s="1"/>
      <c r="T180" s="1"/>
      <c r="U180" s="1"/>
      <c r="Y180" s="1"/>
    </row>
    <row r="181" ht="12.75" customHeight="1">
      <c r="A181" s="8"/>
      <c r="B181" s="8"/>
      <c r="C181" s="8"/>
      <c r="D181" s="8"/>
      <c r="E181" s="8"/>
      <c r="F181" s="8"/>
      <c r="G181" s="334"/>
      <c r="H181" s="1"/>
      <c r="I181" s="212"/>
      <c r="J181" s="212"/>
      <c r="K181" s="335"/>
      <c r="L181" s="335"/>
      <c r="M181" s="335"/>
      <c r="N181" s="335"/>
      <c r="O181" s="335"/>
      <c r="P181" s="335"/>
      <c r="Q181" s="1"/>
      <c r="R181" s="1"/>
      <c r="S181" s="1"/>
      <c r="T181" s="1"/>
      <c r="U181" s="1"/>
      <c r="Y181" s="1"/>
    </row>
    <row r="182" ht="12.75" customHeight="1">
      <c r="A182" s="8"/>
      <c r="B182" s="8"/>
      <c r="C182" s="8"/>
      <c r="D182" s="8"/>
      <c r="E182" s="8"/>
      <c r="F182" s="8"/>
      <c r="G182" s="334"/>
      <c r="H182" s="1"/>
      <c r="I182" s="212"/>
      <c r="J182" s="212"/>
      <c r="K182" s="335"/>
      <c r="L182" s="335"/>
      <c r="M182" s="335"/>
      <c r="N182" s="335"/>
      <c r="O182" s="335"/>
      <c r="P182" s="335"/>
      <c r="Q182" s="1"/>
      <c r="R182" s="1"/>
      <c r="S182" s="1"/>
      <c r="T182" s="1"/>
      <c r="U182" s="1"/>
      <c r="Y182" s="1"/>
    </row>
    <row r="183" ht="12.75" customHeight="1">
      <c r="A183" s="8"/>
      <c r="B183" s="8"/>
      <c r="C183" s="8"/>
      <c r="D183" s="8"/>
      <c r="E183" s="8"/>
      <c r="F183" s="8"/>
      <c r="G183" s="334"/>
      <c r="H183" s="1"/>
      <c r="I183" s="212"/>
      <c r="J183" s="212"/>
      <c r="K183" s="335"/>
      <c r="L183" s="335"/>
      <c r="M183" s="335"/>
      <c r="N183" s="335"/>
      <c r="O183" s="335"/>
      <c r="P183" s="335"/>
      <c r="Q183" s="1"/>
      <c r="R183" s="1"/>
      <c r="S183" s="1"/>
      <c r="T183" s="1"/>
      <c r="U183" s="1"/>
      <c r="Y183" s="1"/>
    </row>
    <row r="184" ht="12.75" customHeight="1">
      <c r="A184" s="8"/>
      <c r="B184" s="8"/>
      <c r="C184" s="8"/>
      <c r="D184" s="8"/>
      <c r="E184" s="8"/>
      <c r="F184" s="8"/>
      <c r="G184" s="334"/>
      <c r="H184" s="1"/>
      <c r="I184" s="212"/>
      <c r="J184" s="212"/>
      <c r="K184" s="335"/>
      <c r="L184" s="335"/>
      <c r="M184" s="335"/>
      <c r="N184" s="335"/>
      <c r="O184" s="335"/>
      <c r="P184" s="335"/>
      <c r="Q184" s="1"/>
      <c r="R184" s="1"/>
      <c r="S184" s="1"/>
      <c r="T184" s="1"/>
      <c r="U184" s="1"/>
      <c r="Y184" s="1"/>
    </row>
    <row r="185" ht="12.75" customHeight="1">
      <c r="A185" s="8"/>
      <c r="B185" s="8"/>
      <c r="C185" s="8"/>
      <c r="D185" s="8"/>
      <c r="E185" s="8"/>
      <c r="F185" s="8"/>
      <c r="G185" s="334"/>
      <c r="H185" s="1"/>
      <c r="I185" s="212"/>
      <c r="J185" s="212"/>
      <c r="K185" s="335"/>
      <c r="L185" s="335"/>
      <c r="M185" s="335"/>
      <c r="N185" s="335"/>
      <c r="O185" s="335"/>
      <c r="P185" s="335"/>
      <c r="Q185" s="1"/>
      <c r="R185" s="1"/>
      <c r="S185" s="1"/>
      <c r="T185" s="1"/>
      <c r="U185" s="1"/>
      <c r="Y185" s="1"/>
    </row>
    <row r="186" ht="12.75" customHeight="1">
      <c r="A186" s="8"/>
      <c r="B186" s="8"/>
      <c r="C186" s="8"/>
      <c r="D186" s="8"/>
      <c r="E186" s="8"/>
      <c r="F186" s="8"/>
      <c r="G186" s="334"/>
      <c r="H186" s="1"/>
      <c r="I186" s="212"/>
      <c r="J186" s="212"/>
      <c r="K186" s="335"/>
      <c r="L186" s="335"/>
      <c r="M186" s="335"/>
      <c r="N186" s="335"/>
      <c r="O186" s="335"/>
      <c r="P186" s="335"/>
      <c r="Q186" s="1"/>
      <c r="R186" s="1"/>
      <c r="S186" s="1"/>
      <c r="T186" s="1"/>
      <c r="U186" s="1"/>
      <c r="Y186" s="1"/>
    </row>
    <row r="187" ht="12.75" customHeight="1">
      <c r="A187" s="8"/>
      <c r="B187" s="8"/>
      <c r="C187" s="8"/>
      <c r="D187" s="8"/>
      <c r="E187" s="8"/>
      <c r="F187" s="8"/>
      <c r="G187" s="334"/>
      <c r="H187" s="1"/>
      <c r="I187" s="212"/>
      <c r="J187" s="212"/>
      <c r="K187" s="335"/>
      <c r="L187" s="335"/>
      <c r="M187" s="335"/>
      <c r="N187" s="335"/>
      <c r="O187" s="335"/>
      <c r="P187" s="335"/>
      <c r="Q187" s="1"/>
      <c r="R187" s="1"/>
      <c r="S187" s="1"/>
      <c r="T187" s="1"/>
      <c r="U187" s="1"/>
      <c r="Y187" s="1"/>
    </row>
    <row r="188" ht="12.75" customHeight="1">
      <c r="A188" s="8"/>
      <c r="B188" s="8"/>
      <c r="C188" s="8"/>
      <c r="D188" s="8"/>
      <c r="E188" s="8"/>
      <c r="F188" s="8"/>
      <c r="G188" s="334"/>
      <c r="H188" s="1"/>
      <c r="I188" s="212"/>
      <c r="J188" s="212"/>
      <c r="K188" s="335"/>
      <c r="L188" s="335"/>
      <c r="M188" s="335"/>
      <c r="N188" s="335"/>
      <c r="O188" s="335"/>
      <c r="P188" s="335"/>
      <c r="Q188" s="1"/>
      <c r="R188" s="1"/>
      <c r="S188" s="1"/>
      <c r="T188" s="1"/>
      <c r="U188" s="1"/>
      <c r="Y188" s="1"/>
    </row>
    <row r="189" ht="12.75" customHeight="1">
      <c r="A189" s="8"/>
      <c r="B189" s="8"/>
      <c r="C189" s="8"/>
      <c r="D189" s="8"/>
      <c r="E189" s="8"/>
      <c r="F189" s="8"/>
      <c r="G189" s="334"/>
      <c r="H189" s="1"/>
      <c r="I189" s="212"/>
      <c r="J189" s="212"/>
      <c r="K189" s="335"/>
      <c r="L189" s="335"/>
      <c r="M189" s="335"/>
      <c r="N189" s="335"/>
      <c r="O189" s="335"/>
      <c r="P189" s="335"/>
      <c r="Q189" s="1"/>
      <c r="R189" s="1"/>
      <c r="S189" s="1"/>
      <c r="T189" s="1"/>
      <c r="U189" s="1"/>
      <c r="Y189" s="1"/>
    </row>
    <row r="190" ht="12.75" customHeight="1">
      <c r="A190" s="8"/>
      <c r="B190" s="8"/>
      <c r="C190" s="8"/>
      <c r="D190" s="8"/>
      <c r="E190" s="8"/>
      <c r="F190" s="8"/>
      <c r="G190" s="334"/>
      <c r="H190" s="1"/>
      <c r="I190" s="212"/>
      <c r="J190" s="212"/>
      <c r="K190" s="335"/>
      <c r="L190" s="335"/>
      <c r="M190" s="335"/>
      <c r="N190" s="335"/>
      <c r="O190" s="335"/>
      <c r="P190" s="335"/>
      <c r="Q190" s="1"/>
      <c r="R190" s="1"/>
      <c r="S190" s="1"/>
      <c r="T190" s="1"/>
      <c r="U190" s="1"/>
      <c r="Y190" s="1"/>
    </row>
    <row r="191" ht="12.75" customHeight="1">
      <c r="A191" s="8"/>
      <c r="B191" s="8"/>
      <c r="C191" s="8"/>
      <c r="D191" s="8"/>
      <c r="E191" s="8"/>
      <c r="F191" s="8"/>
      <c r="G191" s="334"/>
      <c r="H191" s="1"/>
      <c r="I191" s="212"/>
      <c r="J191" s="212"/>
      <c r="K191" s="335"/>
      <c r="L191" s="335"/>
      <c r="M191" s="335"/>
      <c r="N191" s="335"/>
      <c r="O191" s="335"/>
      <c r="P191" s="335"/>
      <c r="Q191" s="1"/>
      <c r="R191" s="1"/>
      <c r="S191" s="1"/>
      <c r="T191" s="1"/>
      <c r="U191" s="1"/>
      <c r="Y191" s="1"/>
    </row>
    <row r="192" ht="12.75" customHeight="1">
      <c r="A192" s="8"/>
      <c r="B192" s="8"/>
      <c r="C192" s="8"/>
      <c r="D192" s="8"/>
      <c r="E192" s="8"/>
      <c r="F192" s="8"/>
      <c r="G192" s="334"/>
      <c r="H192" s="1"/>
      <c r="I192" s="212"/>
      <c r="J192" s="212"/>
      <c r="K192" s="335"/>
      <c r="L192" s="335"/>
      <c r="M192" s="335"/>
      <c r="N192" s="335"/>
      <c r="O192" s="335"/>
      <c r="P192" s="335"/>
      <c r="Q192" s="1"/>
      <c r="R192" s="1"/>
      <c r="S192" s="1"/>
      <c r="T192" s="1"/>
      <c r="U192" s="1"/>
      <c r="Y192" s="1"/>
    </row>
    <row r="193" ht="12.75" customHeight="1">
      <c r="A193" s="8"/>
      <c r="B193" s="8"/>
      <c r="C193" s="8"/>
      <c r="D193" s="8"/>
      <c r="E193" s="8"/>
      <c r="F193" s="8"/>
      <c r="G193" s="334"/>
      <c r="H193" s="1"/>
      <c r="I193" s="212"/>
      <c r="J193" s="212"/>
      <c r="K193" s="335"/>
      <c r="L193" s="335"/>
      <c r="M193" s="335"/>
      <c r="N193" s="335"/>
      <c r="O193" s="335"/>
      <c r="P193" s="335"/>
      <c r="Q193" s="1"/>
      <c r="R193" s="1"/>
      <c r="S193" s="1"/>
      <c r="T193" s="1"/>
      <c r="U193" s="1"/>
      <c r="Y193" s="1"/>
    </row>
    <row r="194" ht="12.75" customHeight="1">
      <c r="A194" s="8"/>
      <c r="B194" s="8"/>
      <c r="C194" s="8"/>
      <c r="D194" s="8"/>
      <c r="E194" s="8"/>
      <c r="F194" s="8"/>
      <c r="G194" s="334"/>
      <c r="H194" s="1"/>
      <c r="I194" s="212"/>
      <c r="J194" s="212"/>
      <c r="K194" s="335"/>
      <c r="L194" s="335"/>
      <c r="M194" s="335"/>
      <c r="N194" s="335"/>
      <c r="O194" s="335"/>
      <c r="P194" s="335"/>
      <c r="Q194" s="1"/>
      <c r="R194" s="1"/>
      <c r="S194" s="1"/>
      <c r="T194" s="1"/>
      <c r="U194" s="1"/>
      <c r="Y194" s="1"/>
    </row>
    <row r="195" ht="12.75" customHeight="1">
      <c r="A195" s="8"/>
      <c r="B195" s="8"/>
      <c r="C195" s="8"/>
      <c r="D195" s="8"/>
      <c r="E195" s="8"/>
      <c r="F195" s="8"/>
      <c r="G195" s="334"/>
      <c r="H195" s="1"/>
      <c r="I195" s="212"/>
      <c r="J195" s="212"/>
      <c r="K195" s="335"/>
      <c r="L195" s="335"/>
      <c r="M195" s="335"/>
      <c r="N195" s="335"/>
      <c r="O195" s="335"/>
      <c r="P195" s="335"/>
      <c r="Q195" s="1"/>
      <c r="R195" s="1"/>
      <c r="S195" s="1"/>
      <c r="T195" s="1"/>
      <c r="U195" s="1"/>
      <c r="Y195" s="1"/>
    </row>
    <row r="196" ht="12.75" customHeight="1">
      <c r="A196" s="8"/>
      <c r="B196" s="8"/>
      <c r="C196" s="8"/>
      <c r="D196" s="8"/>
      <c r="E196" s="8"/>
      <c r="F196" s="8"/>
      <c r="G196" s="334"/>
      <c r="H196" s="1"/>
      <c r="I196" s="212"/>
      <c r="J196" s="212"/>
      <c r="K196" s="335"/>
      <c r="L196" s="335"/>
      <c r="M196" s="335"/>
      <c r="N196" s="335"/>
      <c r="O196" s="335"/>
      <c r="P196" s="335"/>
      <c r="Q196" s="1"/>
      <c r="R196" s="1"/>
      <c r="S196" s="1"/>
      <c r="T196" s="1"/>
      <c r="U196" s="1"/>
      <c r="Y196" s="1"/>
    </row>
    <row r="197" ht="12.75" customHeight="1">
      <c r="A197" s="8"/>
      <c r="B197" s="8"/>
      <c r="C197" s="8"/>
      <c r="D197" s="8"/>
      <c r="E197" s="8"/>
      <c r="F197" s="8"/>
      <c r="G197" s="334"/>
      <c r="H197" s="1"/>
      <c r="I197" s="212"/>
      <c r="J197" s="212"/>
      <c r="K197" s="335"/>
      <c r="L197" s="335"/>
      <c r="M197" s="335"/>
      <c r="N197" s="335"/>
      <c r="O197" s="335"/>
      <c r="P197" s="335"/>
      <c r="Q197" s="1"/>
      <c r="R197" s="1"/>
      <c r="S197" s="1"/>
      <c r="T197" s="1"/>
      <c r="U197" s="1"/>
      <c r="Y197" s="1"/>
    </row>
    <row r="198" ht="12.75" customHeight="1">
      <c r="A198" s="8"/>
      <c r="B198" s="8"/>
      <c r="C198" s="8"/>
      <c r="D198" s="8"/>
      <c r="E198" s="8"/>
      <c r="F198" s="8"/>
      <c r="G198" s="334"/>
      <c r="H198" s="1"/>
      <c r="I198" s="212"/>
      <c r="J198" s="212"/>
      <c r="K198" s="335"/>
      <c r="L198" s="335"/>
      <c r="M198" s="335"/>
      <c r="N198" s="335"/>
      <c r="O198" s="335"/>
      <c r="P198" s="335"/>
      <c r="Q198" s="1"/>
      <c r="R198" s="1"/>
      <c r="S198" s="1"/>
      <c r="T198" s="1"/>
      <c r="U198" s="1"/>
      <c r="Y198" s="1"/>
    </row>
    <row r="199" ht="12.75" customHeight="1">
      <c r="A199" s="8"/>
      <c r="B199" s="8"/>
      <c r="C199" s="8"/>
      <c r="D199" s="8"/>
      <c r="E199" s="8"/>
      <c r="F199" s="8"/>
      <c r="G199" s="334"/>
      <c r="H199" s="1"/>
      <c r="I199" s="212"/>
      <c r="J199" s="212"/>
      <c r="K199" s="335"/>
      <c r="L199" s="335"/>
      <c r="M199" s="335"/>
      <c r="N199" s="335"/>
      <c r="O199" s="335"/>
      <c r="P199" s="335"/>
      <c r="Q199" s="1"/>
      <c r="R199" s="1"/>
      <c r="S199" s="1"/>
      <c r="T199" s="1"/>
      <c r="U199" s="1"/>
      <c r="Y199" s="1"/>
    </row>
    <row r="200" ht="12.75" customHeight="1">
      <c r="A200" s="8"/>
      <c r="B200" s="8"/>
      <c r="C200" s="8"/>
      <c r="D200" s="8"/>
      <c r="E200" s="8"/>
      <c r="F200" s="8"/>
      <c r="G200" s="334"/>
      <c r="H200" s="1"/>
      <c r="I200" s="212"/>
      <c r="J200" s="212"/>
      <c r="K200" s="335"/>
      <c r="L200" s="335"/>
      <c r="M200" s="335"/>
      <c r="N200" s="335"/>
      <c r="O200" s="335"/>
      <c r="P200" s="335"/>
      <c r="Q200" s="1"/>
      <c r="R200" s="1"/>
      <c r="S200" s="1"/>
      <c r="T200" s="1"/>
      <c r="U200" s="1"/>
      <c r="Y200" s="1"/>
    </row>
    <row r="201" ht="12.75" customHeight="1">
      <c r="A201" s="8"/>
      <c r="B201" s="8"/>
      <c r="C201" s="8"/>
      <c r="D201" s="8"/>
      <c r="E201" s="8"/>
      <c r="F201" s="8"/>
      <c r="G201" s="334"/>
      <c r="H201" s="1"/>
      <c r="I201" s="212"/>
      <c r="J201" s="212"/>
      <c r="K201" s="335"/>
      <c r="L201" s="335"/>
      <c r="M201" s="335"/>
      <c r="N201" s="335"/>
      <c r="O201" s="335"/>
      <c r="P201" s="335"/>
      <c r="Q201" s="1"/>
      <c r="R201" s="1"/>
      <c r="S201" s="1"/>
      <c r="T201" s="1"/>
      <c r="U201" s="1"/>
      <c r="Y201" s="1"/>
    </row>
    <row r="202" ht="12.75" customHeight="1">
      <c r="A202" s="8"/>
      <c r="B202" s="8"/>
      <c r="C202" s="8"/>
      <c r="D202" s="8"/>
      <c r="E202" s="8"/>
      <c r="F202" s="8"/>
      <c r="G202" s="334"/>
      <c r="H202" s="1"/>
      <c r="I202" s="212"/>
      <c r="J202" s="212"/>
      <c r="K202" s="335"/>
      <c r="L202" s="335"/>
      <c r="M202" s="335"/>
      <c r="N202" s="335"/>
      <c r="O202" s="335"/>
      <c r="P202" s="335"/>
      <c r="Q202" s="1"/>
      <c r="R202" s="1"/>
      <c r="S202" s="1"/>
      <c r="T202" s="1"/>
      <c r="U202" s="1"/>
      <c r="Y202" s="1"/>
    </row>
    <row r="203" ht="12.75" customHeight="1">
      <c r="A203" s="8"/>
      <c r="B203" s="8"/>
      <c r="C203" s="8"/>
      <c r="D203" s="8"/>
      <c r="E203" s="8"/>
      <c r="F203" s="8"/>
      <c r="G203" s="334"/>
      <c r="H203" s="1"/>
      <c r="I203" s="212"/>
      <c r="J203" s="212"/>
      <c r="K203" s="335"/>
      <c r="L203" s="335"/>
      <c r="M203" s="335"/>
      <c r="N203" s="335"/>
      <c r="O203" s="335"/>
      <c r="P203" s="335"/>
      <c r="Q203" s="1"/>
      <c r="R203" s="1"/>
      <c r="S203" s="1"/>
      <c r="T203" s="1"/>
      <c r="U203" s="1"/>
      <c r="Y203" s="1"/>
    </row>
    <row r="204" ht="12.75" customHeight="1">
      <c r="A204" s="8"/>
      <c r="B204" s="8"/>
      <c r="C204" s="8"/>
      <c r="D204" s="8"/>
      <c r="E204" s="8"/>
      <c r="F204" s="8"/>
      <c r="G204" s="334"/>
      <c r="H204" s="1"/>
      <c r="I204" s="212"/>
      <c r="J204" s="212"/>
      <c r="K204" s="335"/>
      <c r="L204" s="335"/>
      <c r="M204" s="335"/>
      <c r="N204" s="335"/>
      <c r="O204" s="335"/>
      <c r="P204" s="335"/>
      <c r="Q204" s="1"/>
      <c r="R204" s="1"/>
      <c r="S204" s="1"/>
      <c r="T204" s="1"/>
      <c r="U204" s="1"/>
      <c r="Y204" s="1"/>
    </row>
    <row r="205" ht="12.75" customHeight="1">
      <c r="A205" s="8"/>
      <c r="B205" s="8"/>
      <c r="C205" s="8"/>
      <c r="D205" s="8"/>
      <c r="E205" s="8"/>
      <c r="F205" s="8"/>
      <c r="G205" s="334"/>
      <c r="H205" s="1"/>
      <c r="I205" s="212"/>
      <c r="J205" s="212"/>
      <c r="K205" s="335"/>
      <c r="L205" s="335"/>
      <c r="M205" s="335"/>
      <c r="N205" s="335"/>
      <c r="O205" s="335"/>
      <c r="P205" s="335"/>
      <c r="Q205" s="1"/>
      <c r="R205" s="1"/>
      <c r="S205" s="1"/>
      <c r="T205" s="1"/>
      <c r="U205" s="1"/>
      <c r="Y205" s="1"/>
    </row>
    <row r="206" ht="12.75" customHeight="1">
      <c r="A206" s="8"/>
      <c r="B206" s="8"/>
      <c r="C206" s="8"/>
      <c r="D206" s="8"/>
      <c r="E206" s="8"/>
      <c r="F206" s="8"/>
      <c r="G206" s="334"/>
      <c r="H206" s="1"/>
      <c r="I206" s="212"/>
      <c r="J206" s="212"/>
      <c r="K206" s="335"/>
      <c r="L206" s="335"/>
      <c r="M206" s="335"/>
      <c r="N206" s="335"/>
      <c r="O206" s="335"/>
      <c r="P206" s="335"/>
      <c r="Q206" s="1"/>
      <c r="R206" s="1"/>
      <c r="S206" s="1"/>
      <c r="T206" s="1"/>
      <c r="U206" s="1"/>
      <c r="Y206" s="1"/>
    </row>
    <row r="207" ht="12.75" customHeight="1">
      <c r="A207" s="8"/>
      <c r="B207" s="8"/>
      <c r="C207" s="8"/>
      <c r="D207" s="8"/>
      <c r="E207" s="8"/>
      <c r="F207" s="8"/>
      <c r="G207" s="334"/>
      <c r="H207" s="1"/>
      <c r="I207" s="212"/>
      <c r="J207" s="212"/>
      <c r="K207" s="335"/>
      <c r="L207" s="335"/>
      <c r="M207" s="335"/>
      <c r="N207" s="335"/>
      <c r="O207" s="335"/>
      <c r="P207" s="335"/>
      <c r="Q207" s="1"/>
      <c r="R207" s="1"/>
      <c r="S207" s="1"/>
      <c r="T207" s="1"/>
      <c r="U207" s="1"/>
      <c r="Y207" s="1"/>
    </row>
    <row r="208" ht="12.75" customHeight="1">
      <c r="A208" s="8"/>
      <c r="B208" s="8"/>
      <c r="C208" s="8"/>
      <c r="D208" s="8"/>
      <c r="E208" s="8"/>
      <c r="F208" s="8"/>
      <c r="G208" s="334"/>
      <c r="H208" s="1"/>
      <c r="I208" s="212"/>
      <c r="J208" s="212"/>
      <c r="K208" s="335"/>
      <c r="L208" s="335"/>
      <c r="M208" s="335"/>
      <c r="N208" s="335"/>
      <c r="O208" s="335"/>
      <c r="P208" s="335"/>
      <c r="Q208" s="1"/>
      <c r="R208" s="1"/>
      <c r="S208" s="1"/>
      <c r="T208" s="1"/>
      <c r="U208" s="1"/>
      <c r="Y208" s="1"/>
    </row>
    <row r="209" ht="12.75" customHeight="1">
      <c r="A209" s="8"/>
      <c r="B209" s="8"/>
      <c r="C209" s="8"/>
      <c r="D209" s="8"/>
      <c r="E209" s="8"/>
      <c r="F209" s="8"/>
      <c r="G209" s="334"/>
      <c r="H209" s="1"/>
      <c r="I209" s="212"/>
      <c r="J209" s="212"/>
      <c r="K209" s="335"/>
      <c r="L209" s="335"/>
      <c r="M209" s="335"/>
      <c r="N209" s="335"/>
      <c r="O209" s="335"/>
      <c r="P209" s="335"/>
      <c r="Q209" s="1"/>
      <c r="R209" s="1"/>
      <c r="S209" s="1"/>
      <c r="T209" s="1"/>
      <c r="U209" s="1"/>
      <c r="Y209" s="1"/>
    </row>
    <row r="210" ht="12.75" customHeight="1">
      <c r="A210" s="8"/>
      <c r="B210" s="8"/>
      <c r="C210" s="8"/>
      <c r="D210" s="8"/>
      <c r="E210" s="8"/>
      <c r="F210" s="8"/>
      <c r="G210" s="334"/>
      <c r="H210" s="1"/>
      <c r="I210" s="212"/>
      <c r="J210" s="212"/>
      <c r="K210" s="335"/>
      <c r="L210" s="335"/>
      <c r="M210" s="335"/>
      <c r="N210" s="335"/>
      <c r="O210" s="335"/>
      <c r="P210" s="335"/>
      <c r="Q210" s="1"/>
      <c r="R210" s="1"/>
      <c r="S210" s="1"/>
      <c r="T210" s="1"/>
      <c r="U210" s="1"/>
      <c r="Y210" s="1"/>
    </row>
    <row r="211" ht="12.75" customHeight="1">
      <c r="A211" s="8"/>
      <c r="B211" s="8"/>
      <c r="C211" s="8"/>
      <c r="D211" s="8"/>
      <c r="E211" s="8"/>
      <c r="F211" s="8"/>
      <c r="G211" s="334"/>
      <c r="H211" s="1"/>
      <c r="I211" s="212"/>
      <c r="J211" s="212"/>
      <c r="K211" s="335"/>
      <c r="L211" s="335"/>
      <c r="M211" s="335"/>
      <c r="N211" s="335"/>
      <c r="O211" s="335"/>
      <c r="P211" s="335"/>
      <c r="Q211" s="1"/>
      <c r="R211" s="1"/>
      <c r="S211" s="1"/>
      <c r="T211" s="1"/>
      <c r="U211" s="1"/>
      <c r="Y211" s="1"/>
    </row>
    <row r="212" ht="12.75" customHeight="1">
      <c r="A212" s="8"/>
      <c r="B212" s="8"/>
      <c r="C212" s="8"/>
      <c r="D212" s="8"/>
      <c r="E212" s="8"/>
      <c r="F212" s="8"/>
      <c r="G212" s="334"/>
      <c r="H212" s="1"/>
      <c r="I212" s="212"/>
      <c r="J212" s="212"/>
      <c r="K212" s="335"/>
      <c r="L212" s="335"/>
      <c r="M212" s="335"/>
      <c r="N212" s="335"/>
      <c r="O212" s="335"/>
      <c r="P212" s="335"/>
      <c r="Q212" s="1"/>
      <c r="R212" s="1"/>
      <c r="S212" s="1"/>
      <c r="T212" s="1"/>
      <c r="U212" s="1"/>
      <c r="Y212" s="1"/>
    </row>
    <row r="213" ht="12.75" customHeight="1">
      <c r="A213" s="8"/>
      <c r="B213" s="8"/>
      <c r="C213" s="8"/>
      <c r="D213" s="8"/>
      <c r="E213" s="8"/>
      <c r="F213" s="8"/>
      <c r="G213" s="334"/>
      <c r="H213" s="1"/>
      <c r="I213" s="212"/>
      <c r="J213" s="212"/>
      <c r="K213" s="335"/>
      <c r="L213" s="335"/>
      <c r="M213" s="335"/>
      <c r="N213" s="335"/>
      <c r="O213" s="335"/>
      <c r="P213" s="335"/>
      <c r="Q213" s="1"/>
      <c r="R213" s="1"/>
      <c r="S213" s="1"/>
      <c r="T213" s="1"/>
      <c r="U213" s="1"/>
      <c r="Y213" s="1"/>
    </row>
    <row r="214" ht="12.75" customHeight="1">
      <c r="A214" s="8"/>
      <c r="B214" s="8"/>
      <c r="C214" s="8"/>
      <c r="D214" s="8"/>
      <c r="E214" s="8"/>
      <c r="F214" s="8"/>
      <c r="G214" s="334"/>
      <c r="H214" s="1"/>
      <c r="I214" s="212"/>
      <c r="J214" s="212"/>
      <c r="K214" s="335"/>
      <c r="L214" s="335"/>
      <c r="M214" s="335"/>
      <c r="N214" s="335"/>
      <c r="O214" s="335"/>
      <c r="P214" s="335"/>
      <c r="Q214" s="1"/>
      <c r="R214" s="1"/>
      <c r="S214" s="1"/>
      <c r="T214" s="1"/>
      <c r="U214" s="1"/>
      <c r="Y214" s="1"/>
    </row>
    <row r="215" ht="12.75" customHeight="1">
      <c r="A215" s="8"/>
      <c r="B215" s="8"/>
      <c r="C215" s="8"/>
      <c r="D215" s="8"/>
      <c r="E215" s="8"/>
      <c r="F215" s="8"/>
      <c r="G215" s="334"/>
      <c r="H215" s="1"/>
      <c r="I215" s="212"/>
      <c r="J215" s="212"/>
      <c r="K215" s="335"/>
      <c r="L215" s="335"/>
      <c r="M215" s="335"/>
      <c r="N215" s="335"/>
      <c r="O215" s="335"/>
      <c r="P215" s="335"/>
      <c r="Q215" s="1"/>
      <c r="R215" s="1"/>
      <c r="S215" s="1"/>
      <c r="T215" s="1"/>
      <c r="U215" s="1"/>
      <c r="Y215" s="1"/>
    </row>
    <row r="216" ht="12.75" customHeight="1">
      <c r="A216" s="8"/>
      <c r="B216" s="8"/>
      <c r="C216" s="8"/>
      <c r="D216" s="8"/>
      <c r="E216" s="8"/>
      <c r="F216" s="8"/>
      <c r="G216" s="334"/>
      <c r="H216" s="1"/>
      <c r="I216" s="212"/>
      <c r="J216" s="212"/>
      <c r="K216" s="335"/>
      <c r="L216" s="335"/>
      <c r="M216" s="335"/>
      <c r="N216" s="335"/>
      <c r="O216" s="335"/>
      <c r="P216" s="335"/>
      <c r="Q216" s="1"/>
      <c r="R216" s="1"/>
      <c r="S216" s="1"/>
      <c r="T216" s="1"/>
      <c r="U216" s="1"/>
      <c r="Y216" s="1"/>
    </row>
    <row r="217" ht="12.75" customHeight="1">
      <c r="A217" s="8"/>
      <c r="B217" s="8"/>
      <c r="C217" s="8"/>
      <c r="D217" s="8"/>
      <c r="E217" s="8"/>
      <c r="F217" s="8"/>
      <c r="G217" s="334"/>
      <c r="H217" s="1"/>
      <c r="I217" s="212"/>
      <c r="J217" s="212"/>
      <c r="K217" s="335"/>
      <c r="L217" s="335"/>
      <c r="M217" s="335"/>
      <c r="N217" s="335"/>
      <c r="O217" s="335"/>
      <c r="P217" s="335"/>
      <c r="Q217" s="1"/>
      <c r="R217" s="1"/>
      <c r="S217" s="1"/>
      <c r="T217" s="1"/>
      <c r="U217" s="1"/>
      <c r="Y217" s="1"/>
    </row>
    <row r="218" ht="12.75" customHeight="1">
      <c r="A218" s="8"/>
      <c r="B218" s="8"/>
      <c r="C218" s="8"/>
      <c r="D218" s="8"/>
      <c r="E218" s="8"/>
      <c r="F218" s="8"/>
      <c r="G218" s="334"/>
      <c r="H218" s="1"/>
      <c r="I218" s="212"/>
      <c r="J218" s="212"/>
      <c r="K218" s="335"/>
      <c r="L218" s="335"/>
      <c r="M218" s="335"/>
      <c r="N218" s="335"/>
      <c r="O218" s="335"/>
      <c r="P218" s="335"/>
      <c r="Q218" s="1"/>
      <c r="R218" s="1"/>
      <c r="S218" s="1"/>
      <c r="T218" s="1"/>
      <c r="U218" s="1"/>
      <c r="Y218" s="1"/>
    </row>
    <row r="219" ht="12.75" customHeight="1">
      <c r="A219" s="8"/>
      <c r="B219" s="8"/>
      <c r="C219" s="8"/>
      <c r="D219" s="8"/>
      <c r="E219" s="8"/>
      <c r="F219" s="8"/>
      <c r="G219" s="334"/>
      <c r="H219" s="1"/>
      <c r="I219" s="212"/>
      <c r="J219" s="212"/>
      <c r="K219" s="335"/>
      <c r="L219" s="335"/>
      <c r="M219" s="335"/>
      <c r="N219" s="335"/>
      <c r="O219" s="335"/>
      <c r="P219" s="335"/>
      <c r="Q219" s="1"/>
      <c r="R219" s="1"/>
      <c r="S219" s="1"/>
      <c r="T219" s="1"/>
      <c r="U219" s="1"/>
      <c r="Y219" s="1"/>
    </row>
    <row r="220" ht="12.75" customHeight="1">
      <c r="A220" s="8"/>
      <c r="B220" s="8"/>
      <c r="C220" s="8"/>
      <c r="D220" s="8"/>
      <c r="E220" s="8"/>
      <c r="F220" s="8"/>
      <c r="G220" s="334"/>
      <c r="H220" s="1"/>
      <c r="I220" s="212"/>
      <c r="J220" s="212"/>
      <c r="K220" s="335"/>
      <c r="L220" s="335"/>
      <c r="M220" s="335"/>
      <c r="N220" s="335"/>
      <c r="O220" s="335"/>
      <c r="P220" s="335"/>
      <c r="Q220" s="1"/>
      <c r="R220" s="1"/>
      <c r="S220" s="1"/>
      <c r="T220" s="1"/>
      <c r="U220" s="1"/>
      <c r="Y220" s="1"/>
    </row>
    <row r="221" ht="12.75" customHeight="1">
      <c r="A221" s="8"/>
      <c r="B221" s="8"/>
      <c r="C221" s="8"/>
      <c r="D221" s="8"/>
      <c r="E221" s="8"/>
      <c r="F221" s="8"/>
      <c r="G221" s="334"/>
      <c r="H221" s="1"/>
      <c r="I221" s="212"/>
      <c r="J221" s="212"/>
      <c r="K221" s="335"/>
      <c r="L221" s="335"/>
      <c r="M221" s="335"/>
      <c r="N221" s="335"/>
      <c r="O221" s="335"/>
      <c r="P221" s="335"/>
      <c r="Q221" s="1"/>
      <c r="R221" s="1"/>
      <c r="S221" s="1"/>
      <c r="T221" s="1"/>
      <c r="U221" s="1"/>
      <c r="Y221" s="1"/>
    </row>
    <row r="222" ht="12.75" customHeight="1">
      <c r="A222" s="8"/>
      <c r="B222" s="8"/>
      <c r="C222" s="8"/>
      <c r="D222" s="8"/>
      <c r="E222" s="8"/>
      <c r="F222" s="8"/>
      <c r="G222" s="334"/>
      <c r="H222" s="1"/>
      <c r="I222" s="212"/>
      <c r="J222" s="212"/>
      <c r="K222" s="335"/>
      <c r="L222" s="335"/>
      <c r="M222" s="335"/>
      <c r="N222" s="335"/>
      <c r="O222" s="335"/>
      <c r="P222" s="335"/>
      <c r="Q222" s="1"/>
      <c r="R222" s="1"/>
      <c r="S222" s="1"/>
      <c r="T222" s="1"/>
      <c r="U222" s="1"/>
      <c r="Y222" s="1"/>
    </row>
    <row r="223" ht="12.75" customHeight="1">
      <c r="A223" s="8"/>
      <c r="B223" s="8"/>
      <c r="C223" s="8"/>
      <c r="D223" s="8"/>
      <c r="E223" s="8"/>
      <c r="F223" s="8"/>
      <c r="G223" s="334"/>
      <c r="H223" s="1"/>
      <c r="I223" s="212"/>
      <c r="J223" s="212"/>
      <c r="K223" s="335"/>
      <c r="L223" s="335"/>
      <c r="M223" s="335"/>
      <c r="N223" s="335"/>
      <c r="O223" s="335"/>
      <c r="P223" s="335"/>
      <c r="Q223" s="1"/>
      <c r="R223" s="1"/>
      <c r="S223" s="1"/>
      <c r="T223" s="1"/>
      <c r="U223" s="1"/>
      <c r="Y223" s="1"/>
    </row>
    <row r="224" ht="12.75" customHeight="1">
      <c r="A224" s="8"/>
      <c r="B224" s="8"/>
      <c r="C224" s="8"/>
      <c r="D224" s="8"/>
      <c r="E224" s="8"/>
      <c r="F224" s="8"/>
      <c r="G224" s="334"/>
      <c r="H224" s="1"/>
      <c r="I224" s="212"/>
      <c r="J224" s="212"/>
      <c r="K224" s="335"/>
      <c r="L224" s="335"/>
      <c r="M224" s="335"/>
      <c r="N224" s="335"/>
      <c r="O224" s="335"/>
      <c r="P224" s="335"/>
      <c r="Q224" s="1"/>
      <c r="R224" s="1"/>
      <c r="S224" s="1"/>
      <c r="T224" s="1"/>
      <c r="U224" s="1"/>
      <c r="Y224" s="1"/>
    </row>
    <row r="225" ht="12.75" customHeight="1">
      <c r="A225" s="8"/>
      <c r="B225" s="8"/>
      <c r="C225" s="8"/>
      <c r="D225" s="8"/>
      <c r="E225" s="8"/>
      <c r="F225" s="8"/>
      <c r="G225" s="334"/>
      <c r="H225" s="1"/>
      <c r="I225" s="212"/>
      <c r="J225" s="212"/>
      <c r="K225" s="335"/>
      <c r="L225" s="335"/>
      <c r="M225" s="335"/>
      <c r="N225" s="335"/>
      <c r="O225" s="335"/>
      <c r="P225" s="335"/>
      <c r="Q225" s="1"/>
      <c r="R225" s="1"/>
      <c r="S225" s="1"/>
      <c r="T225" s="1"/>
      <c r="U225" s="1"/>
      <c r="Y225" s="1"/>
    </row>
    <row r="226" ht="12.75" customHeight="1">
      <c r="A226" s="8"/>
      <c r="B226" s="8"/>
      <c r="C226" s="8"/>
      <c r="D226" s="8"/>
      <c r="E226" s="8"/>
      <c r="F226" s="8"/>
      <c r="G226" s="334"/>
      <c r="H226" s="1"/>
      <c r="I226" s="212"/>
      <c r="J226" s="212"/>
      <c r="K226" s="335"/>
      <c r="L226" s="335"/>
      <c r="M226" s="335"/>
      <c r="N226" s="335"/>
      <c r="O226" s="335"/>
      <c r="P226" s="335"/>
      <c r="Q226" s="1"/>
      <c r="R226" s="1"/>
      <c r="S226" s="1"/>
      <c r="T226" s="1"/>
      <c r="U226" s="1"/>
      <c r="Y226" s="1"/>
    </row>
    <row r="227" ht="12.75" customHeight="1">
      <c r="A227" s="8"/>
      <c r="B227" s="8"/>
      <c r="C227" s="8"/>
      <c r="D227" s="8"/>
      <c r="E227" s="8"/>
      <c r="F227" s="8"/>
      <c r="G227" s="334"/>
      <c r="H227" s="1"/>
      <c r="I227" s="212"/>
      <c r="J227" s="212"/>
      <c r="K227" s="335"/>
      <c r="L227" s="335"/>
      <c r="M227" s="335"/>
      <c r="N227" s="335"/>
      <c r="O227" s="335"/>
      <c r="P227" s="335"/>
      <c r="Q227" s="1"/>
      <c r="R227" s="1"/>
      <c r="S227" s="1"/>
      <c r="T227" s="1"/>
      <c r="U227" s="1"/>
      <c r="Y227" s="1"/>
    </row>
    <row r="228" ht="12.75" customHeight="1">
      <c r="A228" s="8"/>
      <c r="B228" s="8"/>
      <c r="C228" s="8"/>
      <c r="D228" s="8"/>
      <c r="E228" s="8"/>
      <c r="F228" s="8"/>
      <c r="G228" s="334"/>
      <c r="H228" s="1"/>
      <c r="I228" s="212"/>
      <c r="J228" s="212"/>
      <c r="K228" s="335"/>
      <c r="L228" s="335"/>
      <c r="M228" s="335"/>
      <c r="N228" s="335"/>
      <c r="O228" s="335"/>
      <c r="P228" s="335"/>
      <c r="Q228" s="1"/>
      <c r="R228" s="1"/>
      <c r="S228" s="1"/>
      <c r="T228" s="1"/>
      <c r="U228" s="1"/>
      <c r="Y228" s="1"/>
    </row>
    <row r="229" ht="12.75" customHeight="1">
      <c r="A229" s="8"/>
      <c r="B229" s="8"/>
      <c r="C229" s="8"/>
      <c r="D229" s="8"/>
      <c r="E229" s="8"/>
      <c r="F229" s="8"/>
      <c r="G229" s="334"/>
      <c r="H229" s="1"/>
      <c r="I229" s="212"/>
      <c r="J229" s="212"/>
      <c r="K229" s="335"/>
      <c r="L229" s="335"/>
      <c r="M229" s="335"/>
      <c r="N229" s="335"/>
      <c r="O229" s="335"/>
      <c r="P229" s="335"/>
      <c r="Q229" s="1"/>
      <c r="R229" s="1"/>
      <c r="S229" s="1"/>
      <c r="T229" s="1"/>
      <c r="U229" s="1"/>
      <c r="Y229" s="1"/>
    </row>
    <row r="230" ht="12.75" customHeight="1">
      <c r="A230" s="8"/>
      <c r="B230" s="8"/>
      <c r="C230" s="8"/>
      <c r="D230" s="8"/>
      <c r="E230" s="8"/>
      <c r="F230" s="8"/>
      <c r="G230" s="334"/>
      <c r="H230" s="1"/>
      <c r="I230" s="212"/>
      <c r="J230" s="212"/>
      <c r="K230" s="335"/>
      <c r="L230" s="335"/>
      <c r="M230" s="335"/>
      <c r="N230" s="335"/>
      <c r="O230" s="335"/>
      <c r="P230" s="335"/>
      <c r="Q230" s="1"/>
      <c r="R230" s="1"/>
      <c r="S230" s="1"/>
      <c r="T230" s="1"/>
      <c r="U230" s="1"/>
      <c r="Y230" s="1"/>
    </row>
    <row r="231" ht="12.75" customHeight="1">
      <c r="A231" s="8"/>
      <c r="B231" s="8"/>
      <c r="C231" s="8"/>
      <c r="D231" s="8"/>
      <c r="E231" s="8"/>
      <c r="F231" s="8"/>
      <c r="G231" s="334"/>
      <c r="H231" s="1"/>
      <c r="I231" s="212"/>
      <c r="J231" s="212"/>
      <c r="K231" s="335"/>
      <c r="L231" s="335"/>
      <c r="M231" s="335"/>
      <c r="N231" s="335"/>
      <c r="O231" s="335"/>
      <c r="P231" s="335"/>
      <c r="Q231" s="1"/>
      <c r="R231" s="1"/>
      <c r="S231" s="1"/>
      <c r="T231" s="1"/>
      <c r="U231" s="1"/>
      <c r="Y231" s="1"/>
    </row>
    <row r="232" ht="12.75" customHeight="1">
      <c r="A232" s="8"/>
      <c r="B232" s="8"/>
      <c r="C232" s="8"/>
      <c r="D232" s="8"/>
      <c r="E232" s="8"/>
      <c r="F232" s="8"/>
      <c r="G232" s="334"/>
      <c r="H232" s="1"/>
      <c r="I232" s="212"/>
      <c r="J232" s="212"/>
      <c r="K232" s="335"/>
      <c r="L232" s="335"/>
      <c r="M232" s="335"/>
      <c r="N232" s="335"/>
      <c r="O232" s="335"/>
      <c r="P232" s="335"/>
      <c r="Q232" s="1"/>
      <c r="R232" s="1"/>
      <c r="S232" s="1"/>
      <c r="T232" s="1"/>
      <c r="U232" s="1"/>
      <c r="Y232" s="1"/>
    </row>
    <row r="233" ht="12.75" customHeight="1">
      <c r="A233" s="8"/>
      <c r="B233" s="8"/>
      <c r="C233" s="8"/>
      <c r="D233" s="8"/>
      <c r="E233" s="8"/>
      <c r="F233" s="8"/>
      <c r="G233" s="334"/>
      <c r="H233" s="1"/>
      <c r="I233" s="212"/>
      <c r="J233" s="212"/>
      <c r="K233" s="335"/>
      <c r="L233" s="335"/>
      <c r="M233" s="335"/>
      <c r="N233" s="335"/>
      <c r="O233" s="335"/>
      <c r="P233" s="335"/>
      <c r="Q233" s="1"/>
      <c r="R233" s="1"/>
      <c r="S233" s="1"/>
      <c r="T233" s="1"/>
      <c r="U233" s="1"/>
      <c r="Y233" s="1"/>
    </row>
    <row r="234" ht="12.75" customHeight="1">
      <c r="A234" s="8"/>
      <c r="B234" s="8"/>
      <c r="C234" s="8"/>
      <c r="D234" s="8"/>
      <c r="E234" s="8"/>
      <c r="F234" s="8"/>
      <c r="G234" s="334"/>
      <c r="H234" s="1"/>
      <c r="I234" s="212"/>
      <c r="J234" s="212"/>
      <c r="K234" s="335"/>
      <c r="L234" s="335"/>
      <c r="M234" s="335"/>
      <c r="N234" s="335"/>
      <c r="O234" s="335"/>
      <c r="P234" s="335"/>
      <c r="Q234" s="1"/>
      <c r="R234" s="1"/>
      <c r="S234" s="1"/>
      <c r="T234" s="1"/>
      <c r="U234" s="1"/>
      <c r="Y234" s="1"/>
    </row>
    <row r="235" ht="12.75" customHeight="1">
      <c r="A235" s="8"/>
      <c r="B235" s="8"/>
      <c r="C235" s="8"/>
      <c r="D235" s="8"/>
      <c r="E235" s="8"/>
      <c r="F235" s="8"/>
      <c r="G235" s="334"/>
      <c r="H235" s="1"/>
      <c r="I235" s="212"/>
      <c r="J235" s="212"/>
      <c r="K235" s="335"/>
      <c r="L235" s="335"/>
      <c r="M235" s="335"/>
      <c r="N235" s="335"/>
      <c r="O235" s="335"/>
      <c r="P235" s="335"/>
      <c r="Q235" s="1"/>
      <c r="R235" s="1"/>
      <c r="S235" s="1"/>
      <c r="T235" s="1"/>
      <c r="U235" s="1"/>
      <c r="Y235" s="1"/>
    </row>
    <row r="236" ht="12.75" customHeight="1">
      <c r="A236" s="8"/>
      <c r="B236" s="8"/>
      <c r="C236" s="8"/>
      <c r="D236" s="8"/>
      <c r="E236" s="8"/>
      <c r="F236" s="8"/>
      <c r="G236" s="334"/>
      <c r="H236" s="1"/>
      <c r="I236" s="212"/>
      <c r="J236" s="212"/>
      <c r="K236" s="335"/>
      <c r="L236" s="335"/>
      <c r="M236" s="335"/>
      <c r="N236" s="335"/>
      <c r="O236" s="335"/>
      <c r="P236" s="335"/>
      <c r="Q236" s="1"/>
      <c r="R236" s="1"/>
      <c r="S236" s="1"/>
      <c r="T236" s="1"/>
      <c r="U236" s="1"/>
      <c r="Y236" s="1"/>
    </row>
    <row r="237" ht="12.75" customHeight="1">
      <c r="A237" s="8"/>
      <c r="B237" s="8"/>
      <c r="C237" s="8"/>
      <c r="D237" s="8"/>
      <c r="E237" s="8"/>
      <c r="F237" s="8"/>
      <c r="G237" s="334"/>
      <c r="H237" s="1"/>
      <c r="I237" s="212"/>
      <c r="J237" s="212"/>
      <c r="K237" s="335"/>
      <c r="L237" s="335"/>
      <c r="M237" s="335"/>
      <c r="N237" s="335"/>
      <c r="O237" s="335"/>
      <c r="P237" s="335"/>
      <c r="Q237" s="1"/>
      <c r="R237" s="1"/>
      <c r="S237" s="1"/>
      <c r="T237" s="1"/>
      <c r="U237" s="1"/>
      <c r="Y237" s="1"/>
    </row>
    <row r="238" ht="12.75" customHeight="1">
      <c r="A238" s="8"/>
      <c r="B238" s="8"/>
      <c r="C238" s="8"/>
      <c r="D238" s="8"/>
      <c r="E238" s="8"/>
      <c r="F238" s="8"/>
      <c r="G238" s="334"/>
      <c r="H238" s="1"/>
      <c r="I238" s="212"/>
      <c r="J238" s="212"/>
      <c r="K238" s="335"/>
      <c r="L238" s="335"/>
      <c r="M238" s="335"/>
      <c r="N238" s="335"/>
      <c r="O238" s="335"/>
      <c r="P238" s="335"/>
      <c r="Q238" s="1"/>
      <c r="R238" s="1"/>
      <c r="S238" s="1"/>
      <c r="T238" s="1"/>
      <c r="U238" s="1"/>
      <c r="Y238" s="1"/>
    </row>
    <row r="239" ht="12.75" customHeight="1">
      <c r="A239" s="8"/>
      <c r="B239" s="8"/>
      <c r="C239" s="8"/>
      <c r="D239" s="8"/>
      <c r="E239" s="8"/>
      <c r="F239" s="8"/>
      <c r="G239" s="334"/>
      <c r="H239" s="1"/>
      <c r="I239" s="212"/>
      <c r="J239" s="212"/>
      <c r="K239" s="335"/>
      <c r="L239" s="335"/>
      <c r="M239" s="335"/>
      <c r="N239" s="335"/>
      <c r="O239" s="335"/>
      <c r="P239" s="335"/>
      <c r="Q239" s="1"/>
      <c r="R239" s="1"/>
      <c r="S239" s="1"/>
      <c r="T239" s="1"/>
      <c r="U239" s="1"/>
      <c r="Y239" s="1"/>
    </row>
    <row r="240" ht="12.75" customHeight="1">
      <c r="A240" s="8"/>
      <c r="B240" s="8"/>
      <c r="C240" s="8"/>
      <c r="D240" s="8"/>
      <c r="E240" s="8"/>
      <c r="F240" s="8"/>
      <c r="G240" s="334"/>
      <c r="H240" s="1"/>
      <c r="I240" s="212"/>
      <c r="J240" s="212"/>
      <c r="K240" s="335"/>
      <c r="L240" s="335"/>
      <c r="M240" s="335"/>
      <c r="N240" s="335"/>
      <c r="O240" s="335"/>
      <c r="P240" s="335"/>
      <c r="Q240" s="1"/>
      <c r="R240" s="1"/>
      <c r="S240" s="1"/>
      <c r="T240" s="1"/>
      <c r="U240" s="1"/>
      <c r="Y240" s="1"/>
    </row>
    <row r="241" ht="12.75" customHeight="1">
      <c r="A241" s="8"/>
      <c r="B241" s="8"/>
      <c r="C241" s="8"/>
      <c r="D241" s="8"/>
      <c r="E241" s="8"/>
      <c r="F241" s="8"/>
      <c r="G241" s="334"/>
      <c r="H241" s="1"/>
      <c r="I241" s="212"/>
      <c r="J241" s="212"/>
      <c r="K241" s="335"/>
      <c r="L241" s="335"/>
      <c r="M241" s="335"/>
      <c r="N241" s="335"/>
      <c r="O241" s="335"/>
      <c r="P241" s="335"/>
      <c r="Q241" s="1"/>
      <c r="R241" s="1"/>
      <c r="S241" s="1"/>
      <c r="T241" s="1"/>
      <c r="U241" s="1"/>
      <c r="Y241" s="1"/>
    </row>
    <row r="242" ht="12.75" customHeight="1">
      <c r="A242" s="8"/>
      <c r="B242" s="8"/>
      <c r="C242" s="8"/>
      <c r="D242" s="8"/>
      <c r="E242" s="8"/>
      <c r="F242" s="8"/>
      <c r="G242" s="334"/>
      <c r="H242" s="1"/>
      <c r="I242" s="212"/>
      <c r="J242" s="212"/>
      <c r="K242" s="335"/>
      <c r="L242" s="335"/>
      <c r="M242" s="335"/>
      <c r="N242" s="335"/>
      <c r="O242" s="335"/>
      <c r="P242" s="335"/>
      <c r="Q242" s="1"/>
      <c r="R242" s="1"/>
      <c r="S242" s="1"/>
      <c r="T242" s="1"/>
      <c r="U242" s="1"/>
      <c r="Y242" s="1"/>
    </row>
    <row r="243" ht="12.75" customHeight="1">
      <c r="A243" s="8"/>
      <c r="B243" s="8"/>
      <c r="C243" s="8"/>
      <c r="D243" s="8"/>
      <c r="E243" s="8"/>
      <c r="F243" s="8"/>
      <c r="G243" s="334"/>
      <c r="H243" s="1"/>
      <c r="I243" s="212"/>
      <c r="J243" s="212"/>
      <c r="K243" s="335"/>
      <c r="L243" s="335"/>
      <c r="M243" s="335"/>
      <c r="N243" s="335"/>
      <c r="O243" s="335"/>
      <c r="P243" s="335"/>
      <c r="Q243" s="1"/>
      <c r="R243" s="1"/>
      <c r="S243" s="1"/>
      <c r="T243" s="1"/>
      <c r="U243" s="1"/>
      <c r="Y243" s="1"/>
    </row>
    <row r="244" ht="12.75" customHeight="1">
      <c r="A244" s="8"/>
      <c r="B244" s="8"/>
      <c r="C244" s="8"/>
      <c r="D244" s="8"/>
      <c r="E244" s="8"/>
      <c r="F244" s="8"/>
      <c r="G244" s="334"/>
      <c r="H244" s="1"/>
      <c r="I244" s="212"/>
      <c r="J244" s="212"/>
      <c r="K244" s="335"/>
      <c r="L244" s="335"/>
      <c r="M244" s="335"/>
      <c r="N244" s="335"/>
      <c r="O244" s="335"/>
      <c r="P244" s="335"/>
      <c r="Q244" s="1"/>
      <c r="R244" s="1"/>
      <c r="S244" s="1"/>
      <c r="T244" s="1"/>
      <c r="U244" s="1"/>
      <c r="Y244" s="1"/>
    </row>
    <row r="245" ht="12.75" customHeight="1">
      <c r="A245" s="8"/>
      <c r="B245" s="8"/>
      <c r="C245" s="8"/>
      <c r="D245" s="8"/>
      <c r="E245" s="8"/>
      <c r="F245" s="8"/>
      <c r="G245" s="334"/>
      <c r="H245" s="1"/>
      <c r="I245" s="212"/>
      <c r="J245" s="212"/>
      <c r="K245" s="335"/>
      <c r="L245" s="335"/>
      <c r="M245" s="335"/>
      <c r="N245" s="335"/>
      <c r="O245" s="335"/>
      <c r="P245" s="335"/>
      <c r="Q245" s="1"/>
      <c r="R245" s="1"/>
      <c r="S245" s="1"/>
      <c r="T245" s="1"/>
      <c r="U245" s="1"/>
      <c r="Y245" s="1"/>
    </row>
    <row r="246" ht="12.75" customHeight="1">
      <c r="A246" s="8"/>
      <c r="B246" s="8"/>
      <c r="C246" s="8"/>
      <c r="D246" s="8"/>
      <c r="E246" s="8"/>
      <c r="F246" s="8"/>
      <c r="G246" s="334"/>
      <c r="H246" s="1"/>
      <c r="I246" s="212"/>
      <c r="J246" s="212"/>
      <c r="K246" s="335"/>
      <c r="L246" s="335"/>
      <c r="M246" s="335"/>
      <c r="N246" s="335"/>
      <c r="O246" s="335"/>
      <c r="P246" s="335"/>
      <c r="Q246" s="1"/>
      <c r="R246" s="1"/>
      <c r="S246" s="1"/>
      <c r="T246" s="1"/>
      <c r="U246" s="1"/>
      <c r="Y246" s="1"/>
    </row>
    <row r="247" ht="12.75" customHeight="1">
      <c r="A247" s="8"/>
      <c r="B247" s="8"/>
      <c r="C247" s="8"/>
      <c r="D247" s="8"/>
      <c r="E247" s="8"/>
      <c r="F247" s="8"/>
      <c r="G247" s="334"/>
      <c r="H247" s="1"/>
      <c r="I247" s="212"/>
      <c r="J247" s="212"/>
      <c r="K247" s="335"/>
      <c r="L247" s="335"/>
      <c r="M247" s="335"/>
      <c r="N247" s="335"/>
      <c r="O247" s="335"/>
      <c r="P247" s="335"/>
      <c r="Q247" s="1"/>
      <c r="R247" s="1"/>
      <c r="S247" s="1"/>
      <c r="T247" s="1"/>
      <c r="U247" s="1"/>
      <c r="Y247" s="1"/>
    </row>
    <row r="248" ht="12.75" customHeight="1">
      <c r="A248" s="8"/>
      <c r="B248" s="8"/>
      <c r="C248" s="8"/>
      <c r="D248" s="8"/>
      <c r="E248" s="8"/>
      <c r="F248" s="8"/>
      <c r="G248" s="334"/>
      <c r="H248" s="1"/>
      <c r="I248" s="212"/>
      <c r="J248" s="212"/>
      <c r="K248" s="335"/>
      <c r="L248" s="335"/>
      <c r="M248" s="335"/>
      <c r="N248" s="335"/>
      <c r="O248" s="335"/>
      <c r="P248" s="335"/>
      <c r="Q248" s="1"/>
      <c r="R248" s="1"/>
      <c r="S248" s="1"/>
      <c r="T248" s="1"/>
      <c r="U248" s="1"/>
      <c r="Y248" s="1"/>
    </row>
    <row r="249" ht="12.75" customHeight="1">
      <c r="A249" s="8"/>
      <c r="B249" s="8"/>
      <c r="C249" s="8"/>
      <c r="D249" s="8"/>
      <c r="E249" s="8"/>
      <c r="F249" s="8"/>
      <c r="G249" s="334"/>
      <c r="H249" s="1"/>
      <c r="I249" s="212"/>
      <c r="J249" s="212"/>
      <c r="K249" s="335"/>
      <c r="L249" s="335"/>
      <c r="M249" s="335"/>
      <c r="N249" s="335"/>
      <c r="O249" s="335"/>
      <c r="P249" s="335"/>
      <c r="Q249" s="1"/>
      <c r="R249" s="1"/>
      <c r="S249" s="1"/>
      <c r="T249" s="1"/>
      <c r="U249" s="1"/>
      <c r="Y249" s="1"/>
    </row>
    <row r="250" ht="12.75" customHeight="1">
      <c r="A250" s="8"/>
      <c r="B250" s="8"/>
      <c r="C250" s="8"/>
      <c r="D250" s="8"/>
      <c r="E250" s="8"/>
      <c r="F250" s="8"/>
      <c r="G250" s="334"/>
      <c r="H250" s="1"/>
      <c r="I250" s="212"/>
      <c r="J250" s="212"/>
      <c r="K250" s="335"/>
      <c r="L250" s="335"/>
      <c r="M250" s="335"/>
      <c r="N250" s="335"/>
      <c r="O250" s="335"/>
      <c r="P250" s="335"/>
      <c r="Q250" s="1"/>
      <c r="R250" s="1"/>
      <c r="S250" s="1"/>
      <c r="T250" s="1"/>
      <c r="U250" s="1"/>
      <c r="Y250" s="1"/>
    </row>
    <row r="251" ht="12.75" customHeight="1">
      <c r="A251" s="8"/>
      <c r="B251" s="8"/>
      <c r="C251" s="8"/>
      <c r="D251" s="8"/>
      <c r="E251" s="8"/>
      <c r="F251" s="8"/>
      <c r="G251" s="334"/>
      <c r="H251" s="1"/>
      <c r="I251" s="212"/>
      <c r="J251" s="212"/>
      <c r="K251" s="335"/>
      <c r="L251" s="335"/>
      <c r="M251" s="335"/>
      <c r="N251" s="335"/>
      <c r="O251" s="335"/>
      <c r="P251" s="335"/>
      <c r="Q251" s="1"/>
      <c r="R251" s="1"/>
      <c r="S251" s="1"/>
      <c r="T251" s="1"/>
      <c r="U251" s="1"/>
      <c r="Y251" s="1"/>
    </row>
    <row r="252" ht="12.75" customHeight="1">
      <c r="A252" s="8"/>
      <c r="B252" s="8"/>
      <c r="C252" s="8"/>
      <c r="D252" s="8"/>
      <c r="E252" s="8"/>
      <c r="F252" s="8"/>
      <c r="G252" s="334"/>
      <c r="H252" s="1"/>
      <c r="I252" s="212"/>
      <c r="J252" s="212"/>
      <c r="K252" s="335"/>
      <c r="L252" s="335"/>
      <c r="M252" s="335"/>
      <c r="N252" s="335"/>
      <c r="O252" s="335"/>
      <c r="P252" s="335"/>
      <c r="Q252" s="1"/>
      <c r="R252" s="1"/>
      <c r="S252" s="1"/>
      <c r="T252" s="1"/>
      <c r="U252" s="1"/>
      <c r="Y252" s="1"/>
    </row>
    <row r="253" ht="12.75" customHeight="1">
      <c r="A253" s="8"/>
      <c r="B253" s="8"/>
      <c r="C253" s="8"/>
      <c r="D253" s="8"/>
      <c r="E253" s="8"/>
      <c r="F253" s="8"/>
      <c r="G253" s="334"/>
      <c r="H253" s="1"/>
      <c r="I253" s="212"/>
      <c r="J253" s="212"/>
      <c r="K253" s="335"/>
      <c r="L253" s="335"/>
      <c r="M253" s="335"/>
      <c r="N253" s="335"/>
      <c r="O253" s="335"/>
      <c r="P253" s="335"/>
      <c r="Q253" s="1"/>
      <c r="R253" s="1"/>
      <c r="S253" s="1"/>
      <c r="T253" s="1"/>
      <c r="U253" s="1"/>
      <c r="Y253" s="1"/>
    </row>
    <row r="254" ht="12.75" customHeight="1">
      <c r="A254" s="8"/>
      <c r="B254" s="8"/>
      <c r="C254" s="8"/>
      <c r="D254" s="8"/>
      <c r="E254" s="8"/>
      <c r="F254" s="8"/>
      <c r="G254" s="334"/>
      <c r="H254" s="1"/>
      <c r="I254" s="212"/>
      <c r="J254" s="212"/>
      <c r="K254" s="335"/>
      <c r="L254" s="335"/>
      <c r="M254" s="335"/>
      <c r="N254" s="335"/>
      <c r="O254" s="335"/>
      <c r="P254" s="335"/>
      <c r="Q254" s="1"/>
      <c r="R254" s="1"/>
      <c r="S254" s="1"/>
      <c r="T254" s="1"/>
      <c r="U254" s="1"/>
      <c r="Y254" s="1"/>
    </row>
    <row r="255" ht="12.75" customHeight="1">
      <c r="A255" s="8"/>
      <c r="B255" s="8"/>
      <c r="C255" s="8"/>
      <c r="D255" s="8"/>
      <c r="E255" s="8"/>
      <c r="F255" s="8"/>
      <c r="G255" s="334"/>
      <c r="H255" s="1"/>
      <c r="I255" s="212"/>
      <c r="J255" s="212"/>
      <c r="K255" s="335"/>
      <c r="L255" s="335"/>
      <c r="M255" s="335"/>
      <c r="N255" s="335"/>
      <c r="O255" s="335"/>
      <c r="P255" s="335"/>
      <c r="Q255" s="1"/>
      <c r="R255" s="1"/>
      <c r="S255" s="1"/>
      <c r="T255" s="1"/>
      <c r="U255" s="1"/>
      <c r="Y255" s="1"/>
    </row>
    <row r="256" ht="12.75" customHeight="1">
      <c r="A256" s="8"/>
      <c r="B256" s="8"/>
      <c r="C256" s="8"/>
      <c r="D256" s="8"/>
      <c r="E256" s="8"/>
      <c r="F256" s="8"/>
      <c r="G256" s="334"/>
      <c r="H256" s="1"/>
      <c r="I256" s="212"/>
      <c r="J256" s="212"/>
      <c r="K256" s="335"/>
      <c r="L256" s="335"/>
      <c r="M256" s="335"/>
      <c r="N256" s="335"/>
      <c r="O256" s="335"/>
      <c r="P256" s="335"/>
      <c r="Q256" s="1"/>
      <c r="R256" s="1"/>
      <c r="S256" s="1"/>
      <c r="T256" s="1"/>
      <c r="U256" s="1"/>
      <c r="Y256" s="1"/>
    </row>
    <row r="257" ht="12.75" customHeight="1">
      <c r="A257" s="8"/>
      <c r="B257" s="8"/>
      <c r="C257" s="8"/>
      <c r="D257" s="8"/>
      <c r="E257" s="8"/>
      <c r="F257" s="8"/>
      <c r="G257" s="334"/>
      <c r="H257" s="1"/>
      <c r="I257" s="212"/>
      <c r="J257" s="212"/>
      <c r="K257" s="335"/>
      <c r="L257" s="335"/>
      <c r="M257" s="335"/>
      <c r="N257" s="335"/>
      <c r="O257" s="335"/>
      <c r="P257" s="335"/>
      <c r="Q257" s="1"/>
      <c r="R257" s="1"/>
      <c r="S257" s="1"/>
      <c r="T257" s="1"/>
      <c r="U257" s="1"/>
      <c r="Y257" s="1"/>
    </row>
    <row r="258" ht="12.75" customHeight="1">
      <c r="A258" s="8"/>
      <c r="B258" s="8"/>
      <c r="C258" s="8"/>
      <c r="D258" s="8"/>
      <c r="E258" s="8"/>
      <c r="F258" s="8"/>
      <c r="G258" s="334"/>
      <c r="H258" s="1"/>
      <c r="I258" s="212"/>
      <c r="J258" s="212"/>
      <c r="K258" s="335"/>
      <c r="L258" s="335"/>
      <c r="M258" s="335"/>
      <c r="N258" s="335"/>
      <c r="O258" s="335"/>
      <c r="P258" s="335"/>
      <c r="Q258" s="1"/>
      <c r="R258" s="1"/>
      <c r="S258" s="1"/>
      <c r="T258" s="1"/>
      <c r="U258" s="1"/>
      <c r="Y258" s="1"/>
    </row>
    <row r="259" ht="12.75" customHeight="1">
      <c r="A259" s="8"/>
      <c r="B259" s="8"/>
      <c r="C259" s="8"/>
      <c r="D259" s="8"/>
      <c r="E259" s="8"/>
      <c r="F259" s="8"/>
      <c r="G259" s="334"/>
      <c r="H259" s="1"/>
      <c r="I259" s="212"/>
      <c r="J259" s="212"/>
      <c r="K259" s="335"/>
      <c r="L259" s="335"/>
      <c r="M259" s="335"/>
      <c r="N259" s="335"/>
      <c r="O259" s="335"/>
      <c r="P259" s="335"/>
      <c r="Q259" s="1"/>
      <c r="R259" s="1"/>
      <c r="S259" s="1"/>
      <c r="T259" s="1"/>
      <c r="U259" s="1"/>
      <c r="Y259" s="1"/>
    </row>
    <row r="260" ht="12.75" customHeight="1">
      <c r="A260" s="8"/>
      <c r="B260" s="8"/>
      <c r="C260" s="8"/>
      <c r="D260" s="8"/>
      <c r="E260" s="8"/>
      <c r="F260" s="8"/>
      <c r="G260" s="334"/>
      <c r="H260" s="1"/>
      <c r="I260" s="212"/>
      <c r="J260" s="212"/>
      <c r="K260" s="335"/>
      <c r="L260" s="335"/>
      <c r="M260" s="335"/>
      <c r="N260" s="335"/>
      <c r="O260" s="335"/>
      <c r="P260" s="335"/>
      <c r="Q260" s="1"/>
      <c r="R260" s="1"/>
      <c r="S260" s="1"/>
      <c r="T260" s="1"/>
      <c r="U260" s="1"/>
      <c r="Y260" s="1"/>
    </row>
    <row r="261" ht="12.75" customHeight="1">
      <c r="A261" s="8"/>
      <c r="B261" s="8"/>
      <c r="C261" s="8"/>
      <c r="D261" s="8"/>
      <c r="E261" s="8"/>
      <c r="F261" s="8"/>
      <c r="G261" s="334"/>
      <c r="H261" s="1"/>
      <c r="I261" s="212"/>
      <c r="J261" s="212"/>
      <c r="K261" s="335"/>
      <c r="L261" s="335"/>
      <c r="M261" s="335"/>
      <c r="N261" s="335"/>
      <c r="O261" s="335"/>
      <c r="P261" s="335"/>
      <c r="Q261" s="1"/>
      <c r="R261" s="1"/>
      <c r="S261" s="1"/>
      <c r="T261" s="1"/>
      <c r="U261" s="1"/>
      <c r="Y261" s="1"/>
    </row>
    <row r="262" ht="12.75" customHeight="1">
      <c r="A262" s="8"/>
      <c r="B262" s="8"/>
      <c r="C262" s="8"/>
      <c r="D262" s="8"/>
      <c r="E262" s="8"/>
      <c r="F262" s="8"/>
      <c r="G262" s="334"/>
      <c r="H262" s="1"/>
      <c r="I262" s="212"/>
      <c r="J262" s="212"/>
      <c r="K262" s="335"/>
      <c r="L262" s="335"/>
      <c r="M262" s="335"/>
      <c r="N262" s="335"/>
      <c r="O262" s="335"/>
      <c r="P262" s="335"/>
      <c r="Q262" s="1"/>
      <c r="R262" s="1"/>
      <c r="S262" s="1"/>
      <c r="T262" s="1"/>
      <c r="U262" s="1"/>
      <c r="Y262" s="1"/>
    </row>
    <row r="263" ht="12.75" customHeight="1">
      <c r="A263" s="8"/>
      <c r="B263" s="8"/>
      <c r="C263" s="8"/>
      <c r="D263" s="8"/>
      <c r="E263" s="8"/>
      <c r="F263" s="8"/>
      <c r="G263" s="334"/>
      <c r="H263" s="1"/>
      <c r="I263" s="212"/>
      <c r="J263" s="212"/>
      <c r="K263" s="335"/>
      <c r="L263" s="335"/>
      <c r="M263" s="335"/>
      <c r="N263" s="335"/>
      <c r="O263" s="335"/>
      <c r="P263" s="335"/>
      <c r="Q263" s="1"/>
      <c r="R263" s="1"/>
      <c r="S263" s="1"/>
      <c r="T263" s="1"/>
      <c r="U263" s="1"/>
      <c r="Y263" s="1"/>
    </row>
    <row r="264" ht="12.75" customHeight="1">
      <c r="A264" s="8"/>
      <c r="B264" s="8"/>
      <c r="C264" s="8"/>
      <c r="D264" s="8"/>
      <c r="E264" s="8"/>
      <c r="F264" s="8"/>
      <c r="G264" s="334"/>
      <c r="H264" s="1"/>
      <c r="I264" s="212"/>
      <c r="J264" s="212"/>
      <c r="K264" s="335"/>
      <c r="L264" s="335"/>
      <c r="M264" s="335"/>
      <c r="N264" s="335"/>
      <c r="O264" s="335"/>
      <c r="P264" s="335"/>
      <c r="Q264" s="1"/>
      <c r="R264" s="1"/>
      <c r="S264" s="1"/>
      <c r="T264" s="1"/>
      <c r="U264" s="1"/>
      <c r="Y264" s="1"/>
    </row>
    <row r="265" ht="12.75" customHeight="1">
      <c r="A265" s="8"/>
      <c r="B265" s="8"/>
      <c r="C265" s="8"/>
      <c r="D265" s="8"/>
      <c r="E265" s="8"/>
      <c r="F265" s="8"/>
      <c r="G265" s="334"/>
      <c r="H265" s="1"/>
      <c r="I265" s="212"/>
      <c r="J265" s="212"/>
      <c r="K265" s="335"/>
      <c r="L265" s="335"/>
      <c r="M265" s="335"/>
      <c r="N265" s="335"/>
      <c r="O265" s="335"/>
      <c r="P265" s="335"/>
      <c r="Q265" s="1"/>
      <c r="R265" s="1"/>
      <c r="S265" s="1"/>
      <c r="T265" s="1"/>
      <c r="U265" s="1"/>
      <c r="Y265" s="1"/>
    </row>
    <row r="266" ht="12.75" customHeight="1">
      <c r="A266" s="8"/>
      <c r="B266" s="8"/>
      <c r="C266" s="8"/>
      <c r="D266" s="8"/>
      <c r="E266" s="8"/>
      <c r="F266" s="8"/>
      <c r="G266" s="334"/>
      <c r="H266" s="1"/>
      <c r="I266" s="212"/>
      <c r="J266" s="212"/>
      <c r="K266" s="335"/>
      <c r="L266" s="335"/>
      <c r="M266" s="335"/>
      <c r="N266" s="335"/>
      <c r="O266" s="335"/>
      <c r="P266" s="335"/>
      <c r="Q266" s="1"/>
      <c r="R266" s="1"/>
      <c r="S266" s="1"/>
      <c r="T266" s="1"/>
      <c r="U266" s="1"/>
      <c r="Y266" s="1"/>
    </row>
    <row r="267" ht="12.75" customHeight="1">
      <c r="A267" s="8"/>
      <c r="B267" s="8"/>
      <c r="C267" s="8"/>
      <c r="D267" s="8"/>
      <c r="E267" s="8"/>
      <c r="F267" s="8"/>
      <c r="G267" s="334"/>
      <c r="H267" s="1"/>
      <c r="I267" s="212"/>
      <c r="J267" s="212"/>
      <c r="K267" s="335"/>
      <c r="L267" s="335"/>
      <c r="M267" s="335"/>
      <c r="N267" s="335"/>
      <c r="O267" s="335"/>
      <c r="P267" s="335"/>
      <c r="Q267" s="1"/>
      <c r="R267" s="1"/>
      <c r="S267" s="1"/>
      <c r="T267" s="1"/>
      <c r="U267" s="1"/>
      <c r="Y267" s="1"/>
    </row>
    <row r="268" ht="12.75" customHeight="1">
      <c r="A268" s="8"/>
      <c r="B268" s="8"/>
      <c r="C268" s="8"/>
      <c r="D268" s="8"/>
      <c r="E268" s="8"/>
      <c r="F268" s="8"/>
      <c r="G268" s="334"/>
      <c r="H268" s="1"/>
      <c r="I268" s="212"/>
      <c r="J268" s="212"/>
      <c r="K268" s="335"/>
      <c r="L268" s="335"/>
      <c r="M268" s="335"/>
      <c r="N268" s="335"/>
      <c r="O268" s="335"/>
      <c r="P268" s="335"/>
      <c r="Q268" s="1"/>
      <c r="R268" s="1"/>
      <c r="S268" s="1"/>
      <c r="T268" s="1"/>
      <c r="U268" s="1"/>
      <c r="Y268" s="1"/>
    </row>
    <row r="269" ht="12.75" customHeight="1">
      <c r="A269" s="8"/>
      <c r="B269" s="8"/>
      <c r="C269" s="8"/>
      <c r="D269" s="8"/>
      <c r="E269" s="8"/>
      <c r="F269" s="8"/>
      <c r="G269" s="334"/>
      <c r="H269" s="1"/>
      <c r="I269" s="212"/>
      <c r="J269" s="212"/>
      <c r="K269" s="335"/>
      <c r="L269" s="335"/>
      <c r="M269" s="335"/>
      <c r="N269" s="335"/>
      <c r="O269" s="335"/>
      <c r="P269" s="335"/>
      <c r="Q269" s="1"/>
      <c r="R269" s="1"/>
      <c r="S269" s="1"/>
      <c r="T269" s="1"/>
      <c r="U269" s="1"/>
      <c r="Y269" s="1"/>
    </row>
    <row r="270" ht="12.75" customHeight="1">
      <c r="A270" s="8"/>
      <c r="B270" s="8"/>
      <c r="C270" s="8"/>
      <c r="D270" s="8"/>
      <c r="E270" s="8"/>
      <c r="F270" s="8"/>
      <c r="G270" s="334"/>
      <c r="H270" s="1"/>
      <c r="I270" s="212"/>
      <c r="J270" s="212"/>
      <c r="K270" s="335"/>
      <c r="L270" s="335"/>
      <c r="M270" s="335"/>
      <c r="N270" s="335"/>
      <c r="O270" s="335"/>
      <c r="P270" s="335"/>
      <c r="Q270" s="1"/>
      <c r="R270" s="1"/>
      <c r="S270" s="1"/>
      <c r="T270" s="1"/>
      <c r="U270" s="1"/>
      <c r="Y270" s="1"/>
    </row>
    <row r="271" ht="12.75" customHeight="1">
      <c r="A271" s="8"/>
      <c r="B271" s="8"/>
      <c r="C271" s="8"/>
      <c r="D271" s="8"/>
      <c r="E271" s="8"/>
      <c r="F271" s="8"/>
      <c r="G271" s="334"/>
      <c r="H271" s="1"/>
      <c r="I271" s="212"/>
      <c r="J271" s="212"/>
      <c r="K271" s="335"/>
      <c r="L271" s="335"/>
      <c r="M271" s="335"/>
      <c r="N271" s="335"/>
      <c r="O271" s="335"/>
      <c r="P271" s="335"/>
      <c r="Q271" s="1"/>
      <c r="R271" s="1"/>
      <c r="S271" s="1"/>
      <c r="T271" s="1"/>
      <c r="U271" s="1"/>
      <c r="Y271" s="1"/>
    </row>
    <row r="272" ht="12.75" customHeight="1">
      <c r="A272" s="8"/>
      <c r="B272" s="8"/>
      <c r="C272" s="8"/>
      <c r="D272" s="8"/>
      <c r="E272" s="8"/>
      <c r="F272" s="8"/>
      <c r="G272" s="334"/>
      <c r="H272" s="1"/>
      <c r="I272" s="212"/>
      <c r="J272" s="212"/>
      <c r="K272" s="335"/>
      <c r="L272" s="335"/>
      <c r="M272" s="335"/>
      <c r="N272" s="335"/>
      <c r="O272" s="335"/>
      <c r="P272" s="335"/>
      <c r="Q272" s="1"/>
      <c r="R272" s="1"/>
      <c r="S272" s="1"/>
      <c r="T272" s="1"/>
      <c r="U272" s="1"/>
      <c r="Y272" s="1"/>
    </row>
    <row r="273" ht="12.75" customHeight="1">
      <c r="A273" s="8"/>
      <c r="B273" s="8"/>
      <c r="C273" s="8"/>
      <c r="D273" s="8"/>
      <c r="E273" s="8"/>
      <c r="F273" s="8"/>
      <c r="G273" s="334"/>
      <c r="H273" s="1"/>
      <c r="I273" s="212"/>
      <c r="J273" s="212"/>
      <c r="K273" s="335"/>
      <c r="L273" s="335"/>
      <c r="M273" s="335"/>
      <c r="N273" s="335"/>
      <c r="O273" s="335"/>
      <c r="P273" s="335"/>
      <c r="Q273" s="1"/>
      <c r="R273" s="1"/>
      <c r="S273" s="1"/>
      <c r="T273" s="1"/>
      <c r="U273" s="1"/>
      <c r="Y273" s="1"/>
    </row>
    <row r="274" ht="12.75" customHeight="1">
      <c r="A274" s="8"/>
      <c r="B274" s="8"/>
      <c r="C274" s="8"/>
      <c r="D274" s="8"/>
      <c r="E274" s="8"/>
      <c r="F274" s="8"/>
      <c r="G274" s="334"/>
      <c r="H274" s="1"/>
      <c r="I274" s="212"/>
      <c r="J274" s="212"/>
      <c r="K274" s="335"/>
      <c r="L274" s="335"/>
      <c r="M274" s="335"/>
      <c r="N274" s="335"/>
      <c r="O274" s="335"/>
      <c r="P274" s="335"/>
      <c r="Q274" s="1"/>
      <c r="R274" s="1"/>
      <c r="S274" s="1"/>
      <c r="T274" s="1"/>
      <c r="U274" s="1"/>
      <c r="Y274" s="1"/>
    </row>
    <row r="275" ht="12.75" customHeight="1">
      <c r="A275" s="8"/>
      <c r="B275" s="8"/>
      <c r="C275" s="8"/>
      <c r="D275" s="8"/>
      <c r="E275" s="8"/>
      <c r="F275" s="8"/>
      <c r="G275" s="334"/>
      <c r="H275" s="1"/>
      <c r="I275" s="212"/>
      <c r="J275" s="212"/>
      <c r="K275" s="335"/>
      <c r="L275" s="335"/>
      <c r="M275" s="335"/>
      <c r="N275" s="335"/>
      <c r="O275" s="335"/>
      <c r="P275" s="335"/>
      <c r="Q275" s="1"/>
      <c r="R275" s="1"/>
      <c r="S275" s="1"/>
      <c r="T275" s="1"/>
      <c r="U275" s="1"/>
      <c r="Y275" s="1"/>
    </row>
    <row r="276" ht="12.75" customHeight="1">
      <c r="A276" s="8"/>
      <c r="B276" s="8"/>
      <c r="C276" s="8"/>
      <c r="D276" s="8"/>
      <c r="E276" s="8"/>
      <c r="F276" s="8"/>
      <c r="G276" s="334"/>
      <c r="H276" s="1"/>
      <c r="I276" s="212"/>
      <c r="J276" s="212"/>
      <c r="K276" s="335"/>
      <c r="L276" s="335"/>
      <c r="M276" s="335"/>
      <c r="N276" s="335"/>
      <c r="O276" s="335"/>
      <c r="P276" s="335"/>
      <c r="Q276" s="1"/>
      <c r="R276" s="1"/>
      <c r="S276" s="1"/>
      <c r="T276" s="1"/>
      <c r="U276" s="1"/>
      <c r="Y276" s="1"/>
    </row>
    <row r="277" ht="12.75" customHeight="1">
      <c r="A277" s="8"/>
      <c r="B277" s="8"/>
      <c r="C277" s="8"/>
      <c r="D277" s="8"/>
      <c r="E277" s="8"/>
      <c r="F277" s="8"/>
      <c r="G277" s="334"/>
      <c r="H277" s="1"/>
      <c r="I277" s="212"/>
      <c r="J277" s="212"/>
      <c r="K277" s="335"/>
      <c r="L277" s="335"/>
      <c r="M277" s="335"/>
      <c r="N277" s="335"/>
      <c r="O277" s="335"/>
      <c r="P277" s="335"/>
      <c r="Q277" s="1"/>
      <c r="R277" s="1"/>
      <c r="S277" s="1"/>
      <c r="T277" s="1"/>
      <c r="U277" s="1"/>
      <c r="Y277" s="1"/>
    </row>
    <row r="278" ht="12.75" customHeight="1">
      <c r="A278" s="8"/>
      <c r="B278" s="8"/>
      <c r="C278" s="8"/>
      <c r="D278" s="8"/>
      <c r="E278" s="8"/>
      <c r="F278" s="8"/>
      <c r="G278" s="334"/>
      <c r="H278" s="1"/>
      <c r="I278" s="212"/>
      <c r="J278" s="212"/>
      <c r="K278" s="335"/>
      <c r="L278" s="335"/>
      <c r="M278" s="335"/>
      <c r="N278" s="335"/>
      <c r="O278" s="335"/>
      <c r="P278" s="335"/>
      <c r="Q278" s="1"/>
      <c r="R278" s="1"/>
      <c r="S278" s="1"/>
      <c r="T278" s="1"/>
      <c r="U278" s="1"/>
      <c r="Y278" s="1"/>
    </row>
    <row r="279" ht="12.75" customHeight="1">
      <c r="A279" s="8"/>
      <c r="B279" s="8"/>
      <c r="C279" s="8"/>
      <c r="D279" s="8"/>
      <c r="E279" s="8"/>
      <c r="F279" s="8"/>
      <c r="G279" s="334"/>
      <c r="H279" s="1"/>
      <c r="I279" s="212"/>
      <c r="J279" s="212"/>
      <c r="K279" s="335"/>
      <c r="L279" s="335"/>
      <c r="M279" s="335"/>
      <c r="N279" s="335"/>
      <c r="O279" s="335"/>
      <c r="P279" s="335"/>
      <c r="Q279" s="1"/>
      <c r="R279" s="1"/>
      <c r="S279" s="1"/>
      <c r="T279" s="1"/>
      <c r="U279" s="1"/>
      <c r="Y279" s="1"/>
    </row>
    <row r="280" ht="12.75" customHeight="1">
      <c r="A280" s="8"/>
      <c r="B280" s="8"/>
      <c r="C280" s="8"/>
      <c r="D280" s="8"/>
      <c r="E280" s="8"/>
      <c r="F280" s="8"/>
      <c r="G280" s="334"/>
      <c r="H280" s="1"/>
      <c r="I280" s="212"/>
      <c r="J280" s="212"/>
      <c r="K280" s="335"/>
      <c r="L280" s="335"/>
      <c r="M280" s="335"/>
      <c r="N280" s="335"/>
      <c r="O280" s="335"/>
      <c r="P280" s="335"/>
      <c r="Q280" s="1"/>
      <c r="R280" s="1"/>
      <c r="S280" s="1"/>
      <c r="T280" s="1"/>
      <c r="U280" s="1"/>
      <c r="Y280" s="1"/>
    </row>
    <row r="281" ht="12.75" customHeight="1">
      <c r="A281" s="8"/>
      <c r="B281" s="8"/>
      <c r="C281" s="8"/>
      <c r="D281" s="8"/>
      <c r="E281" s="8"/>
      <c r="F281" s="8"/>
      <c r="G281" s="334"/>
      <c r="H281" s="1"/>
      <c r="I281" s="212"/>
      <c r="J281" s="212"/>
      <c r="K281" s="335"/>
      <c r="L281" s="335"/>
      <c r="M281" s="335"/>
      <c r="N281" s="335"/>
      <c r="O281" s="335"/>
      <c r="P281" s="335"/>
      <c r="Q281" s="1"/>
      <c r="R281" s="1"/>
      <c r="S281" s="1"/>
      <c r="T281" s="1"/>
      <c r="U281" s="1"/>
      <c r="Y281" s="1"/>
    </row>
    <row r="282" ht="12.75" customHeight="1">
      <c r="A282" s="8"/>
      <c r="B282" s="8"/>
      <c r="C282" s="8"/>
      <c r="D282" s="8"/>
      <c r="E282" s="8"/>
      <c r="F282" s="8"/>
      <c r="G282" s="334"/>
      <c r="H282" s="1"/>
      <c r="I282" s="212"/>
      <c r="J282" s="212"/>
      <c r="K282" s="335"/>
      <c r="L282" s="335"/>
      <c r="M282" s="335"/>
      <c r="N282" s="335"/>
      <c r="O282" s="335"/>
      <c r="P282" s="335"/>
      <c r="Q282" s="1"/>
      <c r="R282" s="1"/>
      <c r="S282" s="1"/>
      <c r="T282" s="1"/>
      <c r="U282" s="1"/>
      <c r="Y282" s="1"/>
    </row>
    <row r="283" ht="12.75" customHeight="1">
      <c r="A283" s="8"/>
      <c r="B283" s="8"/>
      <c r="C283" s="8"/>
      <c r="D283" s="8"/>
      <c r="E283" s="8"/>
      <c r="F283" s="8"/>
      <c r="G283" s="334"/>
      <c r="H283" s="1"/>
      <c r="I283" s="212"/>
      <c r="J283" s="212"/>
      <c r="K283" s="335"/>
      <c r="L283" s="335"/>
      <c r="M283" s="335"/>
      <c r="N283" s="335"/>
      <c r="O283" s="335"/>
      <c r="P283" s="335"/>
      <c r="Q283" s="1"/>
      <c r="R283" s="1"/>
      <c r="S283" s="1"/>
      <c r="T283" s="1"/>
      <c r="U283" s="1"/>
      <c r="Y283" s="1"/>
    </row>
    <row r="284" ht="12.75" customHeight="1">
      <c r="A284" s="8"/>
      <c r="B284" s="8"/>
      <c r="C284" s="8"/>
      <c r="D284" s="8"/>
      <c r="E284" s="8"/>
      <c r="F284" s="8"/>
      <c r="G284" s="334"/>
      <c r="H284" s="1"/>
      <c r="I284" s="212"/>
      <c r="J284" s="212"/>
      <c r="K284" s="335"/>
      <c r="L284" s="335"/>
      <c r="M284" s="335"/>
      <c r="N284" s="335"/>
      <c r="O284" s="335"/>
      <c r="P284" s="335"/>
      <c r="Q284" s="1"/>
      <c r="R284" s="1"/>
      <c r="S284" s="1"/>
      <c r="T284" s="1"/>
      <c r="U284" s="1"/>
      <c r="Y284" s="1"/>
    </row>
    <row r="285" ht="12.75" customHeight="1">
      <c r="A285" s="8"/>
      <c r="B285" s="8"/>
      <c r="C285" s="8"/>
      <c r="D285" s="8"/>
      <c r="E285" s="8"/>
      <c r="F285" s="8"/>
      <c r="G285" s="334"/>
      <c r="H285" s="1"/>
      <c r="I285" s="212"/>
      <c r="J285" s="212"/>
      <c r="K285" s="335"/>
      <c r="L285" s="335"/>
      <c r="M285" s="335"/>
      <c r="N285" s="335"/>
      <c r="O285" s="335"/>
      <c r="P285" s="335"/>
      <c r="Q285" s="1"/>
      <c r="R285" s="1"/>
      <c r="S285" s="1"/>
      <c r="T285" s="1"/>
      <c r="U285" s="1"/>
      <c r="Y285" s="1"/>
    </row>
    <row r="286" ht="12.75" customHeight="1">
      <c r="A286" s="8"/>
      <c r="B286" s="8"/>
      <c r="C286" s="8"/>
      <c r="D286" s="8"/>
      <c r="E286" s="8"/>
      <c r="F286" s="8"/>
      <c r="G286" s="334"/>
      <c r="H286" s="1"/>
      <c r="I286" s="212"/>
      <c r="J286" s="212"/>
      <c r="K286" s="335"/>
      <c r="L286" s="335"/>
      <c r="M286" s="335"/>
      <c r="N286" s="335"/>
      <c r="O286" s="335"/>
      <c r="P286" s="335"/>
      <c r="Q286" s="1"/>
      <c r="R286" s="1"/>
      <c r="S286" s="1"/>
      <c r="T286" s="1"/>
      <c r="U286" s="1"/>
      <c r="Y286" s="1"/>
    </row>
    <row r="287" ht="12.75" customHeight="1">
      <c r="A287" s="8"/>
      <c r="B287" s="8"/>
      <c r="C287" s="8"/>
      <c r="D287" s="8"/>
      <c r="E287" s="8"/>
      <c r="F287" s="8"/>
      <c r="G287" s="334"/>
      <c r="H287" s="1"/>
      <c r="I287" s="212"/>
      <c r="J287" s="212"/>
      <c r="K287" s="335"/>
      <c r="L287" s="335"/>
      <c r="M287" s="335"/>
      <c r="N287" s="335"/>
      <c r="O287" s="335"/>
      <c r="P287" s="335"/>
      <c r="Q287" s="1"/>
      <c r="R287" s="1"/>
      <c r="S287" s="1"/>
      <c r="T287" s="1"/>
      <c r="U287" s="1"/>
      <c r="Y287" s="1"/>
    </row>
    <row r="288" ht="12.75" customHeight="1">
      <c r="A288" s="8"/>
      <c r="B288" s="8"/>
      <c r="C288" s="8"/>
      <c r="D288" s="8"/>
      <c r="E288" s="8"/>
      <c r="F288" s="8"/>
      <c r="G288" s="334"/>
      <c r="H288" s="1"/>
      <c r="I288" s="212"/>
      <c r="J288" s="212"/>
      <c r="K288" s="335"/>
      <c r="L288" s="335"/>
      <c r="M288" s="335"/>
      <c r="N288" s="335"/>
      <c r="O288" s="335"/>
      <c r="P288" s="335"/>
      <c r="Q288" s="1"/>
      <c r="R288" s="1"/>
      <c r="S288" s="1"/>
      <c r="T288" s="1"/>
      <c r="U288" s="1"/>
      <c r="Y288" s="1"/>
    </row>
    <row r="289" ht="12.75" customHeight="1">
      <c r="A289" s="8"/>
      <c r="B289" s="8"/>
      <c r="C289" s="8"/>
      <c r="D289" s="8"/>
      <c r="E289" s="8"/>
      <c r="F289" s="8"/>
      <c r="G289" s="334"/>
      <c r="H289" s="1"/>
      <c r="I289" s="212"/>
      <c r="J289" s="212"/>
      <c r="K289" s="335"/>
      <c r="L289" s="335"/>
      <c r="M289" s="335"/>
      <c r="N289" s="335"/>
      <c r="O289" s="335"/>
      <c r="P289" s="335"/>
      <c r="Q289" s="1"/>
      <c r="R289" s="1"/>
      <c r="S289" s="1"/>
      <c r="T289" s="1"/>
      <c r="U289" s="1"/>
      <c r="Y289" s="1"/>
    </row>
    <row r="290" ht="12.75" customHeight="1">
      <c r="A290" s="8"/>
      <c r="B290" s="8"/>
      <c r="C290" s="8"/>
      <c r="D290" s="8"/>
      <c r="E290" s="8"/>
      <c r="F290" s="8"/>
      <c r="G290" s="334"/>
      <c r="H290" s="1"/>
      <c r="I290" s="212"/>
      <c r="J290" s="212"/>
      <c r="K290" s="335"/>
      <c r="L290" s="335"/>
      <c r="M290" s="335"/>
      <c r="N290" s="335"/>
      <c r="O290" s="335"/>
      <c r="P290" s="335"/>
      <c r="Q290" s="1"/>
      <c r="R290" s="1"/>
      <c r="S290" s="1"/>
      <c r="T290" s="1"/>
      <c r="U290" s="1"/>
      <c r="Y290" s="1"/>
    </row>
    <row r="291" ht="12.75" customHeight="1">
      <c r="A291" s="8"/>
      <c r="B291" s="8"/>
      <c r="C291" s="8"/>
      <c r="D291" s="8"/>
      <c r="E291" s="8"/>
      <c r="F291" s="8"/>
      <c r="G291" s="334"/>
      <c r="H291" s="1"/>
      <c r="I291" s="212"/>
      <c r="J291" s="212"/>
      <c r="K291" s="335"/>
      <c r="L291" s="335"/>
      <c r="M291" s="335"/>
      <c r="N291" s="335"/>
      <c r="O291" s="335"/>
      <c r="P291" s="335"/>
      <c r="Q291" s="1"/>
      <c r="R291" s="1"/>
      <c r="S291" s="1"/>
      <c r="T291" s="1"/>
      <c r="U291" s="1"/>
      <c r="Y291" s="1"/>
    </row>
    <row r="292" ht="12.75" customHeight="1">
      <c r="A292" s="8"/>
      <c r="B292" s="8"/>
      <c r="C292" s="8"/>
      <c r="D292" s="8"/>
      <c r="E292" s="8"/>
      <c r="F292" s="8"/>
      <c r="G292" s="334"/>
      <c r="H292" s="1"/>
      <c r="I292" s="212"/>
      <c r="J292" s="212"/>
      <c r="K292" s="335"/>
      <c r="L292" s="335"/>
      <c r="M292" s="335"/>
      <c r="N292" s="335"/>
      <c r="O292" s="335"/>
      <c r="P292" s="335"/>
      <c r="Q292" s="1"/>
      <c r="R292" s="1"/>
      <c r="S292" s="1"/>
      <c r="T292" s="1"/>
      <c r="U292" s="1"/>
      <c r="Y292" s="1"/>
    </row>
    <row r="293" ht="12.75" customHeight="1">
      <c r="A293" s="8"/>
      <c r="B293" s="8"/>
      <c r="C293" s="8"/>
      <c r="D293" s="8"/>
      <c r="E293" s="8"/>
      <c r="F293" s="8"/>
      <c r="G293" s="334"/>
      <c r="H293" s="1"/>
      <c r="I293" s="212"/>
      <c r="J293" s="212"/>
      <c r="K293" s="335"/>
      <c r="L293" s="335"/>
      <c r="M293" s="335"/>
      <c r="N293" s="335"/>
      <c r="O293" s="335"/>
      <c r="P293" s="335"/>
      <c r="Q293" s="1"/>
      <c r="R293" s="1"/>
      <c r="S293" s="1"/>
      <c r="T293" s="1"/>
      <c r="U293" s="1"/>
      <c r="Y293" s="1"/>
    </row>
    <row r="294" ht="12.75" customHeight="1">
      <c r="A294" s="8"/>
      <c r="B294" s="8"/>
      <c r="C294" s="8"/>
      <c r="D294" s="8"/>
      <c r="E294" s="8"/>
      <c r="F294" s="8"/>
      <c r="G294" s="334"/>
      <c r="H294" s="1"/>
      <c r="I294" s="212"/>
      <c r="J294" s="212"/>
      <c r="K294" s="335"/>
      <c r="L294" s="335"/>
      <c r="M294" s="335"/>
      <c r="N294" s="335"/>
      <c r="O294" s="335"/>
      <c r="P294" s="335"/>
      <c r="Q294" s="1"/>
      <c r="R294" s="1"/>
      <c r="S294" s="1"/>
      <c r="T294" s="1"/>
      <c r="U294" s="1"/>
      <c r="Y294" s="1"/>
    </row>
    <row r="295" ht="12.75" customHeight="1">
      <c r="A295" s="8"/>
      <c r="B295" s="8"/>
      <c r="C295" s="8"/>
      <c r="D295" s="8"/>
      <c r="E295" s="8"/>
      <c r="F295" s="8"/>
      <c r="G295" s="334"/>
      <c r="H295" s="1"/>
      <c r="I295" s="212"/>
      <c r="J295" s="212"/>
      <c r="K295" s="335"/>
      <c r="L295" s="335"/>
      <c r="M295" s="335"/>
      <c r="N295" s="335"/>
      <c r="O295" s="335"/>
      <c r="P295" s="335"/>
      <c r="Q295" s="1"/>
      <c r="R295" s="1"/>
      <c r="S295" s="1"/>
      <c r="T295" s="1"/>
      <c r="U295" s="1"/>
      <c r="Y295" s="1"/>
    </row>
    <row r="296" ht="12.75" customHeight="1">
      <c r="A296" s="8"/>
      <c r="B296" s="8"/>
      <c r="C296" s="8"/>
      <c r="D296" s="8"/>
      <c r="E296" s="8"/>
      <c r="F296" s="8"/>
      <c r="G296" s="334"/>
      <c r="H296" s="1"/>
      <c r="I296" s="212"/>
      <c r="J296" s="212"/>
      <c r="K296" s="335"/>
      <c r="L296" s="335"/>
      <c r="M296" s="335"/>
      <c r="N296" s="335"/>
      <c r="O296" s="335"/>
      <c r="P296" s="335"/>
      <c r="Q296" s="1"/>
      <c r="R296" s="1"/>
      <c r="S296" s="1"/>
      <c r="T296" s="1"/>
      <c r="U296" s="1"/>
      <c r="Y296" s="1"/>
    </row>
    <row r="297" ht="12.75" customHeight="1">
      <c r="A297" s="8"/>
      <c r="B297" s="8"/>
      <c r="C297" s="8"/>
      <c r="D297" s="8"/>
      <c r="E297" s="8"/>
      <c r="F297" s="8"/>
      <c r="G297" s="334"/>
      <c r="H297" s="1"/>
      <c r="I297" s="212"/>
      <c r="J297" s="212"/>
      <c r="K297" s="335"/>
      <c r="L297" s="335"/>
      <c r="M297" s="335"/>
      <c r="N297" s="335"/>
      <c r="O297" s="335"/>
      <c r="P297" s="335"/>
      <c r="Q297" s="1"/>
      <c r="R297" s="1"/>
      <c r="S297" s="1"/>
      <c r="T297" s="1"/>
      <c r="U297" s="1"/>
      <c r="Y297" s="1"/>
    </row>
    <row r="298" ht="12.75" customHeight="1">
      <c r="A298" s="8"/>
      <c r="B298" s="8"/>
      <c r="C298" s="8"/>
      <c r="D298" s="8"/>
      <c r="E298" s="8"/>
      <c r="F298" s="8"/>
      <c r="G298" s="334"/>
      <c r="H298" s="1"/>
      <c r="I298" s="212"/>
      <c r="J298" s="212"/>
      <c r="K298" s="335"/>
      <c r="L298" s="335"/>
      <c r="M298" s="335"/>
      <c r="N298" s="335"/>
      <c r="O298" s="335"/>
      <c r="P298" s="335"/>
      <c r="Q298" s="1"/>
      <c r="R298" s="1"/>
      <c r="S298" s="1"/>
      <c r="T298" s="1"/>
      <c r="U298" s="1"/>
      <c r="Y298" s="1"/>
    </row>
    <row r="299" ht="12.75" customHeight="1">
      <c r="A299" s="8"/>
      <c r="B299" s="8"/>
      <c r="C299" s="8"/>
      <c r="D299" s="8"/>
      <c r="E299" s="8"/>
      <c r="F299" s="8"/>
      <c r="G299" s="334"/>
      <c r="H299" s="1"/>
      <c r="I299" s="212"/>
      <c r="J299" s="212"/>
      <c r="K299" s="335"/>
      <c r="L299" s="335"/>
      <c r="M299" s="335"/>
      <c r="N299" s="335"/>
      <c r="O299" s="335"/>
      <c r="P299" s="335"/>
      <c r="Q299" s="1"/>
      <c r="R299" s="1"/>
      <c r="S299" s="1"/>
      <c r="T299" s="1"/>
      <c r="U299" s="1"/>
      <c r="Y299" s="1"/>
    </row>
    <row r="300" ht="12.75" customHeight="1">
      <c r="A300" s="8"/>
      <c r="B300" s="8"/>
      <c r="C300" s="8"/>
      <c r="D300" s="8"/>
      <c r="E300" s="8"/>
      <c r="F300" s="8"/>
      <c r="G300" s="334"/>
      <c r="H300" s="1"/>
      <c r="I300" s="212"/>
      <c r="J300" s="212"/>
      <c r="K300" s="335"/>
      <c r="L300" s="335"/>
      <c r="M300" s="335"/>
      <c r="N300" s="335"/>
      <c r="O300" s="335"/>
      <c r="P300" s="335"/>
      <c r="Q300" s="1"/>
      <c r="R300" s="1"/>
      <c r="S300" s="1"/>
      <c r="T300" s="1"/>
      <c r="U300" s="1"/>
      <c r="Y300" s="1"/>
    </row>
    <row r="301" ht="12.75" customHeight="1">
      <c r="A301" s="8"/>
      <c r="B301" s="8"/>
      <c r="C301" s="8"/>
      <c r="D301" s="8"/>
      <c r="E301" s="8"/>
      <c r="F301" s="8"/>
      <c r="G301" s="334"/>
      <c r="H301" s="1"/>
      <c r="I301" s="212"/>
      <c r="J301" s="212"/>
      <c r="K301" s="335"/>
      <c r="L301" s="335"/>
      <c r="M301" s="335"/>
      <c r="N301" s="335"/>
      <c r="O301" s="335"/>
      <c r="P301" s="335"/>
      <c r="Q301" s="1"/>
      <c r="R301" s="1"/>
      <c r="S301" s="1"/>
      <c r="T301" s="1"/>
      <c r="U301" s="1"/>
      <c r="Y301" s="1"/>
    </row>
    <row r="302" ht="12.75" customHeight="1">
      <c r="A302" s="8"/>
      <c r="B302" s="8"/>
      <c r="C302" s="8"/>
      <c r="D302" s="8"/>
      <c r="E302" s="8"/>
      <c r="F302" s="8"/>
      <c r="G302" s="334"/>
      <c r="H302" s="1"/>
      <c r="I302" s="212"/>
      <c r="J302" s="212"/>
      <c r="K302" s="335"/>
      <c r="L302" s="335"/>
      <c r="M302" s="335"/>
      <c r="N302" s="335"/>
      <c r="O302" s="335"/>
      <c r="P302" s="335"/>
      <c r="Q302" s="1"/>
      <c r="R302" s="1"/>
      <c r="S302" s="1"/>
      <c r="T302" s="1"/>
      <c r="U302" s="1"/>
      <c r="Y302" s="1"/>
    </row>
    <row r="303" ht="12.75" customHeight="1">
      <c r="A303" s="8"/>
      <c r="B303" s="8"/>
      <c r="C303" s="8"/>
      <c r="D303" s="8"/>
      <c r="E303" s="8"/>
      <c r="F303" s="8"/>
      <c r="G303" s="334"/>
      <c r="H303" s="1"/>
      <c r="I303" s="212"/>
      <c r="J303" s="212"/>
      <c r="K303" s="335"/>
      <c r="L303" s="335"/>
      <c r="M303" s="335"/>
      <c r="N303" s="335"/>
      <c r="O303" s="335"/>
      <c r="P303" s="335"/>
      <c r="Q303" s="1"/>
      <c r="R303" s="1"/>
      <c r="S303" s="1"/>
      <c r="T303" s="1"/>
      <c r="U303" s="1"/>
      <c r="Y303" s="1"/>
    </row>
    <row r="304" ht="12.75" customHeight="1">
      <c r="A304" s="8"/>
      <c r="B304" s="8"/>
      <c r="C304" s="8"/>
      <c r="D304" s="8"/>
      <c r="E304" s="8"/>
      <c r="F304" s="8"/>
      <c r="G304" s="334"/>
      <c r="H304" s="1"/>
      <c r="I304" s="212"/>
      <c r="J304" s="212"/>
      <c r="K304" s="335"/>
      <c r="L304" s="335"/>
      <c r="M304" s="335"/>
      <c r="N304" s="335"/>
      <c r="O304" s="335"/>
      <c r="P304" s="335"/>
      <c r="Q304" s="1"/>
      <c r="R304" s="1"/>
      <c r="S304" s="1"/>
      <c r="T304" s="1"/>
      <c r="U304" s="1"/>
      <c r="Y304" s="1"/>
    </row>
    <row r="305" ht="12.75" customHeight="1">
      <c r="A305" s="8"/>
      <c r="B305" s="8"/>
      <c r="C305" s="8"/>
      <c r="D305" s="8"/>
      <c r="E305" s="8"/>
      <c r="F305" s="8"/>
      <c r="G305" s="334"/>
      <c r="H305" s="1"/>
      <c r="I305" s="212"/>
      <c r="J305" s="212"/>
      <c r="K305" s="335"/>
      <c r="L305" s="335"/>
      <c r="M305" s="335"/>
      <c r="N305" s="335"/>
      <c r="O305" s="335"/>
      <c r="P305" s="335"/>
      <c r="Q305" s="1"/>
      <c r="R305" s="1"/>
      <c r="S305" s="1"/>
      <c r="T305" s="1"/>
      <c r="U305" s="1"/>
      <c r="Y305" s="1"/>
    </row>
    <row r="306" ht="12.75" customHeight="1">
      <c r="A306" s="8"/>
      <c r="B306" s="8"/>
      <c r="C306" s="8"/>
      <c r="D306" s="8"/>
      <c r="E306" s="8"/>
      <c r="F306" s="8"/>
      <c r="G306" s="334"/>
      <c r="H306" s="1"/>
      <c r="I306" s="212"/>
      <c r="J306" s="212"/>
      <c r="K306" s="335"/>
      <c r="L306" s="335"/>
      <c r="M306" s="335"/>
      <c r="N306" s="335"/>
      <c r="O306" s="335"/>
      <c r="P306" s="335"/>
      <c r="Q306" s="1"/>
      <c r="R306" s="1"/>
      <c r="S306" s="1"/>
      <c r="T306" s="1"/>
      <c r="U306" s="1"/>
      <c r="Y306" s="1"/>
    </row>
    <row r="307" ht="12.75" customHeight="1">
      <c r="A307" s="8"/>
      <c r="B307" s="8"/>
      <c r="C307" s="8"/>
      <c r="D307" s="8"/>
      <c r="E307" s="8"/>
      <c r="F307" s="8"/>
      <c r="G307" s="334"/>
      <c r="H307" s="1"/>
      <c r="I307" s="212"/>
      <c r="J307" s="212"/>
      <c r="K307" s="335"/>
      <c r="L307" s="335"/>
      <c r="M307" s="335"/>
      <c r="N307" s="335"/>
      <c r="O307" s="335"/>
      <c r="P307" s="335"/>
      <c r="Q307" s="1"/>
      <c r="R307" s="1"/>
      <c r="S307" s="1"/>
      <c r="T307" s="1"/>
      <c r="U307" s="1"/>
      <c r="Y307" s="1"/>
    </row>
    <row r="308" ht="12.75" customHeight="1">
      <c r="A308" s="8"/>
      <c r="B308" s="8"/>
      <c r="C308" s="8"/>
      <c r="D308" s="8"/>
      <c r="E308" s="8"/>
      <c r="F308" s="8"/>
      <c r="G308" s="334"/>
      <c r="H308" s="1"/>
      <c r="I308" s="212"/>
      <c r="J308" s="212"/>
      <c r="K308" s="335"/>
      <c r="L308" s="335"/>
      <c r="M308" s="335"/>
      <c r="N308" s="335"/>
      <c r="O308" s="335"/>
      <c r="P308" s="335"/>
      <c r="Q308" s="1"/>
      <c r="R308" s="1"/>
      <c r="S308" s="1"/>
      <c r="T308" s="1"/>
      <c r="U308" s="1"/>
      <c r="Y308" s="1"/>
    </row>
    <row r="309" ht="12.75" customHeight="1">
      <c r="A309" s="8"/>
      <c r="B309" s="8"/>
      <c r="C309" s="8"/>
      <c r="D309" s="8"/>
      <c r="E309" s="8"/>
      <c r="F309" s="8"/>
      <c r="G309" s="334"/>
      <c r="H309" s="1"/>
      <c r="I309" s="212"/>
      <c r="J309" s="212"/>
      <c r="K309" s="335"/>
      <c r="L309" s="335"/>
      <c r="M309" s="335"/>
      <c r="N309" s="335"/>
      <c r="O309" s="335"/>
      <c r="P309" s="335"/>
      <c r="Q309" s="1"/>
      <c r="R309" s="1"/>
      <c r="S309" s="1"/>
      <c r="T309" s="1"/>
      <c r="U309" s="1"/>
      <c r="Y309" s="1"/>
    </row>
    <row r="310" ht="12.75" customHeight="1">
      <c r="A310" s="8"/>
      <c r="B310" s="8"/>
      <c r="C310" s="8"/>
      <c r="D310" s="8"/>
      <c r="E310" s="8"/>
      <c r="F310" s="8"/>
      <c r="G310" s="334"/>
      <c r="H310" s="1"/>
      <c r="I310" s="212"/>
      <c r="J310" s="212"/>
      <c r="K310" s="335"/>
      <c r="L310" s="335"/>
      <c r="M310" s="335"/>
      <c r="N310" s="335"/>
      <c r="O310" s="335"/>
      <c r="P310" s="335"/>
      <c r="Q310" s="1"/>
      <c r="R310" s="1"/>
      <c r="S310" s="1"/>
      <c r="T310" s="1"/>
      <c r="U310" s="1"/>
      <c r="Y310" s="1"/>
    </row>
    <row r="311" ht="12.75" customHeight="1">
      <c r="A311" s="8"/>
      <c r="B311" s="8"/>
      <c r="C311" s="8"/>
      <c r="D311" s="8"/>
      <c r="E311" s="8"/>
      <c r="F311" s="8"/>
      <c r="G311" s="334"/>
      <c r="H311" s="1"/>
      <c r="I311" s="212"/>
      <c r="J311" s="212"/>
      <c r="K311" s="335"/>
      <c r="L311" s="335"/>
      <c r="M311" s="335"/>
      <c r="N311" s="335"/>
      <c r="O311" s="335"/>
      <c r="P311" s="335"/>
      <c r="Q311" s="1"/>
      <c r="R311" s="1"/>
      <c r="S311" s="1"/>
      <c r="T311" s="1"/>
      <c r="U311" s="1"/>
      <c r="Y311" s="1"/>
    </row>
    <row r="312" ht="12.75" customHeight="1">
      <c r="A312" s="8"/>
      <c r="B312" s="8"/>
      <c r="C312" s="8"/>
      <c r="D312" s="8"/>
      <c r="E312" s="8"/>
      <c r="F312" s="8"/>
      <c r="G312" s="334"/>
      <c r="H312" s="1"/>
      <c r="I312" s="212"/>
      <c r="J312" s="212"/>
      <c r="K312" s="335"/>
      <c r="L312" s="335"/>
      <c r="M312" s="335"/>
      <c r="N312" s="335"/>
      <c r="O312" s="335"/>
      <c r="P312" s="335"/>
      <c r="Q312" s="1"/>
      <c r="R312" s="1"/>
      <c r="S312" s="1"/>
      <c r="T312" s="1"/>
      <c r="U312" s="1"/>
      <c r="Y312" s="1"/>
    </row>
    <row r="313" ht="12.75" customHeight="1">
      <c r="A313" s="8"/>
      <c r="B313" s="8"/>
      <c r="C313" s="8"/>
      <c r="D313" s="8"/>
      <c r="E313" s="8"/>
      <c r="F313" s="8"/>
      <c r="G313" s="334"/>
      <c r="H313" s="1"/>
      <c r="I313" s="212"/>
      <c r="J313" s="212"/>
      <c r="K313" s="335"/>
      <c r="L313" s="335"/>
      <c r="M313" s="335"/>
      <c r="N313" s="335"/>
      <c r="O313" s="335"/>
      <c r="P313" s="335"/>
      <c r="Q313" s="1"/>
      <c r="R313" s="1"/>
      <c r="S313" s="1"/>
      <c r="T313" s="1"/>
      <c r="U313" s="1"/>
      <c r="Y313" s="1"/>
    </row>
    <row r="314" ht="12.75" customHeight="1">
      <c r="A314" s="8"/>
      <c r="B314" s="8"/>
      <c r="C314" s="8"/>
      <c r="D314" s="8"/>
      <c r="E314" s="8"/>
      <c r="F314" s="8"/>
      <c r="G314" s="334"/>
      <c r="H314" s="1"/>
      <c r="I314" s="212"/>
      <c r="J314" s="212"/>
      <c r="K314" s="335"/>
      <c r="L314" s="335"/>
      <c r="M314" s="335"/>
      <c r="N314" s="335"/>
      <c r="O314" s="335"/>
      <c r="P314" s="335"/>
      <c r="Q314" s="1"/>
      <c r="R314" s="1"/>
      <c r="S314" s="1"/>
      <c r="T314" s="1"/>
      <c r="U314" s="1"/>
      <c r="Y314" s="1"/>
    </row>
    <row r="315" ht="12.75" customHeight="1">
      <c r="A315" s="8"/>
      <c r="B315" s="8"/>
      <c r="C315" s="8"/>
      <c r="D315" s="8"/>
      <c r="E315" s="8"/>
      <c r="F315" s="8"/>
      <c r="G315" s="334"/>
      <c r="H315" s="1"/>
      <c r="I315" s="212"/>
      <c r="J315" s="212"/>
      <c r="K315" s="335"/>
      <c r="L315" s="335"/>
      <c r="M315" s="335"/>
      <c r="N315" s="335"/>
      <c r="O315" s="335"/>
      <c r="P315" s="335"/>
      <c r="Q315" s="1"/>
      <c r="R315" s="1"/>
      <c r="S315" s="1"/>
      <c r="T315" s="1"/>
      <c r="U315" s="1"/>
      <c r="Y315" s="1"/>
    </row>
    <row r="316" ht="12.75" customHeight="1">
      <c r="A316" s="8"/>
      <c r="B316" s="8"/>
      <c r="C316" s="8"/>
      <c r="D316" s="8"/>
      <c r="E316" s="8"/>
      <c r="F316" s="8"/>
      <c r="G316" s="334"/>
      <c r="H316" s="1"/>
      <c r="I316" s="212"/>
      <c r="J316" s="212"/>
      <c r="K316" s="335"/>
      <c r="L316" s="335"/>
      <c r="M316" s="335"/>
      <c r="N316" s="335"/>
      <c r="O316" s="335"/>
      <c r="P316" s="335"/>
      <c r="Q316" s="1"/>
      <c r="R316" s="1"/>
      <c r="S316" s="1"/>
      <c r="T316" s="1"/>
      <c r="U316" s="1"/>
      <c r="Y316" s="1"/>
    </row>
    <row r="317" ht="12.75" customHeight="1">
      <c r="A317" s="8"/>
      <c r="B317" s="8"/>
      <c r="C317" s="8"/>
      <c r="D317" s="8"/>
      <c r="E317" s="8"/>
      <c r="F317" s="8"/>
      <c r="G317" s="334"/>
      <c r="H317" s="1"/>
      <c r="I317" s="212"/>
      <c r="J317" s="212"/>
      <c r="K317" s="335"/>
      <c r="L317" s="335"/>
      <c r="M317" s="335"/>
      <c r="N317" s="335"/>
      <c r="O317" s="335"/>
      <c r="P317" s="335"/>
      <c r="Q317" s="1"/>
      <c r="R317" s="1"/>
      <c r="S317" s="1"/>
      <c r="T317" s="1"/>
      <c r="U317" s="1"/>
      <c r="Y317" s="1"/>
    </row>
    <row r="318" ht="12.75" customHeight="1">
      <c r="A318" s="8"/>
      <c r="B318" s="8"/>
      <c r="C318" s="8"/>
      <c r="D318" s="8"/>
      <c r="E318" s="8"/>
      <c r="F318" s="8"/>
      <c r="G318" s="334"/>
      <c r="H318" s="1"/>
      <c r="I318" s="212"/>
      <c r="J318" s="212"/>
      <c r="K318" s="335"/>
      <c r="L318" s="335"/>
      <c r="M318" s="335"/>
      <c r="N318" s="335"/>
      <c r="O318" s="335"/>
      <c r="P318" s="335"/>
      <c r="Q318" s="1"/>
      <c r="R318" s="1"/>
      <c r="S318" s="1"/>
      <c r="T318" s="1"/>
      <c r="U318" s="1"/>
      <c r="Y318" s="1"/>
    </row>
    <row r="319" ht="12.75" customHeight="1">
      <c r="A319" s="8"/>
      <c r="B319" s="8"/>
      <c r="C319" s="8"/>
      <c r="D319" s="8"/>
      <c r="E319" s="8"/>
      <c r="F319" s="8"/>
      <c r="G319" s="334"/>
      <c r="H319" s="1"/>
      <c r="I319" s="212"/>
      <c r="J319" s="212"/>
      <c r="K319" s="335"/>
      <c r="L319" s="335"/>
      <c r="M319" s="335"/>
      <c r="N319" s="335"/>
      <c r="O319" s="335"/>
      <c r="P319" s="335"/>
      <c r="Q319" s="1"/>
      <c r="R319" s="1"/>
      <c r="S319" s="1"/>
      <c r="T319" s="1"/>
      <c r="U319" s="1"/>
      <c r="Y319" s="1"/>
    </row>
    <row r="320" ht="12.75" customHeight="1">
      <c r="A320" s="8"/>
      <c r="B320" s="8"/>
      <c r="C320" s="8"/>
      <c r="D320" s="8"/>
      <c r="E320" s="8"/>
      <c r="F320" s="8"/>
      <c r="G320" s="334"/>
      <c r="H320" s="1"/>
      <c r="I320" s="212"/>
      <c r="J320" s="212"/>
      <c r="K320" s="335"/>
      <c r="L320" s="335"/>
      <c r="M320" s="335"/>
      <c r="N320" s="335"/>
      <c r="O320" s="335"/>
      <c r="P320" s="335"/>
      <c r="Q320" s="1"/>
      <c r="R320" s="1"/>
      <c r="S320" s="1"/>
      <c r="T320" s="1"/>
      <c r="U320" s="1"/>
      <c r="Y320" s="1"/>
    </row>
    <row r="321" ht="12.75" customHeight="1">
      <c r="A321" s="8"/>
      <c r="B321" s="8"/>
      <c r="C321" s="8"/>
      <c r="D321" s="8"/>
      <c r="E321" s="8"/>
      <c r="F321" s="8"/>
      <c r="G321" s="334"/>
      <c r="H321" s="1"/>
      <c r="I321" s="212"/>
      <c r="J321" s="212"/>
      <c r="K321" s="335"/>
      <c r="L321" s="335"/>
      <c r="M321" s="335"/>
      <c r="N321" s="335"/>
      <c r="O321" s="335"/>
      <c r="P321" s="335"/>
      <c r="Q321" s="1"/>
      <c r="R321" s="1"/>
      <c r="S321" s="1"/>
      <c r="T321" s="1"/>
      <c r="U321" s="1"/>
      <c r="Y321" s="1"/>
    </row>
    <row r="322" ht="12.75" customHeight="1">
      <c r="A322" s="8"/>
      <c r="B322" s="8"/>
      <c r="C322" s="8"/>
      <c r="D322" s="8"/>
      <c r="E322" s="8"/>
      <c r="F322" s="8"/>
      <c r="G322" s="334"/>
      <c r="H322" s="1"/>
      <c r="I322" s="212"/>
      <c r="J322" s="212"/>
      <c r="K322" s="335"/>
      <c r="L322" s="335"/>
      <c r="M322" s="335"/>
      <c r="N322" s="335"/>
      <c r="O322" s="335"/>
      <c r="P322" s="335"/>
      <c r="Q322" s="1"/>
      <c r="R322" s="1"/>
      <c r="S322" s="1"/>
      <c r="T322" s="1"/>
      <c r="U322" s="1"/>
      <c r="Y322" s="1"/>
    </row>
    <row r="323" ht="12.75" customHeight="1">
      <c r="A323" s="8"/>
      <c r="B323" s="8"/>
      <c r="C323" s="8"/>
      <c r="D323" s="8"/>
      <c r="E323" s="8"/>
      <c r="F323" s="8"/>
      <c r="G323" s="334"/>
      <c r="H323" s="1"/>
      <c r="I323" s="212"/>
      <c r="J323" s="212"/>
      <c r="K323" s="335"/>
      <c r="L323" s="335"/>
      <c r="M323" s="335"/>
      <c r="N323" s="335"/>
      <c r="O323" s="335"/>
      <c r="P323" s="335"/>
      <c r="Q323" s="1"/>
      <c r="R323" s="1"/>
      <c r="S323" s="1"/>
      <c r="T323" s="1"/>
      <c r="U323" s="1"/>
      <c r="Y323" s="1"/>
    </row>
    <row r="324" ht="12.75" customHeight="1">
      <c r="A324" s="8"/>
      <c r="B324" s="8"/>
      <c r="C324" s="8"/>
      <c r="D324" s="8"/>
      <c r="E324" s="8"/>
      <c r="F324" s="8"/>
      <c r="G324" s="334"/>
      <c r="H324" s="1"/>
      <c r="I324" s="212"/>
      <c r="J324" s="212"/>
      <c r="K324" s="335"/>
      <c r="L324" s="335"/>
      <c r="M324" s="335"/>
      <c r="N324" s="335"/>
      <c r="O324" s="335"/>
      <c r="P324" s="335"/>
      <c r="Q324" s="1"/>
      <c r="R324" s="1"/>
      <c r="S324" s="1"/>
      <c r="T324" s="1"/>
      <c r="U324" s="1"/>
      <c r="Y324" s="1"/>
    </row>
    <row r="325" ht="12.75" customHeight="1">
      <c r="A325" s="8"/>
      <c r="B325" s="8"/>
      <c r="C325" s="8"/>
      <c r="D325" s="8"/>
      <c r="E325" s="8"/>
      <c r="F325" s="8"/>
      <c r="G325" s="334"/>
      <c r="H325" s="1"/>
      <c r="I325" s="212"/>
      <c r="J325" s="212"/>
      <c r="K325" s="335"/>
      <c r="L325" s="335"/>
      <c r="M325" s="335"/>
      <c r="N325" s="335"/>
      <c r="O325" s="335"/>
      <c r="P325" s="335"/>
      <c r="Q325" s="1"/>
      <c r="R325" s="1"/>
      <c r="S325" s="1"/>
      <c r="T325" s="1"/>
      <c r="U325" s="1"/>
      <c r="Y325" s="1"/>
    </row>
    <row r="326" ht="12.75" customHeight="1">
      <c r="A326" s="8"/>
      <c r="B326" s="8"/>
      <c r="C326" s="8"/>
      <c r="D326" s="8"/>
      <c r="E326" s="8"/>
      <c r="F326" s="8"/>
      <c r="G326" s="334"/>
      <c r="H326" s="1"/>
      <c r="I326" s="212"/>
      <c r="J326" s="212"/>
      <c r="K326" s="335"/>
      <c r="L326" s="335"/>
      <c r="M326" s="335"/>
      <c r="N326" s="335"/>
      <c r="O326" s="335"/>
      <c r="P326" s="335"/>
      <c r="Q326" s="1"/>
      <c r="R326" s="1"/>
      <c r="S326" s="1"/>
      <c r="T326" s="1"/>
      <c r="U326" s="1"/>
      <c r="Y326" s="1"/>
    </row>
    <row r="327" ht="12.75" customHeight="1">
      <c r="A327" s="8"/>
      <c r="B327" s="8"/>
      <c r="C327" s="8"/>
      <c r="D327" s="8"/>
      <c r="E327" s="8"/>
      <c r="F327" s="8"/>
      <c r="G327" s="334"/>
      <c r="H327" s="1"/>
      <c r="I327" s="212"/>
      <c r="J327" s="212"/>
      <c r="K327" s="335"/>
      <c r="L327" s="335"/>
      <c r="M327" s="335"/>
      <c r="N327" s="335"/>
      <c r="O327" s="335"/>
      <c r="P327" s="335"/>
      <c r="Q327" s="1"/>
      <c r="R327" s="1"/>
      <c r="S327" s="1"/>
      <c r="T327" s="1"/>
      <c r="U327" s="1"/>
      <c r="Y327" s="1"/>
    </row>
    <row r="328" ht="12.75" customHeight="1">
      <c r="A328" s="8"/>
      <c r="B328" s="8"/>
      <c r="C328" s="8"/>
      <c r="D328" s="8"/>
      <c r="E328" s="8"/>
      <c r="F328" s="8"/>
      <c r="G328" s="334"/>
      <c r="H328" s="1"/>
      <c r="I328" s="212"/>
      <c r="J328" s="212"/>
      <c r="K328" s="335"/>
      <c r="L328" s="335"/>
      <c r="M328" s="335"/>
      <c r="N328" s="335"/>
      <c r="O328" s="335"/>
      <c r="P328" s="335"/>
      <c r="Q328" s="1"/>
      <c r="R328" s="1"/>
      <c r="S328" s="1"/>
      <c r="T328" s="1"/>
      <c r="U328" s="1"/>
      <c r="Y328" s="1"/>
    </row>
    <row r="329" ht="12.75" customHeight="1">
      <c r="A329" s="8"/>
      <c r="B329" s="8"/>
      <c r="C329" s="8"/>
      <c r="D329" s="8"/>
      <c r="E329" s="8"/>
      <c r="F329" s="8"/>
      <c r="G329" s="334"/>
      <c r="H329" s="1"/>
      <c r="I329" s="212"/>
      <c r="J329" s="212"/>
      <c r="K329" s="335"/>
      <c r="L329" s="335"/>
      <c r="M329" s="335"/>
      <c r="N329" s="335"/>
      <c r="O329" s="335"/>
      <c r="P329" s="335"/>
      <c r="Q329" s="1"/>
      <c r="R329" s="1"/>
      <c r="S329" s="1"/>
      <c r="T329" s="1"/>
      <c r="U329" s="1"/>
      <c r="Y329" s="1"/>
    </row>
    <row r="330" ht="12.75" customHeight="1">
      <c r="A330" s="8"/>
      <c r="B330" s="8"/>
      <c r="C330" s="8"/>
      <c r="D330" s="8"/>
      <c r="E330" s="8"/>
      <c r="F330" s="8"/>
      <c r="G330" s="334"/>
      <c r="H330" s="1"/>
      <c r="I330" s="212"/>
      <c r="J330" s="212"/>
      <c r="K330" s="335"/>
      <c r="L330" s="335"/>
      <c r="M330" s="335"/>
      <c r="N330" s="335"/>
      <c r="O330" s="335"/>
      <c r="P330" s="335"/>
      <c r="Q330" s="1"/>
      <c r="R330" s="1"/>
      <c r="S330" s="1"/>
      <c r="T330" s="1"/>
      <c r="U330" s="1"/>
      <c r="Y330" s="1"/>
    </row>
    <row r="331" ht="12.75" customHeight="1">
      <c r="A331" s="8"/>
      <c r="B331" s="8"/>
      <c r="C331" s="8"/>
      <c r="D331" s="8"/>
      <c r="E331" s="8"/>
      <c r="F331" s="8"/>
      <c r="G331" s="334"/>
      <c r="H331" s="1"/>
      <c r="I331" s="212"/>
      <c r="J331" s="212"/>
      <c r="K331" s="335"/>
      <c r="L331" s="335"/>
      <c r="M331" s="335"/>
      <c r="N331" s="335"/>
      <c r="O331" s="335"/>
      <c r="P331" s="335"/>
      <c r="Q331" s="1"/>
      <c r="R331" s="1"/>
      <c r="S331" s="1"/>
      <c r="T331" s="1"/>
      <c r="U331" s="1"/>
      <c r="Y331" s="1"/>
    </row>
    <row r="332" ht="12.75" customHeight="1">
      <c r="A332" s="8"/>
      <c r="B332" s="8"/>
      <c r="C332" s="8"/>
      <c r="D332" s="8"/>
      <c r="E332" s="8"/>
      <c r="F332" s="8"/>
      <c r="G332" s="334"/>
      <c r="H332" s="1"/>
      <c r="I332" s="212"/>
      <c r="J332" s="212"/>
      <c r="K332" s="335"/>
      <c r="L332" s="335"/>
      <c r="M332" s="335"/>
      <c r="N332" s="335"/>
      <c r="O332" s="335"/>
      <c r="P332" s="335"/>
      <c r="Q332" s="1"/>
      <c r="R332" s="1"/>
      <c r="S332" s="1"/>
      <c r="T332" s="1"/>
      <c r="U332" s="1"/>
      <c r="Y332" s="1"/>
    </row>
    <row r="333" ht="12.75" customHeight="1">
      <c r="A333" s="8"/>
      <c r="B333" s="8"/>
      <c r="C333" s="8"/>
      <c r="D333" s="8"/>
      <c r="E333" s="8"/>
      <c r="F333" s="8"/>
      <c r="G333" s="334"/>
      <c r="H333" s="1"/>
      <c r="I333" s="212"/>
      <c r="J333" s="212"/>
      <c r="K333" s="335"/>
      <c r="L333" s="335"/>
      <c r="M333" s="335"/>
      <c r="N333" s="335"/>
      <c r="O333" s="335"/>
      <c r="P333" s="335"/>
      <c r="Q333" s="1"/>
      <c r="R333" s="1"/>
      <c r="S333" s="1"/>
      <c r="T333" s="1"/>
      <c r="U333" s="1"/>
      <c r="Y333" s="1"/>
    </row>
    <row r="334" ht="12.75" customHeight="1">
      <c r="A334" s="8"/>
      <c r="B334" s="8"/>
      <c r="C334" s="8"/>
      <c r="D334" s="8"/>
      <c r="E334" s="8"/>
      <c r="F334" s="8"/>
      <c r="G334" s="334"/>
      <c r="H334" s="1"/>
      <c r="I334" s="212"/>
      <c r="J334" s="212"/>
      <c r="K334" s="335"/>
      <c r="L334" s="335"/>
      <c r="M334" s="335"/>
      <c r="N334" s="335"/>
      <c r="O334" s="335"/>
      <c r="P334" s="335"/>
      <c r="Q334" s="1"/>
      <c r="R334" s="1"/>
      <c r="S334" s="1"/>
      <c r="T334" s="1"/>
      <c r="U334" s="1"/>
      <c r="Y334" s="1"/>
    </row>
    <row r="335" ht="12.75" customHeight="1">
      <c r="A335" s="8"/>
      <c r="B335" s="8"/>
      <c r="C335" s="8"/>
      <c r="D335" s="8"/>
      <c r="E335" s="8"/>
      <c r="F335" s="8"/>
      <c r="G335" s="334"/>
      <c r="H335" s="1"/>
      <c r="I335" s="212"/>
      <c r="J335" s="212"/>
      <c r="K335" s="335"/>
      <c r="L335" s="335"/>
      <c r="M335" s="335"/>
      <c r="N335" s="335"/>
      <c r="O335" s="335"/>
      <c r="P335" s="335"/>
      <c r="Q335" s="1"/>
      <c r="R335" s="1"/>
      <c r="S335" s="1"/>
      <c r="T335" s="1"/>
      <c r="U335" s="1"/>
      <c r="Y335" s="1"/>
    </row>
    <row r="336" ht="12.75" customHeight="1">
      <c r="A336" s="8"/>
      <c r="B336" s="8"/>
      <c r="C336" s="8"/>
      <c r="D336" s="8"/>
      <c r="E336" s="8"/>
      <c r="F336" s="8"/>
      <c r="G336" s="334"/>
      <c r="H336" s="1"/>
      <c r="I336" s="212"/>
      <c r="J336" s="212"/>
      <c r="K336" s="335"/>
      <c r="L336" s="335"/>
      <c r="M336" s="335"/>
      <c r="N336" s="335"/>
      <c r="O336" s="335"/>
      <c r="P336" s="335"/>
      <c r="Q336" s="1"/>
      <c r="R336" s="1"/>
      <c r="S336" s="1"/>
      <c r="T336" s="1"/>
      <c r="U336" s="1"/>
      <c r="Y336" s="1"/>
    </row>
    <row r="337" ht="12.75" customHeight="1">
      <c r="A337" s="8"/>
      <c r="B337" s="8"/>
      <c r="C337" s="8"/>
      <c r="D337" s="8"/>
      <c r="E337" s="8"/>
      <c r="F337" s="8"/>
      <c r="G337" s="334"/>
      <c r="H337" s="1"/>
      <c r="I337" s="212"/>
      <c r="J337" s="212"/>
      <c r="K337" s="335"/>
      <c r="L337" s="335"/>
      <c r="M337" s="335"/>
      <c r="N337" s="335"/>
      <c r="O337" s="335"/>
      <c r="P337" s="335"/>
      <c r="Q337" s="1"/>
      <c r="R337" s="1"/>
      <c r="S337" s="1"/>
      <c r="T337" s="1"/>
      <c r="U337" s="1"/>
      <c r="Y337" s="1"/>
    </row>
    <row r="338" ht="12.75" customHeight="1">
      <c r="A338" s="8"/>
      <c r="B338" s="8"/>
      <c r="C338" s="8"/>
      <c r="D338" s="8"/>
      <c r="E338" s="8"/>
      <c r="F338" s="8"/>
      <c r="G338" s="334"/>
      <c r="H338" s="1"/>
      <c r="I338" s="212"/>
      <c r="J338" s="212"/>
      <c r="K338" s="335"/>
      <c r="L338" s="335"/>
      <c r="M338" s="335"/>
      <c r="N338" s="335"/>
      <c r="O338" s="335"/>
      <c r="P338" s="335"/>
      <c r="Q338" s="1"/>
      <c r="R338" s="1"/>
      <c r="S338" s="1"/>
      <c r="T338" s="1"/>
      <c r="U338" s="1"/>
      <c r="Y338" s="1"/>
    </row>
    <row r="339" ht="12.75" customHeight="1">
      <c r="A339" s="8"/>
      <c r="B339" s="8"/>
      <c r="C339" s="8"/>
      <c r="D339" s="8"/>
      <c r="E339" s="8"/>
      <c r="F339" s="8"/>
      <c r="G339" s="334"/>
      <c r="H339" s="1"/>
      <c r="I339" s="212"/>
      <c r="J339" s="212"/>
      <c r="K339" s="335"/>
      <c r="L339" s="335"/>
      <c r="M339" s="335"/>
      <c r="N339" s="335"/>
      <c r="O339" s="335"/>
      <c r="P339" s="335"/>
      <c r="Q339" s="1"/>
      <c r="R339" s="1"/>
      <c r="S339" s="1"/>
      <c r="T339" s="1"/>
      <c r="U339" s="1"/>
      <c r="Y339" s="1"/>
    </row>
    <row r="340" ht="12.75" customHeight="1">
      <c r="A340" s="8"/>
      <c r="B340" s="8"/>
      <c r="C340" s="8"/>
      <c r="D340" s="8"/>
      <c r="E340" s="8"/>
      <c r="F340" s="8"/>
      <c r="G340" s="334"/>
      <c r="H340" s="1"/>
      <c r="I340" s="212"/>
      <c r="J340" s="212"/>
      <c r="K340" s="335"/>
      <c r="L340" s="335"/>
      <c r="M340" s="335"/>
      <c r="N340" s="335"/>
      <c r="O340" s="335"/>
      <c r="P340" s="335"/>
      <c r="Q340" s="1"/>
      <c r="R340" s="1"/>
      <c r="S340" s="1"/>
      <c r="T340" s="1"/>
      <c r="U340" s="1"/>
      <c r="Y340" s="1"/>
    </row>
    <row r="341" ht="12.75" customHeight="1">
      <c r="A341" s="8"/>
      <c r="B341" s="8"/>
      <c r="C341" s="8"/>
      <c r="D341" s="8"/>
      <c r="E341" s="8"/>
      <c r="F341" s="8"/>
      <c r="G341" s="334"/>
      <c r="H341" s="1"/>
      <c r="I341" s="212"/>
      <c r="J341" s="212"/>
      <c r="K341" s="335"/>
      <c r="L341" s="335"/>
      <c r="M341" s="335"/>
      <c r="N341" s="335"/>
      <c r="O341" s="335"/>
      <c r="P341" s="335"/>
      <c r="Q341" s="1"/>
      <c r="R341" s="1"/>
      <c r="S341" s="1"/>
      <c r="T341" s="1"/>
      <c r="U341" s="1"/>
      <c r="Y341" s="1"/>
    </row>
    <row r="342" ht="12.75" customHeight="1">
      <c r="A342" s="8"/>
      <c r="B342" s="8"/>
      <c r="C342" s="8"/>
      <c r="D342" s="8"/>
      <c r="E342" s="8"/>
      <c r="F342" s="8"/>
      <c r="G342" s="334"/>
      <c r="H342" s="1"/>
      <c r="I342" s="212"/>
      <c r="J342" s="212"/>
      <c r="K342" s="335"/>
      <c r="L342" s="335"/>
      <c r="M342" s="335"/>
      <c r="N342" s="335"/>
      <c r="O342" s="335"/>
      <c r="P342" s="335"/>
      <c r="Q342" s="1"/>
      <c r="R342" s="1"/>
      <c r="S342" s="1"/>
      <c r="T342" s="1"/>
      <c r="U342" s="1"/>
      <c r="Y342" s="1"/>
    </row>
    <row r="343" ht="12.75" customHeight="1">
      <c r="A343" s="8"/>
      <c r="B343" s="8"/>
      <c r="C343" s="8"/>
      <c r="D343" s="8"/>
      <c r="E343" s="8"/>
      <c r="F343" s="8"/>
      <c r="G343" s="334"/>
      <c r="H343" s="1"/>
      <c r="I343" s="212"/>
      <c r="J343" s="212"/>
      <c r="K343" s="335"/>
      <c r="L343" s="335"/>
      <c r="M343" s="335"/>
      <c r="N343" s="335"/>
      <c r="O343" s="335"/>
      <c r="P343" s="335"/>
      <c r="Q343" s="1"/>
      <c r="R343" s="1"/>
      <c r="S343" s="1"/>
      <c r="T343" s="1"/>
      <c r="U343" s="1"/>
      <c r="Y343" s="1"/>
    </row>
    <row r="344" ht="12.75" customHeight="1">
      <c r="A344" s="8"/>
      <c r="B344" s="8"/>
      <c r="C344" s="8"/>
      <c r="D344" s="8"/>
      <c r="E344" s="8"/>
      <c r="F344" s="8"/>
      <c r="G344" s="334"/>
      <c r="H344" s="1"/>
      <c r="I344" s="212"/>
      <c r="J344" s="212"/>
      <c r="K344" s="335"/>
      <c r="L344" s="335"/>
      <c r="M344" s="335"/>
      <c r="N344" s="335"/>
      <c r="O344" s="335"/>
      <c r="P344" s="335"/>
      <c r="Q344" s="1"/>
      <c r="R344" s="1"/>
      <c r="S344" s="1"/>
      <c r="T344" s="1"/>
      <c r="U344" s="1"/>
      <c r="Y344" s="1"/>
    </row>
    <row r="345" ht="12.75" customHeight="1">
      <c r="A345" s="8"/>
      <c r="B345" s="8"/>
      <c r="C345" s="8"/>
      <c r="D345" s="8"/>
      <c r="E345" s="8"/>
      <c r="F345" s="8"/>
      <c r="G345" s="334"/>
      <c r="H345" s="1"/>
      <c r="I345" s="212"/>
      <c r="J345" s="212"/>
      <c r="K345" s="335"/>
      <c r="L345" s="335"/>
      <c r="M345" s="335"/>
      <c r="N345" s="335"/>
      <c r="O345" s="335"/>
      <c r="P345" s="335"/>
      <c r="Q345" s="1"/>
      <c r="R345" s="1"/>
      <c r="S345" s="1"/>
      <c r="T345" s="1"/>
      <c r="U345" s="1"/>
      <c r="Y345" s="1"/>
    </row>
    <row r="346" ht="12.75" customHeight="1">
      <c r="A346" s="8"/>
      <c r="B346" s="8"/>
      <c r="C346" s="8"/>
      <c r="D346" s="8"/>
      <c r="E346" s="8"/>
      <c r="F346" s="8"/>
      <c r="G346" s="334"/>
      <c r="H346" s="1"/>
      <c r="I346" s="212"/>
      <c r="J346" s="212"/>
      <c r="K346" s="335"/>
      <c r="L346" s="335"/>
      <c r="M346" s="335"/>
      <c r="N346" s="335"/>
      <c r="O346" s="335"/>
      <c r="P346" s="335"/>
      <c r="Q346" s="1"/>
      <c r="R346" s="1"/>
      <c r="S346" s="1"/>
      <c r="T346" s="1"/>
      <c r="U346" s="1"/>
      <c r="Y346" s="1"/>
    </row>
    <row r="347" ht="12.75" customHeight="1">
      <c r="A347" s="8"/>
      <c r="B347" s="8"/>
      <c r="C347" s="8"/>
      <c r="D347" s="8"/>
      <c r="E347" s="8"/>
      <c r="F347" s="8"/>
      <c r="G347" s="334"/>
      <c r="H347" s="1"/>
      <c r="I347" s="212"/>
      <c r="J347" s="212"/>
      <c r="K347" s="335"/>
      <c r="L347" s="335"/>
      <c r="M347" s="335"/>
      <c r="N347" s="335"/>
      <c r="O347" s="335"/>
      <c r="P347" s="335"/>
      <c r="Q347" s="1"/>
      <c r="R347" s="1"/>
      <c r="S347" s="1"/>
      <c r="T347" s="1"/>
      <c r="U347" s="1"/>
      <c r="Y347" s="1"/>
    </row>
    <row r="348" ht="12.75" customHeight="1">
      <c r="A348" s="8"/>
      <c r="B348" s="8"/>
      <c r="C348" s="8"/>
      <c r="D348" s="8"/>
      <c r="E348" s="8"/>
      <c r="F348" s="8"/>
      <c r="G348" s="334"/>
      <c r="H348" s="1"/>
      <c r="I348" s="212"/>
      <c r="J348" s="212"/>
      <c r="K348" s="335"/>
      <c r="L348" s="335"/>
      <c r="M348" s="335"/>
      <c r="N348" s="335"/>
      <c r="O348" s="335"/>
      <c r="P348" s="335"/>
      <c r="Q348" s="1"/>
      <c r="R348" s="1"/>
      <c r="S348" s="1"/>
      <c r="T348" s="1"/>
      <c r="U348" s="1"/>
      <c r="Y348" s="1"/>
    </row>
    <row r="349" ht="12.75" customHeight="1">
      <c r="A349" s="8"/>
      <c r="B349" s="8"/>
      <c r="C349" s="8"/>
      <c r="D349" s="8"/>
      <c r="E349" s="8"/>
      <c r="F349" s="8"/>
      <c r="G349" s="334"/>
      <c r="H349" s="1"/>
      <c r="I349" s="212"/>
      <c r="J349" s="212"/>
      <c r="K349" s="335"/>
      <c r="L349" s="335"/>
      <c r="M349" s="335"/>
      <c r="N349" s="335"/>
      <c r="O349" s="335"/>
      <c r="P349" s="335"/>
      <c r="Q349" s="1"/>
      <c r="R349" s="1"/>
      <c r="S349" s="1"/>
      <c r="T349" s="1"/>
      <c r="U349" s="1"/>
      <c r="Y349" s="1"/>
    </row>
    <row r="350" ht="12.75" customHeight="1">
      <c r="A350" s="8"/>
      <c r="B350" s="8"/>
      <c r="C350" s="8"/>
      <c r="D350" s="8"/>
      <c r="E350" s="8"/>
      <c r="F350" s="8"/>
      <c r="G350" s="334"/>
      <c r="H350" s="1"/>
      <c r="I350" s="212"/>
      <c r="J350" s="212"/>
      <c r="K350" s="335"/>
      <c r="L350" s="335"/>
      <c r="M350" s="335"/>
      <c r="N350" s="335"/>
      <c r="O350" s="335"/>
      <c r="P350" s="335"/>
      <c r="Q350" s="1"/>
      <c r="R350" s="1"/>
      <c r="S350" s="1"/>
      <c r="T350" s="1"/>
      <c r="U350" s="1"/>
      <c r="Y350" s="1"/>
    </row>
    <row r="351" ht="12.75" customHeight="1">
      <c r="A351" s="8"/>
      <c r="B351" s="8"/>
      <c r="C351" s="8"/>
      <c r="D351" s="8"/>
      <c r="E351" s="8"/>
      <c r="F351" s="8"/>
      <c r="G351" s="334"/>
      <c r="H351" s="1"/>
      <c r="I351" s="212"/>
      <c r="J351" s="212"/>
      <c r="K351" s="335"/>
      <c r="L351" s="335"/>
      <c r="M351" s="335"/>
      <c r="N351" s="335"/>
      <c r="O351" s="335"/>
      <c r="P351" s="335"/>
      <c r="Q351" s="1"/>
      <c r="R351" s="1"/>
      <c r="S351" s="1"/>
      <c r="T351" s="1"/>
      <c r="U351" s="1"/>
      <c r="Y351" s="1"/>
    </row>
    <row r="352" ht="12.75" customHeight="1">
      <c r="A352" s="8"/>
      <c r="B352" s="8"/>
      <c r="C352" s="8"/>
      <c r="D352" s="8"/>
      <c r="E352" s="8"/>
      <c r="F352" s="8"/>
      <c r="G352" s="334"/>
      <c r="H352" s="1"/>
      <c r="I352" s="212"/>
      <c r="J352" s="212"/>
      <c r="K352" s="335"/>
      <c r="L352" s="335"/>
      <c r="M352" s="335"/>
      <c r="N352" s="335"/>
      <c r="O352" s="335"/>
      <c r="P352" s="335"/>
      <c r="Q352" s="1"/>
      <c r="R352" s="1"/>
      <c r="S352" s="1"/>
      <c r="T352" s="1"/>
      <c r="U352" s="1"/>
      <c r="Y352" s="1"/>
    </row>
    <row r="353" ht="12.75" customHeight="1">
      <c r="A353" s="8"/>
      <c r="B353" s="8"/>
      <c r="C353" s="8"/>
      <c r="D353" s="8"/>
      <c r="E353" s="8"/>
      <c r="F353" s="8"/>
      <c r="G353" s="334"/>
      <c r="H353" s="1"/>
      <c r="I353" s="212"/>
      <c r="J353" s="212"/>
      <c r="K353" s="335"/>
      <c r="L353" s="335"/>
      <c r="M353" s="335"/>
      <c r="N353" s="335"/>
      <c r="O353" s="335"/>
      <c r="P353" s="335"/>
      <c r="Q353" s="1"/>
      <c r="R353" s="1"/>
      <c r="S353" s="1"/>
      <c r="T353" s="1"/>
      <c r="U353" s="1"/>
      <c r="Y353" s="1"/>
    </row>
    <row r="354" ht="12.75" customHeight="1">
      <c r="A354" s="8"/>
      <c r="B354" s="8"/>
      <c r="C354" s="8"/>
      <c r="D354" s="8"/>
      <c r="E354" s="8"/>
      <c r="F354" s="8"/>
      <c r="G354" s="334"/>
      <c r="H354" s="1"/>
      <c r="I354" s="212"/>
      <c r="J354" s="212"/>
      <c r="K354" s="335"/>
      <c r="L354" s="335"/>
      <c r="M354" s="335"/>
      <c r="N354" s="335"/>
      <c r="O354" s="335"/>
      <c r="P354" s="335"/>
      <c r="Q354" s="1"/>
      <c r="R354" s="1"/>
      <c r="S354" s="1"/>
      <c r="T354" s="1"/>
      <c r="U354" s="1"/>
      <c r="Y354" s="1"/>
    </row>
    <row r="355" ht="12.75" customHeight="1">
      <c r="A355" s="8"/>
      <c r="B355" s="8"/>
      <c r="C355" s="8"/>
      <c r="D355" s="8"/>
      <c r="E355" s="8"/>
      <c r="F355" s="8"/>
      <c r="G355" s="334"/>
      <c r="H355" s="1"/>
      <c r="I355" s="212"/>
      <c r="J355" s="212"/>
      <c r="K355" s="335"/>
      <c r="L355" s="335"/>
      <c r="M355" s="335"/>
      <c r="N355" s="335"/>
      <c r="O355" s="335"/>
      <c r="P355" s="335"/>
      <c r="Q355" s="1"/>
      <c r="R355" s="1"/>
      <c r="S355" s="1"/>
      <c r="T355" s="1"/>
      <c r="U355" s="1"/>
      <c r="Y355" s="1"/>
    </row>
    <row r="356" ht="12.75" customHeight="1">
      <c r="A356" s="8"/>
      <c r="B356" s="8"/>
      <c r="C356" s="8"/>
      <c r="D356" s="8"/>
      <c r="E356" s="8"/>
      <c r="F356" s="8"/>
      <c r="G356" s="334"/>
      <c r="H356" s="1"/>
      <c r="I356" s="212"/>
      <c r="J356" s="212"/>
      <c r="K356" s="335"/>
      <c r="L356" s="335"/>
      <c r="M356" s="335"/>
      <c r="N356" s="335"/>
      <c r="O356" s="335"/>
      <c r="P356" s="335"/>
      <c r="Q356" s="1"/>
      <c r="R356" s="1"/>
      <c r="S356" s="1"/>
      <c r="T356" s="1"/>
      <c r="U356" s="1"/>
      <c r="Y356" s="1"/>
    </row>
    <row r="357" ht="12.75" customHeight="1">
      <c r="A357" s="8"/>
      <c r="B357" s="8"/>
      <c r="C357" s="8"/>
      <c r="D357" s="8"/>
      <c r="E357" s="8"/>
      <c r="F357" s="8"/>
      <c r="G357" s="334"/>
      <c r="H357" s="1"/>
      <c r="I357" s="212"/>
      <c r="J357" s="212"/>
      <c r="K357" s="335"/>
      <c r="L357" s="335"/>
      <c r="M357" s="335"/>
      <c r="N357" s="335"/>
      <c r="O357" s="335"/>
      <c r="P357" s="335"/>
      <c r="Q357" s="1"/>
      <c r="R357" s="1"/>
      <c r="S357" s="1"/>
      <c r="T357" s="1"/>
      <c r="U357" s="1"/>
      <c r="Y357" s="1"/>
    </row>
    <row r="358" ht="12.75" customHeight="1">
      <c r="A358" s="8"/>
      <c r="B358" s="8"/>
      <c r="C358" s="8"/>
      <c r="D358" s="8"/>
      <c r="E358" s="8"/>
      <c r="F358" s="8"/>
      <c r="G358" s="334"/>
      <c r="H358" s="1"/>
      <c r="I358" s="212"/>
      <c r="J358" s="212"/>
      <c r="K358" s="335"/>
      <c r="L358" s="335"/>
      <c r="M358" s="335"/>
      <c r="N358" s="335"/>
      <c r="O358" s="335"/>
      <c r="P358" s="335"/>
      <c r="Q358" s="1"/>
      <c r="R358" s="1"/>
      <c r="S358" s="1"/>
      <c r="T358" s="1"/>
      <c r="U358" s="1"/>
      <c r="Y358" s="1"/>
    </row>
    <row r="359" ht="12.75" customHeight="1">
      <c r="A359" s="8"/>
      <c r="B359" s="8"/>
      <c r="C359" s="8"/>
      <c r="D359" s="8"/>
      <c r="E359" s="8"/>
      <c r="F359" s="8"/>
      <c r="G359" s="334"/>
      <c r="H359" s="1"/>
      <c r="I359" s="212"/>
      <c r="J359" s="212"/>
      <c r="K359" s="335"/>
      <c r="L359" s="335"/>
      <c r="M359" s="335"/>
      <c r="N359" s="335"/>
      <c r="O359" s="335"/>
      <c r="P359" s="335"/>
      <c r="Q359" s="1"/>
      <c r="R359" s="1"/>
      <c r="S359" s="1"/>
      <c r="T359" s="1"/>
      <c r="U359" s="1"/>
      <c r="Y359" s="1"/>
    </row>
    <row r="360" ht="12.75" customHeight="1">
      <c r="A360" s="8"/>
      <c r="B360" s="8"/>
      <c r="C360" s="8"/>
      <c r="D360" s="8"/>
      <c r="E360" s="8"/>
      <c r="F360" s="8"/>
      <c r="G360" s="334"/>
      <c r="H360" s="1"/>
      <c r="I360" s="212"/>
      <c r="J360" s="212"/>
      <c r="K360" s="335"/>
      <c r="L360" s="335"/>
      <c r="M360" s="335"/>
      <c r="N360" s="335"/>
      <c r="O360" s="335"/>
      <c r="P360" s="335"/>
      <c r="Q360" s="1"/>
      <c r="R360" s="1"/>
      <c r="S360" s="1"/>
      <c r="T360" s="1"/>
      <c r="U360" s="1"/>
      <c r="Y360" s="1"/>
    </row>
    <row r="361" ht="12.75" customHeight="1">
      <c r="A361" s="8"/>
      <c r="B361" s="8"/>
      <c r="C361" s="8"/>
      <c r="D361" s="8"/>
      <c r="E361" s="8"/>
      <c r="F361" s="8"/>
      <c r="G361" s="334"/>
      <c r="H361" s="1"/>
      <c r="I361" s="212"/>
      <c r="J361" s="212"/>
      <c r="K361" s="335"/>
      <c r="L361" s="335"/>
      <c r="M361" s="335"/>
      <c r="N361" s="335"/>
      <c r="O361" s="335"/>
      <c r="P361" s="335"/>
      <c r="Q361" s="1"/>
      <c r="R361" s="1"/>
      <c r="S361" s="1"/>
      <c r="T361" s="1"/>
      <c r="U361" s="1"/>
      <c r="Y361" s="1"/>
    </row>
    <row r="362" ht="12.75" customHeight="1">
      <c r="A362" s="8"/>
      <c r="B362" s="8"/>
      <c r="C362" s="8"/>
      <c r="D362" s="8"/>
      <c r="E362" s="8"/>
      <c r="F362" s="8"/>
      <c r="G362" s="334"/>
      <c r="H362" s="1"/>
      <c r="I362" s="212"/>
      <c r="J362" s="212"/>
      <c r="K362" s="335"/>
      <c r="L362" s="335"/>
      <c r="M362" s="335"/>
      <c r="N362" s="335"/>
      <c r="O362" s="335"/>
      <c r="P362" s="335"/>
      <c r="Q362" s="1"/>
      <c r="R362" s="1"/>
      <c r="S362" s="1"/>
      <c r="T362" s="1"/>
      <c r="U362" s="1"/>
      <c r="Y362" s="1"/>
    </row>
    <row r="363" ht="12.75" customHeight="1">
      <c r="A363" s="8"/>
      <c r="B363" s="8"/>
      <c r="C363" s="8"/>
      <c r="D363" s="8"/>
      <c r="E363" s="8"/>
      <c r="F363" s="8"/>
      <c r="G363" s="334"/>
      <c r="H363" s="1"/>
      <c r="I363" s="212"/>
      <c r="J363" s="212"/>
      <c r="K363" s="335"/>
      <c r="L363" s="335"/>
      <c r="M363" s="335"/>
      <c r="N363" s="335"/>
      <c r="O363" s="335"/>
      <c r="P363" s="335"/>
      <c r="Q363" s="1"/>
      <c r="R363" s="1"/>
      <c r="S363" s="1"/>
      <c r="T363" s="1"/>
      <c r="U363" s="1"/>
      <c r="Y363" s="1"/>
    </row>
    <row r="364" ht="12.75" customHeight="1">
      <c r="A364" s="8"/>
      <c r="B364" s="8"/>
      <c r="C364" s="8"/>
      <c r="D364" s="8"/>
      <c r="E364" s="8"/>
      <c r="F364" s="8"/>
      <c r="G364" s="334"/>
      <c r="H364" s="1"/>
      <c r="I364" s="212"/>
      <c r="J364" s="212"/>
      <c r="K364" s="335"/>
      <c r="L364" s="335"/>
      <c r="M364" s="335"/>
      <c r="N364" s="335"/>
      <c r="O364" s="335"/>
      <c r="P364" s="335"/>
      <c r="Q364" s="1"/>
      <c r="R364" s="1"/>
      <c r="S364" s="1"/>
      <c r="T364" s="1"/>
      <c r="U364" s="1"/>
      <c r="Y364" s="1"/>
    </row>
    <row r="365" ht="12.75" customHeight="1">
      <c r="A365" s="8"/>
      <c r="B365" s="8"/>
      <c r="C365" s="8"/>
      <c r="D365" s="8"/>
      <c r="E365" s="8"/>
      <c r="F365" s="8"/>
      <c r="G365" s="334"/>
      <c r="H365" s="1"/>
      <c r="I365" s="212"/>
      <c r="J365" s="212"/>
      <c r="K365" s="335"/>
      <c r="L365" s="335"/>
      <c r="M365" s="335"/>
      <c r="N365" s="335"/>
      <c r="O365" s="335"/>
      <c r="P365" s="335"/>
      <c r="Q365" s="1"/>
      <c r="R365" s="1"/>
      <c r="S365" s="1"/>
      <c r="T365" s="1"/>
      <c r="U365" s="1"/>
      <c r="Y365" s="1"/>
    </row>
    <row r="366" ht="12.75" customHeight="1">
      <c r="A366" s="8"/>
      <c r="B366" s="8"/>
      <c r="C366" s="8"/>
      <c r="D366" s="8"/>
      <c r="E366" s="8"/>
      <c r="F366" s="8"/>
      <c r="G366" s="334"/>
      <c r="H366" s="1"/>
      <c r="I366" s="212"/>
      <c r="J366" s="212"/>
      <c r="K366" s="335"/>
      <c r="L366" s="335"/>
      <c r="M366" s="335"/>
      <c r="N366" s="335"/>
      <c r="O366" s="335"/>
      <c r="P366" s="335"/>
      <c r="Q366" s="1"/>
      <c r="R366" s="1"/>
      <c r="S366" s="1"/>
      <c r="T366" s="1"/>
      <c r="U366" s="1"/>
      <c r="Y366" s="1"/>
    </row>
    <row r="367" ht="12.75" customHeight="1">
      <c r="A367" s="8"/>
      <c r="B367" s="8"/>
      <c r="C367" s="8"/>
      <c r="D367" s="8"/>
      <c r="E367" s="8"/>
      <c r="F367" s="8"/>
      <c r="G367" s="334"/>
      <c r="H367" s="1"/>
      <c r="I367" s="212"/>
      <c r="J367" s="212"/>
      <c r="K367" s="335"/>
      <c r="L367" s="335"/>
      <c r="M367" s="335"/>
      <c r="N367" s="335"/>
      <c r="O367" s="335"/>
      <c r="P367" s="335"/>
      <c r="Q367" s="1"/>
      <c r="R367" s="1"/>
      <c r="S367" s="1"/>
      <c r="T367" s="1"/>
      <c r="U367" s="1"/>
      <c r="Y367" s="1"/>
    </row>
    <row r="368" ht="12.75" customHeight="1">
      <c r="A368" s="8"/>
      <c r="B368" s="8"/>
      <c r="C368" s="8"/>
      <c r="D368" s="8"/>
      <c r="E368" s="8"/>
      <c r="F368" s="8"/>
      <c r="G368" s="334"/>
      <c r="H368" s="1"/>
      <c r="I368" s="212"/>
      <c r="J368" s="212"/>
      <c r="K368" s="335"/>
      <c r="L368" s="335"/>
      <c r="M368" s="335"/>
      <c r="N368" s="335"/>
      <c r="O368" s="335"/>
      <c r="P368" s="335"/>
      <c r="Q368" s="1"/>
      <c r="R368" s="1"/>
      <c r="S368" s="1"/>
      <c r="T368" s="1"/>
      <c r="U368" s="1"/>
      <c r="Y368" s="1"/>
    </row>
    <row r="369" ht="12.75" customHeight="1">
      <c r="A369" s="8"/>
      <c r="B369" s="8"/>
      <c r="C369" s="8"/>
      <c r="D369" s="8"/>
      <c r="E369" s="8"/>
      <c r="F369" s="8"/>
      <c r="G369" s="334"/>
      <c r="H369" s="1"/>
      <c r="I369" s="212"/>
      <c r="J369" s="212"/>
      <c r="K369" s="335"/>
      <c r="L369" s="335"/>
      <c r="M369" s="335"/>
      <c r="N369" s="335"/>
      <c r="O369" s="335"/>
      <c r="P369" s="335"/>
      <c r="Q369" s="1"/>
      <c r="R369" s="1"/>
      <c r="S369" s="1"/>
      <c r="T369" s="1"/>
      <c r="U369" s="1"/>
      <c r="Y369" s="1"/>
    </row>
    <row r="370" ht="12.75" customHeight="1">
      <c r="A370" s="8"/>
      <c r="B370" s="8"/>
      <c r="C370" s="8"/>
      <c r="D370" s="8"/>
      <c r="E370" s="8"/>
      <c r="F370" s="8"/>
      <c r="G370" s="334"/>
      <c r="H370" s="1"/>
      <c r="I370" s="212"/>
      <c r="J370" s="212"/>
      <c r="K370" s="335"/>
      <c r="L370" s="335"/>
      <c r="M370" s="335"/>
      <c r="N370" s="335"/>
      <c r="O370" s="335"/>
      <c r="P370" s="335"/>
      <c r="Q370" s="1"/>
      <c r="R370" s="1"/>
      <c r="S370" s="1"/>
      <c r="T370" s="1"/>
      <c r="U370" s="1"/>
      <c r="Y370" s="1"/>
    </row>
    <row r="371" ht="12.75" customHeight="1">
      <c r="A371" s="8"/>
      <c r="B371" s="8"/>
      <c r="C371" s="8"/>
      <c r="D371" s="8"/>
      <c r="E371" s="8"/>
      <c r="F371" s="8"/>
      <c r="G371" s="334"/>
      <c r="H371" s="1"/>
      <c r="I371" s="212"/>
      <c r="J371" s="212"/>
      <c r="K371" s="335"/>
      <c r="L371" s="335"/>
      <c r="M371" s="335"/>
      <c r="N371" s="335"/>
      <c r="O371" s="335"/>
      <c r="P371" s="335"/>
      <c r="Q371" s="1"/>
      <c r="R371" s="1"/>
      <c r="S371" s="1"/>
      <c r="T371" s="1"/>
      <c r="U371" s="1"/>
      <c r="Y371" s="1"/>
    </row>
    <row r="372" ht="12.75" customHeight="1">
      <c r="A372" s="8"/>
      <c r="B372" s="8"/>
      <c r="C372" s="8"/>
      <c r="D372" s="8"/>
      <c r="E372" s="8"/>
      <c r="F372" s="8"/>
      <c r="G372" s="334"/>
      <c r="H372" s="1"/>
      <c r="I372" s="212"/>
      <c r="J372" s="212"/>
      <c r="K372" s="335"/>
      <c r="L372" s="335"/>
      <c r="M372" s="335"/>
      <c r="N372" s="335"/>
      <c r="O372" s="335"/>
      <c r="P372" s="335"/>
      <c r="Q372" s="1"/>
      <c r="R372" s="1"/>
      <c r="S372" s="1"/>
      <c r="T372" s="1"/>
      <c r="U372" s="1"/>
      <c r="Y372" s="1"/>
    </row>
    <row r="373" ht="12.75" customHeight="1">
      <c r="A373" s="8"/>
      <c r="B373" s="8"/>
      <c r="C373" s="8"/>
      <c r="D373" s="8"/>
      <c r="E373" s="8"/>
      <c r="F373" s="8"/>
      <c r="G373" s="334"/>
      <c r="H373" s="1"/>
      <c r="I373" s="212"/>
      <c r="J373" s="212"/>
      <c r="K373" s="335"/>
      <c r="L373" s="335"/>
      <c r="M373" s="335"/>
      <c r="N373" s="335"/>
      <c r="O373" s="335"/>
      <c r="P373" s="335"/>
      <c r="Q373" s="1"/>
      <c r="R373" s="1"/>
      <c r="S373" s="1"/>
      <c r="T373" s="1"/>
      <c r="U373" s="1"/>
      <c r="Y373" s="1"/>
    </row>
    <row r="374" ht="12.75" customHeight="1">
      <c r="A374" s="8"/>
      <c r="B374" s="8"/>
      <c r="C374" s="8"/>
      <c r="D374" s="8"/>
      <c r="E374" s="8"/>
      <c r="F374" s="8"/>
      <c r="G374" s="334"/>
      <c r="H374" s="1"/>
      <c r="I374" s="212"/>
      <c r="J374" s="212"/>
      <c r="K374" s="335"/>
      <c r="L374" s="335"/>
      <c r="M374" s="335"/>
      <c r="N374" s="335"/>
      <c r="O374" s="335"/>
      <c r="P374" s="335"/>
      <c r="Q374" s="1"/>
      <c r="R374" s="1"/>
      <c r="S374" s="1"/>
      <c r="T374" s="1"/>
      <c r="U374" s="1"/>
      <c r="Y374" s="1"/>
    </row>
    <row r="375" ht="12.75" customHeight="1">
      <c r="A375" s="8"/>
      <c r="B375" s="8"/>
      <c r="C375" s="8"/>
      <c r="D375" s="8"/>
      <c r="E375" s="8"/>
      <c r="F375" s="8"/>
      <c r="G375" s="334"/>
      <c r="H375" s="1"/>
      <c r="I375" s="212"/>
      <c r="J375" s="212"/>
      <c r="K375" s="335"/>
      <c r="L375" s="335"/>
      <c r="M375" s="335"/>
      <c r="N375" s="335"/>
      <c r="O375" s="335"/>
      <c r="P375" s="335"/>
      <c r="Q375" s="1"/>
      <c r="R375" s="1"/>
      <c r="S375" s="1"/>
      <c r="T375" s="1"/>
      <c r="U375" s="1"/>
      <c r="Y375" s="1"/>
    </row>
    <row r="376" ht="12.75" customHeight="1">
      <c r="A376" s="8"/>
      <c r="B376" s="8"/>
      <c r="C376" s="8"/>
      <c r="D376" s="8"/>
      <c r="E376" s="8"/>
      <c r="F376" s="8"/>
      <c r="G376" s="334"/>
      <c r="H376" s="1"/>
      <c r="I376" s="212"/>
      <c r="J376" s="212"/>
      <c r="K376" s="335"/>
      <c r="L376" s="335"/>
      <c r="M376" s="335"/>
      <c r="N376" s="335"/>
      <c r="O376" s="335"/>
      <c r="P376" s="335"/>
      <c r="Q376" s="1"/>
      <c r="R376" s="1"/>
      <c r="S376" s="1"/>
      <c r="T376" s="1"/>
      <c r="U376" s="1"/>
      <c r="Y376" s="1"/>
    </row>
    <row r="377" ht="12.75" customHeight="1">
      <c r="A377" s="8"/>
      <c r="B377" s="8"/>
      <c r="C377" s="8"/>
      <c r="D377" s="8"/>
      <c r="E377" s="8"/>
      <c r="F377" s="8"/>
      <c r="G377" s="334"/>
      <c r="H377" s="1"/>
      <c r="I377" s="212"/>
      <c r="J377" s="212"/>
      <c r="K377" s="335"/>
      <c r="L377" s="335"/>
      <c r="M377" s="335"/>
      <c r="N377" s="335"/>
      <c r="O377" s="335"/>
      <c r="P377" s="335"/>
      <c r="Q377" s="1"/>
      <c r="R377" s="1"/>
      <c r="S377" s="1"/>
      <c r="T377" s="1"/>
      <c r="U377" s="1"/>
      <c r="Y377" s="1"/>
    </row>
    <row r="378" ht="12.75" customHeight="1">
      <c r="A378" s="8"/>
      <c r="B378" s="8"/>
      <c r="C378" s="8"/>
      <c r="D378" s="8"/>
      <c r="E378" s="8"/>
      <c r="F378" s="8"/>
      <c r="G378" s="334"/>
      <c r="H378" s="1"/>
      <c r="I378" s="212"/>
      <c r="J378" s="212"/>
      <c r="K378" s="335"/>
      <c r="L378" s="335"/>
      <c r="M378" s="335"/>
      <c r="N378" s="335"/>
      <c r="O378" s="335"/>
      <c r="P378" s="335"/>
      <c r="Q378" s="1"/>
      <c r="R378" s="1"/>
      <c r="S378" s="1"/>
      <c r="T378" s="1"/>
      <c r="U378" s="1"/>
      <c r="Y378" s="1"/>
    </row>
    <row r="379" ht="12.75" customHeight="1">
      <c r="A379" s="8"/>
      <c r="B379" s="8"/>
      <c r="C379" s="8"/>
      <c r="D379" s="8"/>
      <c r="E379" s="8"/>
      <c r="F379" s="8"/>
      <c r="G379" s="334"/>
      <c r="H379" s="1"/>
      <c r="I379" s="212"/>
      <c r="J379" s="212"/>
      <c r="K379" s="335"/>
      <c r="L379" s="335"/>
      <c r="M379" s="335"/>
      <c r="N379" s="335"/>
      <c r="O379" s="335"/>
      <c r="P379" s="335"/>
      <c r="Q379" s="1"/>
      <c r="R379" s="1"/>
      <c r="S379" s="1"/>
      <c r="T379" s="1"/>
      <c r="U379" s="1"/>
      <c r="Y379" s="1"/>
    </row>
    <row r="380" ht="12.75" customHeight="1">
      <c r="A380" s="8"/>
      <c r="B380" s="8"/>
      <c r="C380" s="8"/>
      <c r="D380" s="8"/>
      <c r="E380" s="8"/>
      <c r="F380" s="8"/>
      <c r="G380" s="334"/>
      <c r="H380" s="1"/>
      <c r="I380" s="212"/>
      <c r="J380" s="212"/>
      <c r="K380" s="335"/>
      <c r="L380" s="335"/>
      <c r="M380" s="335"/>
      <c r="N380" s="335"/>
      <c r="O380" s="335"/>
      <c r="P380" s="335"/>
      <c r="Q380" s="1"/>
      <c r="R380" s="1"/>
      <c r="S380" s="1"/>
      <c r="T380" s="1"/>
      <c r="U380" s="1"/>
      <c r="Y380" s="1"/>
    </row>
    <row r="381" ht="12.75" customHeight="1">
      <c r="A381" s="8"/>
      <c r="B381" s="8"/>
      <c r="C381" s="8"/>
      <c r="D381" s="8"/>
      <c r="E381" s="8"/>
      <c r="F381" s="8"/>
      <c r="G381" s="334"/>
      <c r="H381" s="1"/>
      <c r="I381" s="212"/>
      <c r="J381" s="212"/>
      <c r="K381" s="335"/>
      <c r="L381" s="335"/>
      <c r="M381" s="335"/>
      <c r="N381" s="335"/>
      <c r="O381" s="335"/>
      <c r="P381" s="335"/>
      <c r="Q381" s="1"/>
      <c r="R381" s="1"/>
      <c r="S381" s="1"/>
      <c r="T381" s="1"/>
      <c r="U381" s="1"/>
      <c r="Y381" s="1"/>
    </row>
    <row r="382" ht="12.75" customHeight="1">
      <c r="A382" s="8"/>
      <c r="B382" s="8"/>
      <c r="C382" s="8"/>
      <c r="D382" s="8"/>
      <c r="E382" s="8"/>
      <c r="F382" s="8"/>
      <c r="G382" s="334"/>
      <c r="H382" s="1"/>
      <c r="I382" s="212"/>
      <c r="J382" s="212"/>
      <c r="K382" s="335"/>
      <c r="L382" s="335"/>
      <c r="M382" s="335"/>
      <c r="N382" s="335"/>
      <c r="O382" s="335"/>
      <c r="P382" s="335"/>
      <c r="Q382" s="1"/>
      <c r="R382" s="1"/>
      <c r="S382" s="1"/>
      <c r="T382" s="1"/>
      <c r="U382" s="1"/>
      <c r="Y382" s="1"/>
    </row>
    <row r="383" ht="12.75" customHeight="1">
      <c r="A383" s="8"/>
      <c r="B383" s="8"/>
      <c r="C383" s="8"/>
      <c r="D383" s="8"/>
      <c r="E383" s="8"/>
      <c r="F383" s="8"/>
      <c r="G383" s="334"/>
      <c r="H383" s="1"/>
      <c r="I383" s="212"/>
      <c r="J383" s="212"/>
      <c r="K383" s="335"/>
      <c r="L383" s="335"/>
      <c r="M383" s="335"/>
      <c r="N383" s="335"/>
      <c r="O383" s="335"/>
      <c r="P383" s="335"/>
      <c r="Q383" s="1"/>
      <c r="R383" s="1"/>
      <c r="S383" s="1"/>
      <c r="T383" s="1"/>
      <c r="U383" s="1"/>
      <c r="Y383" s="1"/>
    </row>
    <row r="384" ht="12.75" customHeight="1">
      <c r="A384" s="8"/>
      <c r="B384" s="8"/>
      <c r="C384" s="8"/>
      <c r="D384" s="8"/>
      <c r="E384" s="8"/>
      <c r="F384" s="8"/>
      <c r="G384" s="334"/>
      <c r="H384" s="1"/>
      <c r="I384" s="212"/>
      <c r="J384" s="212"/>
      <c r="K384" s="335"/>
      <c r="L384" s="335"/>
      <c r="M384" s="335"/>
      <c r="N384" s="335"/>
      <c r="O384" s="335"/>
      <c r="P384" s="335"/>
      <c r="Q384" s="1"/>
      <c r="R384" s="1"/>
      <c r="S384" s="1"/>
      <c r="T384" s="1"/>
      <c r="U384" s="1"/>
      <c r="Y384" s="1"/>
    </row>
    <row r="385" ht="12.75" customHeight="1">
      <c r="A385" s="8"/>
      <c r="B385" s="8"/>
      <c r="C385" s="8"/>
      <c r="D385" s="8"/>
      <c r="E385" s="8"/>
      <c r="F385" s="8"/>
      <c r="G385" s="334"/>
      <c r="H385" s="1"/>
      <c r="I385" s="212"/>
      <c r="J385" s="212"/>
      <c r="K385" s="335"/>
      <c r="L385" s="335"/>
      <c r="M385" s="335"/>
      <c r="N385" s="335"/>
      <c r="O385" s="335"/>
      <c r="P385" s="335"/>
      <c r="Q385" s="1"/>
      <c r="R385" s="1"/>
      <c r="S385" s="1"/>
      <c r="T385" s="1"/>
      <c r="U385" s="1"/>
      <c r="Y385" s="1"/>
    </row>
    <row r="386" ht="12.75" customHeight="1">
      <c r="A386" s="8"/>
      <c r="B386" s="8"/>
      <c r="C386" s="8"/>
      <c r="D386" s="8"/>
      <c r="E386" s="8"/>
      <c r="F386" s="8"/>
      <c r="G386" s="334"/>
      <c r="H386" s="1"/>
      <c r="I386" s="212"/>
      <c r="J386" s="212"/>
      <c r="K386" s="335"/>
      <c r="L386" s="335"/>
      <c r="M386" s="335"/>
      <c r="N386" s="335"/>
      <c r="O386" s="335"/>
      <c r="P386" s="335"/>
      <c r="Q386" s="1"/>
      <c r="R386" s="1"/>
      <c r="S386" s="1"/>
      <c r="T386" s="1"/>
      <c r="U386" s="1"/>
      <c r="Y386" s="1"/>
    </row>
    <row r="387" ht="12.75" customHeight="1">
      <c r="A387" s="8"/>
      <c r="B387" s="8"/>
      <c r="C387" s="8"/>
      <c r="D387" s="8"/>
      <c r="E387" s="8"/>
      <c r="F387" s="8"/>
      <c r="G387" s="334"/>
      <c r="H387" s="1"/>
      <c r="I387" s="212"/>
      <c r="J387" s="212"/>
      <c r="K387" s="335"/>
      <c r="L387" s="335"/>
      <c r="M387" s="335"/>
      <c r="N387" s="335"/>
      <c r="O387" s="335"/>
      <c r="P387" s="335"/>
      <c r="Q387" s="1"/>
      <c r="R387" s="1"/>
      <c r="S387" s="1"/>
      <c r="T387" s="1"/>
      <c r="U387" s="1"/>
      <c r="Y387" s="1"/>
    </row>
    <row r="388" ht="12.75" customHeight="1">
      <c r="A388" s="8"/>
      <c r="B388" s="8"/>
      <c r="C388" s="8"/>
      <c r="D388" s="8"/>
      <c r="E388" s="8"/>
      <c r="F388" s="8"/>
      <c r="G388" s="334"/>
      <c r="H388" s="1"/>
      <c r="I388" s="212"/>
      <c r="J388" s="212"/>
      <c r="K388" s="335"/>
      <c r="L388" s="335"/>
      <c r="M388" s="335"/>
      <c r="N388" s="335"/>
      <c r="O388" s="335"/>
      <c r="P388" s="335"/>
      <c r="Q388" s="1"/>
      <c r="R388" s="1"/>
      <c r="S388" s="1"/>
      <c r="T388" s="1"/>
      <c r="U388" s="1"/>
      <c r="Y388" s="1"/>
    </row>
    <row r="389" ht="12.75" customHeight="1">
      <c r="A389" s="8"/>
      <c r="B389" s="8"/>
      <c r="C389" s="8"/>
      <c r="D389" s="8"/>
      <c r="E389" s="8"/>
      <c r="F389" s="8"/>
      <c r="G389" s="334"/>
      <c r="H389" s="1"/>
      <c r="I389" s="212"/>
      <c r="J389" s="212"/>
      <c r="K389" s="335"/>
      <c r="L389" s="335"/>
      <c r="M389" s="335"/>
      <c r="N389" s="335"/>
      <c r="O389" s="335"/>
      <c r="P389" s="335"/>
      <c r="Q389" s="1"/>
      <c r="R389" s="1"/>
      <c r="S389" s="1"/>
      <c r="T389" s="1"/>
      <c r="U389" s="1"/>
      <c r="Y389" s="1"/>
    </row>
    <row r="390" ht="12.75" customHeight="1">
      <c r="A390" s="8"/>
      <c r="B390" s="8"/>
      <c r="C390" s="8"/>
      <c r="D390" s="8"/>
      <c r="E390" s="8"/>
      <c r="F390" s="8"/>
      <c r="G390" s="334"/>
      <c r="H390" s="1"/>
      <c r="I390" s="212"/>
      <c r="J390" s="212"/>
      <c r="K390" s="335"/>
      <c r="L390" s="335"/>
      <c r="M390" s="335"/>
      <c r="N390" s="335"/>
      <c r="O390" s="335"/>
      <c r="P390" s="335"/>
      <c r="Q390" s="1"/>
      <c r="R390" s="1"/>
      <c r="S390" s="1"/>
      <c r="T390" s="1"/>
      <c r="U390" s="1"/>
      <c r="Y390" s="1"/>
    </row>
    <row r="391" ht="12.75" customHeight="1">
      <c r="A391" s="8"/>
      <c r="B391" s="8"/>
      <c r="C391" s="8"/>
      <c r="D391" s="8"/>
      <c r="E391" s="8"/>
      <c r="F391" s="8"/>
      <c r="G391" s="334"/>
      <c r="H391" s="1"/>
      <c r="I391" s="212"/>
      <c r="J391" s="212"/>
      <c r="K391" s="335"/>
      <c r="L391" s="335"/>
      <c r="M391" s="335"/>
      <c r="N391" s="335"/>
      <c r="O391" s="335"/>
      <c r="P391" s="335"/>
      <c r="Q391" s="1"/>
      <c r="R391" s="1"/>
      <c r="S391" s="1"/>
      <c r="T391" s="1"/>
      <c r="U391" s="1"/>
      <c r="Y391" s="1"/>
    </row>
    <row r="392" ht="12.75" customHeight="1">
      <c r="A392" s="8"/>
      <c r="B392" s="8"/>
      <c r="C392" s="8"/>
      <c r="D392" s="8"/>
      <c r="E392" s="8"/>
      <c r="F392" s="8"/>
      <c r="G392" s="334"/>
      <c r="H392" s="1"/>
      <c r="I392" s="212"/>
      <c r="J392" s="212"/>
      <c r="K392" s="335"/>
      <c r="L392" s="335"/>
      <c r="M392" s="335"/>
      <c r="N392" s="335"/>
      <c r="O392" s="335"/>
      <c r="P392" s="335"/>
      <c r="Q392" s="1"/>
      <c r="R392" s="1"/>
      <c r="S392" s="1"/>
      <c r="T392" s="1"/>
      <c r="U392" s="1"/>
      <c r="Y392" s="1"/>
    </row>
    <row r="393" ht="12.75" customHeight="1">
      <c r="A393" s="8"/>
      <c r="B393" s="8"/>
      <c r="C393" s="8"/>
      <c r="D393" s="8"/>
      <c r="E393" s="8"/>
      <c r="F393" s="8"/>
      <c r="G393" s="334"/>
      <c r="H393" s="1"/>
      <c r="I393" s="212"/>
      <c r="J393" s="212"/>
      <c r="K393" s="335"/>
      <c r="L393" s="335"/>
      <c r="M393" s="335"/>
      <c r="N393" s="335"/>
      <c r="O393" s="335"/>
      <c r="P393" s="335"/>
      <c r="Q393" s="1"/>
      <c r="R393" s="1"/>
      <c r="S393" s="1"/>
      <c r="T393" s="1"/>
      <c r="U393" s="1"/>
      <c r="Y393" s="1"/>
    </row>
    <row r="394" ht="12.75" customHeight="1">
      <c r="A394" s="8"/>
      <c r="B394" s="8"/>
      <c r="C394" s="8"/>
      <c r="D394" s="8"/>
      <c r="E394" s="8"/>
      <c r="F394" s="8"/>
      <c r="G394" s="334"/>
      <c r="H394" s="1"/>
      <c r="I394" s="212"/>
      <c r="J394" s="212"/>
      <c r="K394" s="335"/>
      <c r="L394" s="335"/>
      <c r="M394" s="335"/>
      <c r="N394" s="335"/>
      <c r="O394" s="335"/>
      <c r="P394" s="335"/>
      <c r="Q394" s="1"/>
      <c r="R394" s="1"/>
      <c r="S394" s="1"/>
      <c r="T394" s="1"/>
      <c r="U394" s="1"/>
      <c r="Y394" s="1"/>
    </row>
    <row r="395" ht="12.75" customHeight="1">
      <c r="A395" s="8"/>
      <c r="B395" s="8"/>
      <c r="C395" s="8"/>
      <c r="D395" s="8"/>
      <c r="E395" s="8"/>
      <c r="F395" s="8"/>
      <c r="G395" s="334"/>
      <c r="H395" s="1"/>
      <c r="I395" s="212"/>
      <c r="J395" s="212"/>
      <c r="K395" s="335"/>
      <c r="L395" s="335"/>
      <c r="M395" s="335"/>
      <c r="N395" s="335"/>
      <c r="O395" s="335"/>
      <c r="P395" s="335"/>
      <c r="Q395" s="1"/>
      <c r="R395" s="1"/>
      <c r="S395" s="1"/>
      <c r="T395" s="1"/>
      <c r="U395" s="1"/>
      <c r="Y395" s="1"/>
    </row>
    <row r="396" ht="12.75" customHeight="1">
      <c r="A396" s="8"/>
      <c r="B396" s="8"/>
      <c r="C396" s="8"/>
      <c r="D396" s="8"/>
      <c r="E396" s="8"/>
      <c r="F396" s="8"/>
      <c r="G396" s="334"/>
      <c r="H396" s="1"/>
      <c r="I396" s="212"/>
      <c r="J396" s="212"/>
      <c r="K396" s="335"/>
      <c r="L396" s="335"/>
      <c r="M396" s="335"/>
      <c r="N396" s="335"/>
      <c r="O396" s="335"/>
      <c r="P396" s="335"/>
      <c r="Q396" s="1"/>
      <c r="R396" s="1"/>
      <c r="S396" s="1"/>
      <c r="T396" s="1"/>
      <c r="U396" s="1"/>
      <c r="Y396" s="1"/>
    </row>
    <row r="397" ht="12.75" customHeight="1">
      <c r="A397" s="8"/>
      <c r="B397" s="8"/>
      <c r="C397" s="8"/>
      <c r="D397" s="8"/>
      <c r="E397" s="8"/>
      <c r="F397" s="8"/>
      <c r="G397" s="334"/>
      <c r="H397" s="1"/>
      <c r="I397" s="212"/>
      <c r="J397" s="212"/>
      <c r="K397" s="335"/>
      <c r="L397" s="335"/>
      <c r="M397" s="335"/>
      <c r="N397" s="335"/>
      <c r="O397" s="335"/>
      <c r="P397" s="335"/>
      <c r="Q397" s="1"/>
      <c r="R397" s="1"/>
      <c r="S397" s="1"/>
      <c r="T397" s="1"/>
      <c r="U397" s="1"/>
      <c r="Y397" s="1"/>
    </row>
    <row r="398" ht="12.75" customHeight="1">
      <c r="A398" s="8"/>
      <c r="B398" s="8"/>
      <c r="C398" s="8"/>
      <c r="D398" s="8"/>
      <c r="E398" s="8"/>
      <c r="F398" s="8"/>
      <c r="G398" s="334"/>
      <c r="H398" s="1"/>
      <c r="I398" s="212"/>
      <c r="J398" s="212"/>
      <c r="K398" s="335"/>
      <c r="L398" s="335"/>
      <c r="M398" s="335"/>
      <c r="N398" s="335"/>
      <c r="O398" s="335"/>
      <c r="P398" s="335"/>
      <c r="Q398" s="1"/>
      <c r="R398" s="1"/>
      <c r="S398" s="1"/>
      <c r="T398" s="1"/>
      <c r="U398" s="1"/>
      <c r="Y398" s="1"/>
    </row>
    <row r="399" ht="12.75" customHeight="1">
      <c r="A399" s="8"/>
      <c r="B399" s="8"/>
      <c r="C399" s="8"/>
      <c r="D399" s="8"/>
      <c r="E399" s="8"/>
      <c r="F399" s="8"/>
      <c r="G399" s="334"/>
      <c r="H399" s="1"/>
      <c r="I399" s="212"/>
      <c r="J399" s="212"/>
      <c r="K399" s="335"/>
      <c r="L399" s="335"/>
      <c r="M399" s="335"/>
      <c r="N399" s="335"/>
      <c r="O399" s="335"/>
      <c r="P399" s="335"/>
      <c r="Q399" s="1"/>
      <c r="R399" s="1"/>
      <c r="S399" s="1"/>
      <c r="T399" s="1"/>
      <c r="U399" s="1"/>
      <c r="Y399" s="1"/>
    </row>
    <row r="400" ht="12.75" customHeight="1">
      <c r="A400" s="8"/>
      <c r="B400" s="8"/>
      <c r="C400" s="8"/>
      <c r="D400" s="8"/>
      <c r="E400" s="8"/>
      <c r="F400" s="8"/>
      <c r="G400" s="334"/>
      <c r="H400" s="1"/>
      <c r="I400" s="212"/>
      <c r="J400" s="212"/>
      <c r="K400" s="335"/>
      <c r="L400" s="335"/>
      <c r="M400" s="335"/>
      <c r="N400" s="335"/>
      <c r="O400" s="335"/>
      <c r="P400" s="335"/>
      <c r="Q400" s="1"/>
      <c r="R400" s="1"/>
      <c r="S400" s="1"/>
      <c r="T400" s="1"/>
      <c r="U400" s="1"/>
      <c r="Y400" s="1"/>
    </row>
    <row r="401" ht="12.75" customHeight="1">
      <c r="A401" s="8"/>
      <c r="B401" s="8"/>
      <c r="C401" s="8"/>
      <c r="D401" s="8"/>
      <c r="E401" s="8"/>
      <c r="F401" s="8"/>
      <c r="G401" s="334"/>
      <c r="H401" s="1"/>
      <c r="I401" s="212"/>
      <c r="J401" s="212"/>
      <c r="K401" s="335"/>
      <c r="L401" s="335"/>
      <c r="M401" s="335"/>
      <c r="N401" s="335"/>
      <c r="O401" s="335"/>
      <c r="P401" s="335"/>
      <c r="Q401" s="1"/>
      <c r="R401" s="1"/>
      <c r="S401" s="1"/>
      <c r="T401" s="1"/>
      <c r="U401" s="1"/>
      <c r="Y401" s="1"/>
    </row>
    <row r="402" ht="12.75" customHeight="1">
      <c r="A402" s="8"/>
      <c r="B402" s="8"/>
      <c r="C402" s="8"/>
      <c r="D402" s="8"/>
      <c r="E402" s="8"/>
      <c r="F402" s="8"/>
      <c r="G402" s="334"/>
      <c r="H402" s="1"/>
      <c r="I402" s="212"/>
      <c r="J402" s="212"/>
      <c r="K402" s="335"/>
      <c r="L402" s="335"/>
      <c r="M402" s="335"/>
      <c r="N402" s="335"/>
      <c r="O402" s="335"/>
      <c r="P402" s="335"/>
      <c r="Q402" s="1"/>
      <c r="R402" s="1"/>
      <c r="S402" s="1"/>
      <c r="T402" s="1"/>
      <c r="U402" s="1"/>
      <c r="Y402" s="1"/>
    </row>
    <row r="403" ht="12.75" customHeight="1">
      <c r="A403" s="8"/>
      <c r="B403" s="8"/>
      <c r="C403" s="8"/>
      <c r="D403" s="8"/>
      <c r="E403" s="8"/>
      <c r="F403" s="8"/>
      <c r="G403" s="334"/>
      <c r="H403" s="1"/>
      <c r="I403" s="212"/>
      <c r="J403" s="212"/>
      <c r="K403" s="335"/>
      <c r="L403" s="335"/>
      <c r="M403" s="335"/>
      <c r="N403" s="335"/>
      <c r="O403" s="335"/>
      <c r="P403" s="335"/>
      <c r="Q403" s="1"/>
      <c r="R403" s="1"/>
      <c r="S403" s="1"/>
      <c r="T403" s="1"/>
      <c r="U403" s="1"/>
      <c r="Y403" s="1"/>
    </row>
    <row r="404" ht="12.75" customHeight="1">
      <c r="A404" s="8"/>
      <c r="B404" s="8"/>
      <c r="C404" s="8"/>
      <c r="D404" s="8"/>
      <c r="E404" s="8"/>
      <c r="F404" s="8"/>
      <c r="G404" s="334"/>
      <c r="H404" s="1"/>
      <c r="I404" s="212"/>
      <c r="J404" s="212"/>
      <c r="K404" s="335"/>
      <c r="L404" s="335"/>
      <c r="M404" s="335"/>
      <c r="N404" s="335"/>
      <c r="O404" s="335"/>
      <c r="P404" s="335"/>
      <c r="Q404" s="1"/>
      <c r="R404" s="1"/>
      <c r="S404" s="1"/>
      <c r="T404" s="1"/>
      <c r="U404" s="1"/>
      <c r="Y404" s="1"/>
    </row>
    <row r="405" ht="12.75" customHeight="1">
      <c r="A405" s="8"/>
      <c r="B405" s="8"/>
      <c r="C405" s="8"/>
      <c r="D405" s="8"/>
      <c r="E405" s="8"/>
      <c r="F405" s="8"/>
      <c r="G405" s="334"/>
      <c r="H405" s="1"/>
      <c r="I405" s="212"/>
      <c r="J405" s="212"/>
      <c r="K405" s="335"/>
      <c r="L405" s="335"/>
      <c r="M405" s="335"/>
      <c r="N405" s="335"/>
      <c r="O405" s="335"/>
      <c r="P405" s="335"/>
      <c r="Q405" s="1"/>
      <c r="R405" s="1"/>
      <c r="S405" s="1"/>
      <c r="T405" s="1"/>
      <c r="U405" s="1"/>
      <c r="Y405" s="1"/>
    </row>
    <row r="406" ht="12.75" customHeight="1">
      <c r="A406" s="8"/>
      <c r="B406" s="8"/>
      <c r="C406" s="8"/>
      <c r="D406" s="8"/>
      <c r="E406" s="8"/>
      <c r="F406" s="8"/>
      <c r="G406" s="334"/>
      <c r="H406" s="1"/>
      <c r="I406" s="212"/>
      <c r="J406" s="212"/>
      <c r="K406" s="335"/>
      <c r="L406" s="335"/>
      <c r="M406" s="335"/>
      <c r="N406" s="335"/>
      <c r="O406" s="335"/>
      <c r="P406" s="335"/>
      <c r="Q406" s="1"/>
      <c r="R406" s="1"/>
      <c r="S406" s="1"/>
      <c r="T406" s="1"/>
      <c r="U406" s="1"/>
      <c r="Y406" s="1"/>
    </row>
    <row r="407" ht="12.75" customHeight="1">
      <c r="A407" s="8"/>
      <c r="B407" s="8"/>
      <c r="C407" s="8"/>
      <c r="D407" s="8"/>
      <c r="E407" s="8"/>
      <c r="F407" s="8"/>
      <c r="G407" s="334"/>
      <c r="H407" s="1"/>
      <c r="I407" s="212"/>
      <c r="J407" s="212"/>
      <c r="K407" s="335"/>
      <c r="L407" s="335"/>
      <c r="M407" s="335"/>
      <c r="N407" s="335"/>
      <c r="O407" s="335"/>
      <c r="P407" s="335"/>
      <c r="Q407" s="1"/>
      <c r="R407" s="1"/>
      <c r="S407" s="1"/>
      <c r="T407" s="1"/>
      <c r="U407" s="1"/>
      <c r="Y407" s="1"/>
    </row>
    <row r="408" ht="12.75" customHeight="1">
      <c r="A408" s="8"/>
      <c r="B408" s="8"/>
      <c r="C408" s="8"/>
      <c r="D408" s="8"/>
      <c r="E408" s="8"/>
      <c r="F408" s="8"/>
      <c r="G408" s="334"/>
      <c r="H408" s="1"/>
      <c r="I408" s="212"/>
      <c r="J408" s="212"/>
      <c r="K408" s="335"/>
      <c r="L408" s="335"/>
      <c r="M408" s="335"/>
      <c r="N408" s="335"/>
      <c r="O408" s="335"/>
      <c r="P408" s="335"/>
      <c r="Q408" s="1"/>
      <c r="R408" s="1"/>
      <c r="S408" s="1"/>
      <c r="T408" s="1"/>
      <c r="U408" s="1"/>
      <c r="Y408" s="1"/>
    </row>
    <row r="409" ht="12.75" customHeight="1">
      <c r="A409" s="8"/>
      <c r="B409" s="8"/>
      <c r="C409" s="8"/>
      <c r="D409" s="8"/>
      <c r="E409" s="8"/>
      <c r="F409" s="8"/>
      <c r="G409" s="334"/>
      <c r="H409" s="1"/>
      <c r="I409" s="212"/>
      <c r="J409" s="212"/>
      <c r="K409" s="335"/>
      <c r="L409" s="335"/>
      <c r="M409" s="335"/>
      <c r="N409" s="335"/>
      <c r="O409" s="335"/>
      <c r="P409" s="335"/>
      <c r="Q409" s="1"/>
      <c r="R409" s="1"/>
      <c r="S409" s="1"/>
      <c r="T409" s="1"/>
      <c r="U409" s="1"/>
      <c r="Y409" s="1"/>
    </row>
    <row r="410" ht="12.75" customHeight="1">
      <c r="A410" s="8"/>
      <c r="B410" s="8"/>
      <c r="C410" s="8"/>
      <c r="D410" s="8"/>
      <c r="E410" s="8"/>
      <c r="F410" s="8"/>
      <c r="G410" s="334"/>
      <c r="H410" s="1"/>
      <c r="I410" s="212"/>
      <c r="J410" s="212"/>
      <c r="K410" s="335"/>
      <c r="L410" s="335"/>
      <c r="M410" s="335"/>
      <c r="N410" s="335"/>
      <c r="O410" s="335"/>
      <c r="P410" s="335"/>
      <c r="Q410" s="1"/>
      <c r="R410" s="1"/>
      <c r="S410" s="1"/>
      <c r="T410" s="1"/>
      <c r="U410" s="1"/>
      <c r="Y410" s="1"/>
    </row>
    <row r="411" ht="12.75" customHeight="1">
      <c r="A411" s="8"/>
      <c r="B411" s="8"/>
      <c r="C411" s="8"/>
      <c r="D411" s="8"/>
      <c r="E411" s="8"/>
      <c r="F411" s="8"/>
      <c r="G411" s="334"/>
      <c r="H411" s="1"/>
      <c r="I411" s="212"/>
      <c r="J411" s="212"/>
      <c r="K411" s="335"/>
      <c r="L411" s="335"/>
      <c r="M411" s="335"/>
      <c r="N411" s="335"/>
      <c r="O411" s="335"/>
      <c r="P411" s="335"/>
      <c r="Q411" s="1"/>
      <c r="R411" s="1"/>
      <c r="S411" s="1"/>
      <c r="T411" s="1"/>
      <c r="U411" s="1"/>
      <c r="Y411" s="1"/>
    </row>
    <row r="412" ht="12.75" customHeight="1">
      <c r="A412" s="8"/>
      <c r="B412" s="8"/>
      <c r="C412" s="8"/>
      <c r="D412" s="8"/>
      <c r="E412" s="8"/>
      <c r="F412" s="8"/>
      <c r="G412" s="334"/>
      <c r="H412" s="1"/>
      <c r="I412" s="212"/>
      <c r="J412" s="212"/>
      <c r="K412" s="335"/>
      <c r="L412" s="335"/>
      <c r="M412" s="335"/>
      <c r="N412" s="335"/>
      <c r="O412" s="335"/>
      <c r="P412" s="335"/>
      <c r="Q412" s="1"/>
      <c r="R412" s="1"/>
      <c r="S412" s="1"/>
      <c r="T412" s="1"/>
      <c r="U412" s="1"/>
      <c r="Y412" s="1"/>
    </row>
    <row r="413" ht="12.75" customHeight="1">
      <c r="A413" s="8"/>
      <c r="B413" s="8"/>
      <c r="C413" s="8"/>
      <c r="D413" s="8"/>
      <c r="E413" s="8"/>
      <c r="F413" s="8"/>
      <c r="G413" s="334"/>
      <c r="H413" s="1"/>
      <c r="I413" s="212"/>
      <c r="J413" s="212"/>
      <c r="K413" s="335"/>
      <c r="L413" s="335"/>
      <c r="M413" s="335"/>
      <c r="N413" s="335"/>
      <c r="O413" s="335"/>
      <c r="P413" s="335"/>
      <c r="Q413" s="1"/>
      <c r="R413" s="1"/>
      <c r="S413" s="1"/>
      <c r="T413" s="1"/>
      <c r="U413" s="1"/>
      <c r="Y413" s="1"/>
    </row>
    <row r="414" ht="12.75" customHeight="1">
      <c r="A414" s="8"/>
      <c r="B414" s="8"/>
      <c r="C414" s="8"/>
      <c r="D414" s="8"/>
      <c r="E414" s="8"/>
      <c r="F414" s="8"/>
      <c r="G414" s="334"/>
      <c r="H414" s="1"/>
      <c r="I414" s="212"/>
      <c r="J414" s="212"/>
      <c r="K414" s="335"/>
      <c r="L414" s="335"/>
      <c r="M414" s="335"/>
      <c r="N414" s="335"/>
      <c r="O414" s="335"/>
      <c r="P414" s="335"/>
      <c r="Q414" s="1"/>
      <c r="R414" s="1"/>
      <c r="S414" s="1"/>
      <c r="T414" s="1"/>
      <c r="U414" s="1"/>
      <c r="Y414" s="1"/>
    </row>
    <row r="415" ht="12.75" customHeight="1">
      <c r="A415" s="8"/>
      <c r="B415" s="8"/>
      <c r="C415" s="8"/>
      <c r="D415" s="8"/>
      <c r="E415" s="8"/>
      <c r="F415" s="8"/>
      <c r="G415" s="334"/>
      <c r="H415" s="1"/>
      <c r="I415" s="212"/>
      <c r="J415" s="212"/>
      <c r="K415" s="335"/>
      <c r="L415" s="335"/>
      <c r="M415" s="335"/>
      <c r="N415" s="335"/>
      <c r="O415" s="335"/>
      <c r="P415" s="335"/>
      <c r="Q415" s="1"/>
      <c r="R415" s="1"/>
      <c r="S415" s="1"/>
      <c r="T415" s="1"/>
      <c r="U415" s="1"/>
      <c r="Y415" s="1"/>
    </row>
    <row r="416" ht="12.75" customHeight="1">
      <c r="A416" s="8"/>
      <c r="B416" s="8"/>
      <c r="C416" s="8"/>
      <c r="D416" s="8"/>
      <c r="E416" s="8"/>
      <c r="F416" s="8"/>
      <c r="G416" s="334"/>
      <c r="H416" s="1"/>
      <c r="I416" s="212"/>
      <c r="J416" s="212"/>
      <c r="K416" s="335"/>
      <c r="L416" s="335"/>
      <c r="M416" s="335"/>
      <c r="N416" s="335"/>
      <c r="O416" s="335"/>
      <c r="P416" s="335"/>
      <c r="Q416" s="1"/>
      <c r="R416" s="1"/>
      <c r="S416" s="1"/>
      <c r="T416" s="1"/>
      <c r="U416" s="1"/>
      <c r="Y416" s="1"/>
    </row>
    <row r="417" ht="12.75" customHeight="1">
      <c r="A417" s="8"/>
      <c r="B417" s="8"/>
      <c r="C417" s="8"/>
      <c r="D417" s="8"/>
      <c r="E417" s="8"/>
      <c r="F417" s="8"/>
      <c r="G417" s="334"/>
      <c r="H417" s="1"/>
      <c r="I417" s="212"/>
      <c r="J417" s="212"/>
      <c r="K417" s="335"/>
      <c r="L417" s="335"/>
      <c r="M417" s="335"/>
      <c r="N417" s="335"/>
      <c r="O417" s="335"/>
      <c r="P417" s="335"/>
      <c r="Q417" s="1"/>
      <c r="R417" s="1"/>
      <c r="S417" s="1"/>
      <c r="T417" s="1"/>
      <c r="U417" s="1"/>
      <c r="Y417" s="1"/>
    </row>
    <row r="418" ht="12.75" customHeight="1">
      <c r="A418" s="8"/>
      <c r="B418" s="8"/>
      <c r="C418" s="8"/>
      <c r="D418" s="8"/>
      <c r="E418" s="8"/>
      <c r="F418" s="8"/>
      <c r="G418" s="334"/>
      <c r="H418" s="1"/>
      <c r="I418" s="212"/>
      <c r="J418" s="212"/>
      <c r="K418" s="335"/>
      <c r="L418" s="335"/>
      <c r="M418" s="335"/>
      <c r="N418" s="335"/>
      <c r="O418" s="335"/>
      <c r="P418" s="335"/>
      <c r="Q418" s="1"/>
      <c r="R418" s="1"/>
      <c r="S418" s="1"/>
      <c r="T418" s="1"/>
      <c r="U418" s="1"/>
      <c r="Y418" s="1"/>
    </row>
    <row r="419" ht="12.75" customHeight="1">
      <c r="A419" s="8"/>
      <c r="B419" s="8"/>
      <c r="C419" s="8"/>
      <c r="D419" s="8"/>
      <c r="E419" s="8"/>
      <c r="F419" s="8"/>
      <c r="G419" s="334"/>
      <c r="H419" s="1"/>
      <c r="I419" s="212"/>
      <c r="J419" s="212"/>
      <c r="K419" s="335"/>
      <c r="L419" s="335"/>
      <c r="M419" s="335"/>
      <c r="N419" s="335"/>
      <c r="O419" s="335"/>
      <c r="P419" s="335"/>
      <c r="Q419" s="1"/>
      <c r="R419" s="1"/>
      <c r="S419" s="1"/>
      <c r="T419" s="1"/>
      <c r="U419" s="1"/>
      <c r="Y419" s="1"/>
    </row>
    <row r="420" ht="12.75" customHeight="1">
      <c r="A420" s="8"/>
      <c r="B420" s="8"/>
      <c r="C420" s="8"/>
      <c r="D420" s="8"/>
      <c r="E420" s="8"/>
      <c r="F420" s="8"/>
      <c r="G420" s="334"/>
      <c r="H420" s="1"/>
      <c r="I420" s="212"/>
      <c r="J420" s="212"/>
      <c r="K420" s="335"/>
      <c r="L420" s="335"/>
      <c r="M420" s="335"/>
      <c r="N420" s="335"/>
      <c r="O420" s="335"/>
      <c r="P420" s="335"/>
      <c r="Q420" s="1"/>
      <c r="R420" s="1"/>
      <c r="S420" s="1"/>
      <c r="T420" s="1"/>
      <c r="U420" s="1"/>
      <c r="Y420" s="1"/>
    </row>
    <row r="421" ht="12.75" customHeight="1">
      <c r="A421" s="8"/>
      <c r="B421" s="8"/>
      <c r="C421" s="8"/>
      <c r="D421" s="8"/>
      <c r="E421" s="8"/>
      <c r="F421" s="8"/>
      <c r="G421" s="334"/>
      <c r="H421" s="1"/>
      <c r="I421" s="212"/>
      <c r="J421" s="212"/>
      <c r="K421" s="335"/>
      <c r="L421" s="335"/>
      <c r="M421" s="335"/>
      <c r="N421" s="335"/>
      <c r="O421" s="335"/>
      <c r="P421" s="335"/>
      <c r="Q421" s="1"/>
      <c r="R421" s="1"/>
      <c r="S421" s="1"/>
      <c r="T421" s="1"/>
      <c r="U421" s="1"/>
      <c r="Y421" s="1"/>
    </row>
    <row r="422" ht="12.75" customHeight="1">
      <c r="A422" s="8"/>
      <c r="B422" s="8"/>
      <c r="C422" s="8"/>
      <c r="D422" s="8"/>
      <c r="E422" s="8"/>
      <c r="F422" s="8"/>
      <c r="G422" s="334"/>
      <c r="H422" s="1"/>
      <c r="I422" s="212"/>
      <c r="J422" s="212"/>
      <c r="K422" s="335"/>
      <c r="L422" s="335"/>
      <c r="M422" s="335"/>
      <c r="N422" s="335"/>
      <c r="O422" s="335"/>
      <c r="P422" s="335"/>
      <c r="Q422" s="1"/>
      <c r="R422" s="1"/>
      <c r="S422" s="1"/>
      <c r="T422" s="1"/>
      <c r="U422" s="1"/>
      <c r="Y422" s="1"/>
    </row>
    <row r="423" ht="12.75" customHeight="1">
      <c r="A423" s="8"/>
      <c r="B423" s="8"/>
      <c r="C423" s="8"/>
      <c r="D423" s="8"/>
      <c r="E423" s="8"/>
      <c r="F423" s="8"/>
      <c r="G423" s="334"/>
      <c r="H423" s="1"/>
      <c r="I423" s="212"/>
      <c r="J423" s="212"/>
      <c r="K423" s="335"/>
      <c r="L423" s="335"/>
      <c r="M423" s="335"/>
      <c r="N423" s="335"/>
      <c r="O423" s="335"/>
      <c r="P423" s="335"/>
      <c r="Q423" s="1"/>
      <c r="R423" s="1"/>
      <c r="S423" s="1"/>
      <c r="T423" s="1"/>
      <c r="U423" s="1"/>
      <c r="Y423" s="1"/>
    </row>
    <row r="424" ht="12.75" customHeight="1">
      <c r="A424" s="8"/>
      <c r="B424" s="8"/>
      <c r="C424" s="8"/>
      <c r="D424" s="8"/>
      <c r="E424" s="8"/>
      <c r="F424" s="8"/>
      <c r="G424" s="334"/>
      <c r="H424" s="1"/>
      <c r="I424" s="212"/>
      <c r="J424" s="212"/>
      <c r="K424" s="335"/>
      <c r="L424" s="335"/>
      <c r="M424" s="335"/>
      <c r="N424" s="335"/>
      <c r="O424" s="335"/>
      <c r="P424" s="335"/>
      <c r="Q424" s="1"/>
      <c r="R424" s="1"/>
      <c r="S424" s="1"/>
      <c r="T424" s="1"/>
      <c r="U424" s="1"/>
      <c r="Y424" s="1"/>
    </row>
    <row r="425" ht="12.75" customHeight="1">
      <c r="A425" s="8"/>
      <c r="B425" s="8"/>
      <c r="C425" s="8"/>
      <c r="D425" s="8"/>
      <c r="E425" s="8"/>
      <c r="F425" s="8"/>
      <c r="G425" s="334"/>
      <c r="H425" s="1"/>
      <c r="I425" s="212"/>
      <c r="J425" s="212"/>
      <c r="K425" s="335"/>
      <c r="L425" s="335"/>
      <c r="M425" s="335"/>
      <c r="N425" s="335"/>
      <c r="O425" s="335"/>
      <c r="P425" s="335"/>
      <c r="Q425" s="1"/>
      <c r="R425" s="1"/>
      <c r="S425" s="1"/>
      <c r="T425" s="1"/>
      <c r="U425" s="1"/>
      <c r="Y425" s="1"/>
    </row>
    <row r="426" ht="12.75" customHeight="1">
      <c r="A426" s="8"/>
      <c r="B426" s="8"/>
      <c r="C426" s="8"/>
      <c r="D426" s="8"/>
      <c r="E426" s="8"/>
      <c r="F426" s="8"/>
      <c r="G426" s="334"/>
      <c r="H426" s="1"/>
      <c r="I426" s="212"/>
      <c r="J426" s="212"/>
      <c r="K426" s="335"/>
      <c r="L426" s="335"/>
      <c r="M426" s="335"/>
      <c r="N426" s="335"/>
      <c r="O426" s="335"/>
      <c r="P426" s="335"/>
      <c r="Q426" s="1"/>
      <c r="R426" s="1"/>
      <c r="S426" s="1"/>
      <c r="T426" s="1"/>
      <c r="U426" s="1"/>
      <c r="Y426" s="1"/>
    </row>
    <row r="427" ht="12.75" customHeight="1">
      <c r="A427" s="8"/>
      <c r="B427" s="8"/>
      <c r="C427" s="8"/>
      <c r="D427" s="8"/>
      <c r="E427" s="8"/>
      <c r="F427" s="8"/>
      <c r="G427" s="334"/>
      <c r="H427" s="1"/>
      <c r="I427" s="212"/>
      <c r="J427" s="212"/>
      <c r="K427" s="335"/>
      <c r="L427" s="335"/>
      <c r="M427" s="335"/>
      <c r="N427" s="335"/>
      <c r="O427" s="335"/>
      <c r="P427" s="335"/>
      <c r="Q427" s="1"/>
      <c r="R427" s="1"/>
      <c r="S427" s="1"/>
      <c r="T427" s="1"/>
      <c r="U427" s="1"/>
      <c r="Y427" s="1"/>
    </row>
    <row r="428" ht="12.75" customHeight="1">
      <c r="A428" s="8"/>
      <c r="B428" s="8"/>
      <c r="C428" s="8"/>
      <c r="D428" s="8"/>
      <c r="E428" s="8"/>
      <c r="F428" s="8"/>
      <c r="G428" s="334"/>
      <c r="H428" s="1"/>
      <c r="I428" s="212"/>
      <c r="J428" s="212"/>
      <c r="K428" s="335"/>
      <c r="L428" s="335"/>
      <c r="M428" s="335"/>
      <c r="N428" s="335"/>
      <c r="O428" s="335"/>
      <c r="P428" s="335"/>
      <c r="Q428" s="1"/>
      <c r="R428" s="1"/>
      <c r="S428" s="1"/>
      <c r="T428" s="1"/>
      <c r="U428" s="1"/>
      <c r="Y428" s="1"/>
    </row>
    <row r="429" ht="12.75" customHeight="1">
      <c r="A429" s="8"/>
      <c r="B429" s="8"/>
      <c r="C429" s="8"/>
      <c r="D429" s="8"/>
      <c r="E429" s="8"/>
      <c r="F429" s="8"/>
      <c r="G429" s="334"/>
      <c r="H429" s="1"/>
      <c r="I429" s="212"/>
      <c r="J429" s="212"/>
      <c r="K429" s="335"/>
      <c r="L429" s="335"/>
      <c r="M429" s="335"/>
      <c r="N429" s="335"/>
      <c r="O429" s="335"/>
      <c r="P429" s="335"/>
      <c r="Q429" s="1"/>
      <c r="R429" s="1"/>
      <c r="S429" s="1"/>
      <c r="T429" s="1"/>
      <c r="U429" s="1"/>
      <c r="Y429" s="1"/>
    </row>
    <row r="430" ht="12.75" customHeight="1">
      <c r="A430" s="8"/>
      <c r="B430" s="8"/>
      <c r="C430" s="8"/>
      <c r="D430" s="8"/>
      <c r="E430" s="8"/>
      <c r="F430" s="8"/>
      <c r="G430" s="334"/>
      <c r="H430" s="1"/>
      <c r="I430" s="212"/>
      <c r="J430" s="212"/>
      <c r="K430" s="335"/>
      <c r="L430" s="335"/>
      <c r="M430" s="335"/>
      <c r="N430" s="335"/>
      <c r="O430" s="335"/>
      <c r="P430" s="335"/>
      <c r="Q430" s="1"/>
      <c r="R430" s="1"/>
      <c r="S430" s="1"/>
      <c r="T430" s="1"/>
      <c r="U430" s="1"/>
      <c r="Y430" s="1"/>
    </row>
    <row r="431" ht="12.75" customHeight="1">
      <c r="A431" s="8"/>
      <c r="B431" s="8"/>
      <c r="C431" s="8"/>
      <c r="D431" s="8"/>
      <c r="E431" s="8"/>
      <c r="F431" s="8"/>
      <c r="G431" s="334"/>
      <c r="H431" s="1"/>
      <c r="I431" s="212"/>
      <c r="J431" s="212"/>
      <c r="K431" s="335"/>
      <c r="L431" s="335"/>
      <c r="M431" s="335"/>
      <c r="N431" s="335"/>
      <c r="O431" s="335"/>
      <c r="P431" s="335"/>
      <c r="Q431" s="1"/>
      <c r="R431" s="1"/>
      <c r="S431" s="1"/>
      <c r="T431" s="1"/>
      <c r="U431" s="1"/>
      <c r="Y431" s="1"/>
    </row>
    <row r="432" ht="12.75" customHeight="1">
      <c r="A432" s="8"/>
      <c r="B432" s="8"/>
      <c r="C432" s="8"/>
      <c r="D432" s="8"/>
      <c r="E432" s="8"/>
      <c r="F432" s="8"/>
      <c r="G432" s="334"/>
      <c r="H432" s="1"/>
      <c r="I432" s="212"/>
      <c r="J432" s="212"/>
      <c r="K432" s="335"/>
      <c r="L432" s="335"/>
      <c r="M432" s="335"/>
      <c r="N432" s="335"/>
      <c r="O432" s="335"/>
      <c r="P432" s="335"/>
      <c r="Q432" s="1"/>
      <c r="R432" s="1"/>
      <c r="S432" s="1"/>
      <c r="T432" s="1"/>
      <c r="U432" s="1"/>
      <c r="Y432" s="1"/>
    </row>
    <row r="433" ht="12.75" customHeight="1">
      <c r="A433" s="8"/>
      <c r="B433" s="8"/>
      <c r="C433" s="8"/>
      <c r="D433" s="8"/>
      <c r="E433" s="8"/>
      <c r="F433" s="8"/>
      <c r="G433" s="334"/>
      <c r="H433" s="1"/>
      <c r="I433" s="212"/>
      <c r="J433" s="212"/>
      <c r="K433" s="335"/>
      <c r="L433" s="335"/>
      <c r="M433" s="335"/>
      <c r="N433" s="335"/>
      <c r="O433" s="335"/>
      <c r="P433" s="335"/>
      <c r="Q433" s="1"/>
      <c r="R433" s="1"/>
      <c r="S433" s="1"/>
      <c r="T433" s="1"/>
      <c r="U433" s="1"/>
      <c r="Y433" s="1"/>
    </row>
    <row r="434" ht="12.75" customHeight="1">
      <c r="A434" s="8"/>
      <c r="B434" s="8"/>
      <c r="C434" s="8"/>
      <c r="D434" s="8"/>
      <c r="E434" s="8"/>
      <c r="F434" s="8"/>
      <c r="G434" s="334"/>
      <c r="H434" s="1"/>
      <c r="I434" s="212"/>
      <c r="J434" s="212"/>
      <c r="K434" s="335"/>
      <c r="L434" s="335"/>
      <c r="M434" s="335"/>
      <c r="N434" s="335"/>
      <c r="O434" s="335"/>
      <c r="P434" s="335"/>
      <c r="Q434" s="1"/>
      <c r="R434" s="1"/>
      <c r="S434" s="1"/>
      <c r="T434" s="1"/>
      <c r="U434" s="1"/>
      <c r="Y434" s="1"/>
    </row>
    <row r="435" ht="12.75" customHeight="1">
      <c r="A435" s="8"/>
      <c r="B435" s="8"/>
      <c r="C435" s="8"/>
      <c r="D435" s="8"/>
      <c r="E435" s="8"/>
      <c r="F435" s="8"/>
      <c r="G435" s="334"/>
      <c r="H435" s="1"/>
      <c r="I435" s="212"/>
      <c r="J435" s="212"/>
      <c r="K435" s="335"/>
      <c r="L435" s="335"/>
      <c r="M435" s="335"/>
      <c r="N435" s="335"/>
      <c r="O435" s="335"/>
      <c r="P435" s="335"/>
      <c r="Q435" s="1"/>
      <c r="R435" s="1"/>
      <c r="S435" s="1"/>
      <c r="T435" s="1"/>
      <c r="U435" s="1"/>
      <c r="Y435" s="1"/>
    </row>
    <row r="436" ht="12.75" customHeight="1">
      <c r="A436" s="8"/>
      <c r="B436" s="8"/>
      <c r="C436" s="8"/>
      <c r="D436" s="8"/>
      <c r="E436" s="8"/>
      <c r="F436" s="8"/>
      <c r="G436" s="334"/>
      <c r="H436" s="1"/>
      <c r="I436" s="212"/>
      <c r="J436" s="212"/>
      <c r="K436" s="335"/>
      <c r="L436" s="335"/>
      <c r="M436" s="335"/>
      <c r="N436" s="335"/>
      <c r="O436" s="335"/>
      <c r="P436" s="335"/>
      <c r="Q436" s="1"/>
      <c r="R436" s="1"/>
      <c r="S436" s="1"/>
      <c r="T436" s="1"/>
      <c r="U436" s="1"/>
      <c r="Y436" s="1"/>
    </row>
    <row r="437" ht="12.75" customHeight="1">
      <c r="A437" s="8"/>
      <c r="B437" s="8"/>
      <c r="C437" s="8"/>
      <c r="D437" s="8"/>
      <c r="E437" s="8"/>
      <c r="F437" s="8"/>
      <c r="G437" s="334"/>
      <c r="H437" s="1"/>
      <c r="I437" s="212"/>
      <c r="J437" s="212"/>
      <c r="K437" s="335"/>
      <c r="L437" s="335"/>
      <c r="M437" s="335"/>
      <c r="N437" s="335"/>
      <c r="O437" s="335"/>
      <c r="P437" s="335"/>
      <c r="Q437" s="1"/>
      <c r="R437" s="1"/>
      <c r="S437" s="1"/>
      <c r="T437" s="1"/>
      <c r="U437" s="1"/>
      <c r="Y437" s="1"/>
    </row>
    <row r="438" ht="12.75" customHeight="1">
      <c r="A438" s="8"/>
      <c r="B438" s="8"/>
      <c r="C438" s="8"/>
      <c r="D438" s="8"/>
      <c r="E438" s="8"/>
      <c r="F438" s="8"/>
      <c r="G438" s="334"/>
      <c r="H438" s="1"/>
      <c r="I438" s="212"/>
      <c r="J438" s="212"/>
      <c r="K438" s="335"/>
      <c r="L438" s="335"/>
      <c r="M438" s="335"/>
      <c r="N438" s="335"/>
      <c r="O438" s="335"/>
      <c r="P438" s="335"/>
      <c r="Q438" s="1"/>
      <c r="R438" s="1"/>
      <c r="S438" s="1"/>
      <c r="T438" s="1"/>
      <c r="U438" s="1"/>
      <c r="Y438" s="1"/>
    </row>
    <row r="439" ht="12.75" customHeight="1">
      <c r="A439" s="8"/>
      <c r="B439" s="8"/>
      <c r="C439" s="8"/>
      <c r="D439" s="8"/>
      <c r="E439" s="8"/>
      <c r="F439" s="8"/>
      <c r="G439" s="334"/>
      <c r="H439" s="1"/>
      <c r="I439" s="212"/>
      <c r="J439" s="212"/>
      <c r="K439" s="335"/>
      <c r="L439" s="335"/>
      <c r="M439" s="335"/>
      <c r="N439" s="335"/>
      <c r="O439" s="335"/>
      <c r="P439" s="335"/>
      <c r="Q439" s="1"/>
      <c r="R439" s="1"/>
      <c r="S439" s="1"/>
      <c r="T439" s="1"/>
      <c r="U439" s="1"/>
      <c r="Y439" s="1"/>
    </row>
    <row r="440" ht="12.75" customHeight="1">
      <c r="A440" s="8"/>
      <c r="B440" s="8"/>
      <c r="C440" s="8"/>
      <c r="D440" s="8"/>
      <c r="E440" s="8"/>
      <c r="F440" s="8"/>
      <c r="G440" s="334"/>
      <c r="H440" s="1"/>
      <c r="I440" s="212"/>
      <c r="J440" s="212"/>
      <c r="K440" s="335"/>
      <c r="L440" s="335"/>
      <c r="M440" s="335"/>
      <c r="N440" s="335"/>
      <c r="O440" s="335"/>
      <c r="P440" s="335"/>
      <c r="Q440" s="1"/>
      <c r="R440" s="1"/>
      <c r="S440" s="1"/>
      <c r="T440" s="1"/>
      <c r="U440" s="1"/>
      <c r="Y440" s="1"/>
    </row>
    <row r="441" ht="12.75" customHeight="1">
      <c r="A441" s="8"/>
      <c r="B441" s="8"/>
      <c r="C441" s="8"/>
      <c r="D441" s="8"/>
      <c r="E441" s="8"/>
      <c r="F441" s="8"/>
      <c r="G441" s="334"/>
      <c r="H441" s="1"/>
      <c r="I441" s="212"/>
      <c r="J441" s="212"/>
      <c r="K441" s="335"/>
      <c r="L441" s="335"/>
      <c r="M441" s="335"/>
      <c r="N441" s="335"/>
      <c r="O441" s="335"/>
      <c r="P441" s="335"/>
      <c r="Q441" s="1"/>
      <c r="R441" s="1"/>
      <c r="S441" s="1"/>
      <c r="T441" s="1"/>
      <c r="U441" s="1"/>
      <c r="Y441" s="1"/>
    </row>
    <row r="442" ht="12.75" customHeight="1">
      <c r="A442" s="8"/>
      <c r="B442" s="8"/>
      <c r="C442" s="8"/>
      <c r="D442" s="8"/>
      <c r="E442" s="8"/>
      <c r="F442" s="8"/>
      <c r="G442" s="334"/>
      <c r="H442" s="1"/>
      <c r="I442" s="212"/>
      <c r="J442" s="212"/>
      <c r="K442" s="335"/>
      <c r="L442" s="335"/>
      <c r="M442" s="335"/>
      <c r="N442" s="335"/>
      <c r="O442" s="335"/>
      <c r="P442" s="335"/>
      <c r="Q442" s="1"/>
      <c r="R442" s="1"/>
      <c r="S442" s="1"/>
      <c r="T442" s="1"/>
      <c r="U442" s="1"/>
      <c r="Y442" s="1"/>
    </row>
    <row r="443" ht="12.75" customHeight="1">
      <c r="A443" s="8"/>
      <c r="B443" s="8"/>
      <c r="C443" s="8"/>
      <c r="D443" s="8"/>
      <c r="E443" s="8"/>
      <c r="F443" s="8"/>
      <c r="G443" s="334"/>
      <c r="H443" s="1"/>
      <c r="I443" s="212"/>
      <c r="J443" s="212"/>
      <c r="K443" s="335"/>
      <c r="L443" s="335"/>
      <c r="M443" s="335"/>
      <c r="N443" s="335"/>
      <c r="O443" s="335"/>
      <c r="P443" s="335"/>
      <c r="Q443" s="1"/>
      <c r="R443" s="1"/>
      <c r="S443" s="1"/>
      <c r="T443" s="1"/>
      <c r="U443" s="1"/>
      <c r="Y443" s="1"/>
    </row>
    <row r="444" ht="12.75" customHeight="1">
      <c r="A444" s="8"/>
      <c r="B444" s="8"/>
      <c r="C444" s="8"/>
      <c r="D444" s="8"/>
      <c r="E444" s="8"/>
      <c r="F444" s="8"/>
      <c r="G444" s="334"/>
      <c r="H444" s="1"/>
      <c r="I444" s="212"/>
      <c r="J444" s="212"/>
      <c r="K444" s="335"/>
      <c r="L444" s="335"/>
      <c r="M444" s="335"/>
      <c r="N444" s="335"/>
      <c r="O444" s="335"/>
      <c r="P444" s="335"/>
      <c r="Q444" s="1"/>
      <c r="R444" s="1"/>
      <c r="S444" s="1"/>
      <c r="T444" s="1"/>
      <c r="U444" s="1"/>
      <c r="Y444" s="1"/>
    </row>
    <row r="445" ht="12.75" customHeight="1">
      <c r="A445" s="8"/>
      <c r="B445" s="8"/>
      <c r="C445" s="8"/>
      <c r="D445" s="8"/>
      <c r="E445" s="8"/>
      <c r="F445" s="8"/>
      <c r="G445" s="334"/>
      <c r="H445" s="1"/>
      <c r="I445" s="212"/>
      <c r="J445" s="212"/>
      <c r="K445" s="335"/>
      <c r="L445" s="335"/>
      <c r="M445" s="335"/>
      <c r="N445" s="335"/>
      <c r="O445" s="335"/>
      <c r="P445" s="335"/>
      <c r="Q445" s="1"/>
      <c r="R445" s="1"/>
      <c r="S445" s="1"/>
      <c r="T445" s="1"/>
      <c r="U445" s="1"/>
      <c r="Y445" s="1"/>
    </row>
    <row r="446" ht="12.75" customHeight="1">
      <c r="A446" s="8"/>
      <c r="B446" s="8"/>
      <c r="C446" s="8"/>
      <c r="D446" s="8"/>
      <c r="E446" s="8"/>
      <c r="F446" s="8"/>
      <c r="G446" s="334"/>
      <c r="H446" s="1"/>
      <c r="I446" s="212"/>
      <c r="J446" s="212"/>
      <c r="K446" s="335"/>
      <c r="L446" s="335"/>
      <c r="M446" s="335"/>
      <c r="N446" s="335"/>
      <c r="O446" s="335"/>
      <c r="P446" s="335"/>
      <c r="Q446" s="1"/>
      <c r="R446" s="1"/>
      <c r="S446" s="1"/>
      <c r="T446" s="1"/>
      <c r="U446" s="1"/>
      <c r="Y446" s="1"/>
    </row>
    <row r="447" ht="12.75" customHeight="1">
      <c r="A447" s="8"/>
      <c r="B447" s="8"/>
      <c r="C447" s="8"/>
      <c r="D447" s="8"/>
      <c r="E447" s="8"/>
      <c r="F447" s="8"/>
      <c r="G447" s="334"/>
      <c r="H447" s="1"/>
      <c r="I447" s="212"/>
      <c r="J447" s="212"/>
      <c r="K447" s="335"/>
      <c r="L447" s="335"/>
      <c r="M447" s="335"/>
      <c r="N447" s="335"/>
      <c r="O447" s="335"/>
      <c r="P447" s="335"/>
      <c r="Q447" s="1"/>
      <c r="R447" s="1"/>
      <c r="S447" s="1"/>
      <c r="T447" s="1"/>
      <c r="U447" s="1"/>
      <c r="Y447" s="1"/>
    </row>
    <row r="448" ht="12.75" customHeight="1">
      <c r="A448" s="8"/>
      <c r="B448" s="8"/>
      <c r="C448" s="8"/>
      <c r="D448" s="8"/>
      <c r="E448" s="8"/>
      <c r="F448" s="8"/>
      <c r="G448" s="334"/>
      <c r="H448" s="1"/>
      <c r="I448" s="212"/>
      <c r="J448" s="212"/>
      <c r="K448" s="335"/>
      <c r="L448" s="335"/>
      <c r="M448" s="335"/>
      <c r="N448" s="335"/>
      <c r="O448" s="335"/>
      <c r="P448" s="335"/>
      <c r="Q448" s="1"/>
      <c r="R448" s="1"/>
      <c r="S448" s="1"/>
      <c r="T448" s="1"/>
      <c r="U448" s="1"/>
      <c r="Y448" s="1"/>
    </row>
    <row r="449" ht="12.75" customHeight="1">
      <c r="A449" s="8"/>
      <c r="B449" s="8"/>
      <c r="C449" s="8"/>
      <c r="D449" s="8"/>
      <c r="E449" s="8"/>
      <c r="F449" s="8"/>
      <c r="G449" s="334"/>
      <c r="H449" s="1"/>
      <c r="I449" s="212"/>
      <c r="J449" s="212"/>
      <c r="K449" s="335"/>
      <c r="L449" s="335"/>
      <c r="M449" s="335"/>
      <c r="N449" s="335"/>
      <c r="O449" s="335"/>
      <c r="P449" s="335"/>
      <c r="Q449" s="1"/>
      <c r="R449" s="1"/>
      <c r="S449" s="1"/>
      <c r="T449" s="1"/>
      <c r="U449" s="1"/>
      <c r="Y449" s="1"/>
    </row>
    <row r="450" ht="12.75" customHeight="1">
      <c r="A450" s="8"/>
      <c r="B450" s="8"/>
      <c r="C450" s="8"/>
      <c r="D450" s="8"/>
      <c r="E450" s="8"/>
      <c r="F450" s="8"/>
      <c r="G450" s="334"/>
      <c r="H450" s="1"/>
      <c r="I450" s="212"/>
      <c r="J450" s="212"/>
      <c r="K450" s="335"/>
      <c r="L450" s="335"/>
      <c r="M450" s="335"/>
      <c r="N450" s="335"/>
      <c r="O450" s="335"/>
      <c r="P450" s="335"/>
      <c r="Q450" s="1"/>
      <c r="R450" s="1"/>
      <c r="S450" s="1"/>
      <c r="T450" s="1"/>
      <c r="U450" s="1"/>
      <c r="Y450" s="1"/>
    </row>
    <row r="451" ht="12.75" customHeight="1">
      <c r="A451" s="8"/>
      <c r="B451" s="8"/>
      <c r="C451" s="8"/>
      <c r="D451" s="8"/>
      <c r="E451" s="8"/>
      <c r="F451" s="8"/>
      <c r="G451" s="334"/>
      <c r="H451" s="1"/>
      <c r="I451" s="212"/>
      <c r="J451" s="212"/>
      <c r="K451" s="335"/>
      <c r="L451" s="335"/>
      <c r="M451" s="335"/>
      <c r="N451" s="335"/>
      <c r="O451" s="335"/>
      <c r="P451" s="335"/>
      <c r="Q451" s="1"/>
      <c r="R451" s="1"/>
      <c r="S451" s="1"/>
      <c r="T451" s="1"/>
      <c r="U451" s="1"/>
      <c r="Y451" s="1"/>
    </row>
    <row r="452" ht="12.75" customHeight="1">
      <c r="A452" s="8"/>
      <c r="B452" s="8"/>
      <c r="C452" s="8"/>
      <c r="D452" s="8"/>
      <c r="E452" s="8"/>
      <c r="F452" s="8"/>
      <c r="G452" s="334"/>
      <c r="H452" s="1"/>
      <c r="I452" s="212"/>
      <c r="J452" s="212"/>
      <c r="K452" s="335"/>
      <c r="L452" s="335"/>
      <c r="M452" s="335"/>
      <c r="N452" s="335"/>
      <c r="O452" s="335"/>
      <c r="P452" s="335"/>
      <c r="Q452" s="1"/>
      <c r="R452" s="1"/>
      <c r="S452" s="1"/>
      <c r="T452" s="1"/>
      <c r="U452" s="1"/>
      <c r="Y452" s="1"/>
    </row>
    <row r="453" ht="12.75" customHeight="1">
      <c r="A453" s="8"/>
      <c r="B453" s="8"/>
      <c r="C453" s="8"/>
      <c r="D453" s="8"/>
      <c r="E453" s="8"/>
      <c r="F453" s="8"/>
      <c r="G453" s="334"/>
      <c r="H453" s="1"/>
      <c r="I453" s="212"/>
      <c r="J453" s="212"/>
      <c r="K453" s="335"/>
      <c r="L453" s="335"/>
      <c r="M453" s="335"/>
      <c r="N453" s="335"/>
      <c r="O453" s="335"/>
      <c r="P453" s="335"/>
      <c r="Q453" s="1"/>
      <c r="R453" s="1"/>
      <c r="S453" s="1"/>
      <c r="T453" s="1"/>
      <c r="U453" s="1"/>
      <c r="Y453" s="1"/>
    </row>
    <row r="454" ht="12.75" customHeight="1">
      <c r="A454" s="8"/>
      <c r="B454" s="8"/>
      <c r="C454" s="8"/>
      <c r="D454" s="8"/>
      <c r="E454" s="8"/>
      <c r="F454" s="8"/>
      <c r="G454" s="334"/>
      <c r="H454" s="1"/>
      <c r="I454" s="212"/>
      <c r="J454" s="212"/>
      <c r="K454" s="335"/>
      <c r="L454" s="335"/>
      <c r="M454" s="335"/>
      <c r="N454" s="335"/>
      <c r="O454" s="335"/>
      <c r="P454" s="335"/>
      <c r="Q454" s="1"/>
      <c r="R454" s="1"/>
      <c r="S454" s="1"/>
      <c r="T454" s="1"/>
      <c r="U454" s="1"/>
      <c r="Y454" s="1"/>
    </row>
    <row r="455" ht="12.75" customHeight="1">
      <c r="A455" s="8"/>
      <c r="B455" s="8"/>
      <c r="C455" s="8"/>
      <c r="D455" s="8"/>
      <c r="E455" s="8"/>
      <c r="F455" s="8"/>
      <c r="G455" s="334"/>
      <c r="H455" s="1"/>
      <c r="I455" s="212"/>
      <c r="J455" s="212"/>
      <c r="K455" s="335"/>
      <c r="L455" s="335"/>
      <c r="M455" s="335"/>
      <c r="N455" s="335"/>
      <c r="O455" s="335"/>
      <c r="P455" s="335"/>
      <c r="Q455" s="1"/>
      <c r="R455" s="1"/>
      <c r="S455" s="1"/>
      <c r="T455" s="1"/>
      <c r="U455" s="1"/>
      <c r="Y455" s="1"/>
    </row>
    <row r="456" ht="12.75" customHeight="1">
      <c r="A456" s="8"/>
      <c r="B456" s="8"/>
      <c r="C456" s="8"/>
      <c r="D456" s="8"/>
      <c r="E456" s="8"/>
      <c r="F456" s="8"/>
      <c r="G456" s="334"/>
      <c r="H456" s="1"/>
      <c r="I456" s="212"/>
      <c r="J456" s="212"/>
      <c r="K456" s="335"/>
      <c r="L456" s="335"/>
      <c r="M456" s="335"/>
      <c r="N456" s="335"/>
      <c r="O456" s="335"/>
      <c r="P456" s="335"/>
      <c r="Q456" s="1"/>
      <c r="R456" s="1"/>
      <c r="S456" s="1"/>
      <c r="T456" s="1"/>
      <c r="U456" s="1"/>
      <c r="Y456" s="1"/>
    </row>
    <row r="457" ht="12.75" customHeight="1">
      <c r="A457" s="8"/>
      <c r="B457" s="8"/>
      <c r="C457" s="8"/>
      <c r="D457" s="8"/>
      <c r="E457" s="8"/>
      <c r="F457" s="8"/>
      <c r="G457" s="334"/>
      <c r="H457" s="1"/>
      <c r="I457" s="212"/>
      <c r="J457" s="212"/>
      <c r="K457" s="335"/>
      <c r="L457" s="335"/>
      <c r="M457" s="335"/>
      <c r="N457" s="335"/>
      <c r="O457" s="335"/>
      <c r="P457" s="335"/>
      <c r="Q457" s="1"/>
      <c r="R457" s="1"/>
      <c r="S457" s="1"/>
      <c r="T457" s="1"/>
      <c r="U457" s="1"/>
      <c r="Y457" s="1"/>
    </row>
    <row r="458" ht="12.75" customHeight="1">
      <c r="A458" s="8"/>
      <c r="B458" s="8"/>
      <c r="C458" s="8"/>
      <c r="D458" s="8"/>
      <c r="E458" s="8"/>
      <c r="F458" s="8"/>
      <c r="G458" s="334"/>
      <c r="H458" s="1"/>
      <c r="I458" s="212"/>
      <c r="J458" s="212"/>
      <c r="K458" s="335"/>
      <c r="L458" s="335"/>
      <c r="M458" s="335"/>
      <c r="N458" s="335"/>
      <c r="O458" s="335"/>
      <c r="P458" s="335"/>
      <c r="Q458" s="1"/>
      <c r="R458" s="1"/>
      <c r="S458" s="1"/>
      <c r="T458" s="1"/>
      <c r="U458" s="1"/>
      <c r="Y458" s="1"/>
    </row>
    <row r="459" ht="12.75" customHeight="1">
      <c r="A459" s="8"/>
      <c r="B459" s="8"/>
      <c r="C459" s="8"/>
      <c r="D459" s="8"/>
      <c r="E459" s="8"/>
      <c r="F459" s="8"/>
      <c r="G459" s="334"/>
      <c r="H459" s="1"/>
      <c r="I459" s="212"/>
      <c r="J459" s="212"/>
      <c r="K459" s="335"/>
      <c r="L459" s="335"/>
      <c r="M459" s="335"/>
      <c r="N459" s="335"/>
      <c r="O459" s="335"/>
      <c r="P459" s="335"/>
      <c r="Q459" s="1"/>
      <c r="R459" s="1"/>
      <c r="S459" s="1"/>
      <c r="T459" s="1"/>
      <c r="U459" s="1"/>
      <c r="Y459" s="1"/>
    </row>
    <row r="460" ht="12.75" customHeight="1">
      <c r="A460" s="8"/>
      <c r="B460" s="8"/>
      <c r="C460" s="8"/>
      <c r="D460" s="8"/>
      <c r="E460" s="8"/>
      <c r="F460" s="8"/>
      <c r="G460" s="334"/>
      <c r="H460" s="1"/>
      <c r="I460" s="212"/>
      <c r="J460" s="212"/>
      <c r="K460" s="335"/>
      <c r="L460" s="335"/>
      <c r="M460" s="335"/>
      <c r="N460" s="335"/>
      <c r="O460" s="335"/>
      <c r="P460" s="335"/>
      <c r="Q460" s="1"/>
      <c r="R460" s="1"/>
      <c r="S460" s="1"/>
      <c r="T460" s="1"/>
      <c r="U460" s="1"/>
      <c r="Y460" s="1"/>
    </row>
    <row r="461" ht="12.75" customHeight="1">
      <c r="A461" s="8"/>
      <c r="B461" s="8"/>
      <c r="C461" s="8"/>
      <c r="D461" s="8"/>
      <c r="E461" s="8"/>
      <c r="F461" s="8"/>
      <c r="G461" s="334"/>
      <c r="H461" s="1"/>
      <c r="I461" s="212"/>
      <c r="J461" s="212"/>
      <c r="K461" s="335"/>
      <c r="L461" s="335"/>
      <c r="M461" s="335"/>
      <c r="N461" s="335"/>
      <c r="O461" s="335"/>
      <c r="P461" s="335"/>
      <c r="Q461" s="1"/>
      <c r="R461" s="1"/>
      <c r="S461" s="1"/>
      <c r="T461" s="1"/>
      <c r="U461" s="1"/>
      <c r="Y461" s="1"/>
    </row>
    <row r="462" ht="12.75" customHeight="1">
      <c r="A462" s="8"/>
      <c r="B462" s="8"/>
      <c r="C462" s="8"/>
      <c r="D462" s="8"/>
      <c r="E462" s="8"/>
      <c r="F462" s="8"/>
      <c r="G462" s="334"/>
      <c r="H462" s="1"/>
      <c r="I462" s="212"/>
      <c r="J462" s="212"/>
      <c r="K462" s="335"/>
      <c r="L462" s="335"/>
      <c r="M462" s="335"/>
      <c r="N462" s="335"/>
      <c r="O462" s="335"/>
      <c r="P462" s="335"/>
      <c r="Q462" s="1"/>
      <c r="R462" s="1"/>
      <c r="S462" s="1"/>
      <c r="T462" s="1"/>
      <c r="U462" s="1"/>
      <c r="Y462" s="1"/>
    </row>
    <row r="463" ht="12.75" customHeight="1">
      <c r="A463" s="8"/>
      <c r="B463" s="8"/>
      <c r="C463" s="8"/>
      <c r="D463" s="8"/>
      <c r="E463" s="8"/>
      <c r="F463" s="8"/>
      <c r="G463" s="334"/>
      <c r="H463" s="1"/>
      <c r="I463" s="212"/>
      <c r="J463" s="212"/>
      <c r="K463" s="335"/>
      <c r="L463" s="335"/>
      <c r="M463" s="335"/>
      <c r="N463" s="335"/>
      <c r="O463" s="335"/>
      <c r="P463" s="335"/>
      <c r="Q463" s="1"/>
      <c r="R463" s="1"/>
      <c r="S463" s="1"/>
      <c r="T463" s="1"/>
      <c r="U463" s="1"/>
      <c r="Y463" s="1"/>
    </row>
    <row r="464" ht="12.75" customHeight="1">
      <c r="A464" s="8"/>
      <c r="B464" s="8"/>
      <c r="C464" s="8"/>
      <c r="D464" s="8"/>
      <c r="E464" s="8"/>
      <c r="F464" s="8"/>
      <c r="G464" s="334"/>
      <c r="H464" s="1"/>
      <c r="I464" s="212"/>
      <c r="J464" s="212"/>
      <c r="K464" s="335"/>
      <c r="L464" s="335"/>
      <c r="M464" s="335"/>
      <c r="N464" s="335"/>
      <c r="O464" s="335"/>
      <c r="P464" s="335"/>
      <c r="Q464" s="1"/>
      <c r="R464" s="1"/>
      <c r="S464" s="1"/>
      <c r="T464" s="1"/>
      <c r="U464" s="1"/>
      <c r="Y464" s="1"/>
    </row>
    <row r="465" ht="12.75" customHeight="1">
      <c r="A465" s="8"/>
      <c r="B465" s="8"/>
      <c r="C465" s="8"/>
      <c r="D465" s="8"/>
      <c r="E465" s="8"/>
      <c r="F465" s="8"/>
      <c r="G465" s="334"/>
      <c r="H465" s="1"/>
      <c r="I465" s="212"/>
      <c r="J465" s="212"/>
      <c r="K465" s="335"/>
      <c r="L465" s="335"/>
      <c r="M465" s="335"/>
      <c r="N465" s="335"/>
      <c r="O465" s="335"/>
      <c r="P465" s="335"/>
      <c r="Q465" s="1"/>
      <c r="R465" s="1"/>
      <c r="S465" s="1"/>
      <c r="T465" s="1"/>
      <c r="U465" s="1"/>
      <c r="Y465" s="1"/>
    </row>
    <row r="466" ht="12.75" customHeight="1">
      <c r="A466" s="8"/>
      <c r="B466" s="8"/>
      <c r="C466" s="8"/>
      <c r="D466" s="8"/>
      <c r="E466" s="8"/>
      <c r="F466" s="8"/>
      <c r="G466" s="334"/>
      <c r="H466" s="1"/>
      <c r="I466" s="212"/>
      <c r="J466" s="212"/>
      <c r="K466" s="335"/>
      <c r="L466" s="335"/>
      <c r="M466" s="335"/>
      <c r="N466" s="335"/>
      <c r="O466" s="335"/>
      <c r="P466" s="335"/>
      <c r="Q466" s="1"/>
      <c r="R466" s="1"/>
      <c r="S466" s="1"/>
      <c r="T466" s="1"/>
      <c r="U466" s="1"/>
      <c r="Y466" s="1"/>
    </row>
    <row r="467" ht="12.75" customHeight="1">
      <c r="A467" s="8"/>
      <c r="B467" s="8"/>
      <c r="C467" s="8"/>
      <c r="D467" s="8"/>
      <c r="E467" s="8"/>
      <c r="F467" s="8"/>
      <c r="G467" s="334"/>
      <c r="H467" s="1"/>
      <c r="I467" s="212"/>
      <c r="J467" s="212"/>
      <c r="K467" s="335"/>
      <c r="L467" s="335"/>
      <c r="M467" s="335"/>
      <c r="N467" s="335"/>
      <c r="O467" s="335"/>
      <c r="P467" s="335"/>
      <c r="Q467" s="1"/>
      <c r="R467" s="1"/>
      <c r="S467" s="1"/>
      <c r="T467" s="1"/>
      <c r="U467" s="1"/>
      <c r="Y467" s="1"/>
    </row>
    <row r="468" ht="12.75" customHeight="1">
      <c r="A468" s="8"/>
      <c r="B468" s="8"/>
      <c r="C468" s="8"/>
      <c r="D468" s="8"/>
      <c r="E468" s="8"/>
      <c r="F468" s="8"/>
      <c r="G468" s="334"/>
      <c r="H468" s="1"/>
      <c r="I468" s="212"/>
      <c r="J468" s="212"/>
      <c r="K468" s="335"/>
      <c r="L468" s="335"/>
      <c r="M468" s="335"/>
      <c r="N468" s="335"/>
      <c r="O468" s="335"/>
      <c r="P468" s="335"/>
      <c r="Q468" s="1"/>
      <c r="R468" s="1"/>
      <c r="S468" s="1"/>
      <c r="T468" s="1"/>
      <c r="U468" s="1"/>
      <c r="Y468" s="1"/>
    </row>
    <row r="469" ht="12.75" customHeight="1">
      <c r="A469" s="8"/>
      <c r="B469" s="8"/>
      <c r="C469" s="8"/>
      <c r="D469" s="8"/>
      <c r="E469" s="8"/>
      <c r="F469" s="8"/>
      <c r="G469" s="334"/>
      <c r="H469" s="1"/>
      <c r="I469" s="212"/>
      <c r="J469" s="212"/>
      <c r="K469" s="335"/>
      <c r="L469" s="335"/>
      <c r="M469" s="335"/>
      <c r="N469" s="335"/>
      <c r="O469" s="335"/>
      <c r="P469" s="335"/>
      <c r="Q469" s="1"/>
      <c r="R469" s="1"/>
      <c r="S469" s="1"/>
      <c r="T469" s="1"/>
      <c r="U469" s="1"/>
      <c r="Y469" s="1"/>
    </row>
    <row r="470" ht="12.75" customHeight="1">
      <c r="A470" s="8"/>
      <c r="B470" s="8"/>
      <c r="C470" s="8"/>
      <c r="D470" s="8"/>
      <c r="E470" s="8"/>
      <c r="F470" s="8"/>
      <c r="G470" s="334"/>
      <c r="H470" s="1"/>
      <c r="I470" s="212"/>
      <c r="J470" s="212"/>
      <c r="K470" s="335"/>
      <c r="L470" s="335"/>
      <c r="M470" s="335"/>
      <c r="N470" s="335"/>
      <c r="O470" s="335"/>
      <c r="P470" s="335"/>
      <c r="Q470" s="1"/>
      <c r="R470" s="1"/>
      <c r="S470" s="1"/>
      <c r="T470" s="1"/>
      <c r="U470" s="1"/>
      <c r="Y470" s="1"/>
    </row>
    <row r="471" ht="12.75" customHeight="1">
      <c r="A471" s="8"/>
      <c r="B471" s="8"/>
      <c r="C471" s="8"/>
      <c r="D471" s="8"/>
      <c r="E471" s="8"/>
      <c r="F471" s="8"/>
      <c r="G471" s="334"/>
      <c r="H471" s="1"/>
      <c r="I471" s="212"/>
      <c r="J471" s="212"/>
      <c r="K471" s="335"/>
      <c r="L471" s="335"/>
      <c r="M471" s="335"/>
      <c r="N471" s="335"/>
      <c r="O471" s="335"/>
      <c r="P471" s="335"/>
      <c r="Q471" s="1"/>
      <c r="R471" s="1"/>
      <c r="S471" s="1"/>
      <c r="T471" s="1"/>
      <c r="U471" s="1"/>
      <c r="Y471" s="1"/>
    </row>
    <row r="472" ht="12.75" customHeight="1">
      <c r="A472" s="8"/>
      <c r="B472" s="8"/>
      <c r="C472" s="8"/>
      <c r="D472" s="8"/>
      <c r="E472" s="8"/>
      <c r="F472" s="8"/>
      <c r="G472" s="334"/>
      <c r="H472" s="1"/>
      <c r="I472" s="212"/>
      <c r="J472" s="212"/>
      <c r="K472" s="335"/>
      <c r="L472" s="335"/>
      <c r="M472" s="335"/>
      <c r="N472" s="335"/>
      <c r="O472" s="335"/>
      <c r="P472" s="335"/>
      <c r="Q472" s="1"/>
      <c r="R472" s="1"/>
      <c r="S472" s="1"/>
      <c r="T472" s="1"/>
      <c r="U472" s="1"/>
      <c r="Y472" s="1"/>
    </row>
    <row r="473" ht="12.75" customHeight="1">
      <c r="A473" s="8"/>
      <c r="B473" s="8"/>
      <c r="C473" s="8"/>
      <c r="D473" s="8"/>
      <c r="E473" s="8"/>
      <c r="F473" s="8"/>
      <c r="G473" s="334"/>
      <c r="H473" s="1"/>
      <c r="I473" s="212"/>
      <c r="J473" s="212"/>
      <c r="K473" s="335"/>
      <c r="L473" s="335"/>
      <c r="M473" s="335"/>
      <c r="N473" s="335"/>
      <c r="O473" s="335"/>
      <c r="P473" s="335"/>
      <c r="Q473" s="1"/>
      <c r="R473" s="1"/>
      <c r="S473" s="1"/>
      <c r="T473" s="1"/>
      <c r="U473" s="1"/>
      <c r="Y473" s="1"/>
    </row>
    <row r="474" ht="12.75" customHeight="1">
      <c r="A474" s="8"/>
      <c r="B474" s="8"/>
      <c r="C474" s="8"/>
      <c r="D474" s="8"/>
      <c r="E474" s="8"/>
      <c r="F474" s="8"/>
      <c r="G474" s="334"/>
      <c r="H474" s="1"/>
      <c r="I474" s="212"/>
      <c r="J474" s="212"/>
      <c r="K474" s="335"/>
      <c r="L474" s="335"/>
      <c r="M474" s="335"/>
      <c r="N474" s="335"/>
      <c r="O474" s="335"/>
      <c r="P474" s="335"/>
      <c r="Q474" s="1"/>
      <c r="R474" s="1"/>
      <c r="S474" s="1"/>
      <c r="T474" s="1"/>
      <c r="U474" s="1"/>
      <c r="Y474" s="1"/>
    </row>
    <row r="475" ht="12.75" customHeight="1">
      <c r="A475" s="8"/>
      <c r="B475" s="8"/>
      <c r="C475" s="8"/>
      <c r="D475" s="8"/>
      <c r="E475" s="8"/>
      <c r="F475" s="8"/>
      <c r="G475" s="334"/>
      <c r="H475" s="1"/>
      <c r="I475" s="212"/>
      <c r="J475" s="212"/>
      <c r="K475" s="335"/>
      <c r="L475" s="335"/>
      <c r="M475" s="335"/>
      <c r="N475" s="335"/>
      <c r="O475" s="335"/>
      <c r="P475" s="335"/>
      <c r="Q475" s="1"/>
      <c r="R475" s="1"/>
      <c r="S475" s="1"/>
      <c r="T475" s="1"/>
      <c r="U475" s="1"/>
      <c r="Y475" s="1"/>
    </row>
    <row r="476" ht="12.75" customHeight="1">
      <c r="A476" s="8"/>
      <c r="B476" s="8"/>
      <c r="C476" s="8"/>
      <c r="D476" s="8"/>
      <c r="E476" s="8"/>
      <c r="F476" s="8"/>
      <c r="G476" s="334"/>
      <c r="H476" s="1"/>
      <c r="I476" s="212"/>
      <c r="J476" s="212"/>
      <c r="K476" s="335"/>
      <c r="L476" s="335"/>
      <c r="M476" s="335"/>
      <c r="N476" s="335"/>
      <c r="O476" s="335"/>
      <c r="P476" s="335"/>
      <c r="Q476" s="1"/>
      <c r="R476" s="1"/>
      <c r="S476" s="1"/>
      <c r="T476" s="1"/>
      <c r="U476" s="1"/>
      <c r="Y476" s="1"/>
    </row>
    <row r="477" ht="12.75" customHeight="1">
      <c r="A477" s="8"/>
      <c r="B477" s="8"/>
      <c r="C477" s="8"/>
      <c r="D477" s="8"/>
      <c r="E477" s="8"/>
      <c r="F477" s="8"/>
      <c r="G477" s="334"/>
      <c r="H477" s="1"/>
      <c r="I477" s="212"/>
      <c r="J477" s="212"/>
      <c r="K477" s="335"/>
      <c r="L477" s="335"/>
      <c r="M477" s="335"/>
      <c r="N477" s="335"/>
      <c r="O477" s="335"/>
      <c r="P477" s="335"/>
      <c r="Q477" s="1"/>
      <c r="R477" s="1"/>
      <c r="S477" s="1"/>
      <c r="T477" s="1"/>
      <c r="U477" s="1"/>
      <c r="Y477" s="1"/>
    </row>
    <row r="478" ht="12.75" customHeight="1">
      <c r="A478" s="8"/>
      <c r="B478" s="8"/>
      <c r="C478" s="8"/>
      <c r="D478" s="8"/>
      <c r="E478" s="8"/>
      <c r="F478" s="8"/>
      <c r="G478" s="334"/>
      <c r="H478" s="1"/>
      <c r="I478" s="212"/>
      <c r="J478" s="212"/>
      <c r="K478" s="335"/>
      <c r="L478" s="335"/>
      <c r="M478" s="335"/>
      <c r="N478" s="335"/>
      <c r="O478" s="335"/>
      <c r="P478" s="335"/>
      <c r="Q478" s="1"/>
      <c r="R478" s="1"/>
      <c r="S478" s="1"/>
      <c r="T478" s="1"/>
      <c r="U478" s="1"/>
      <c r="Y478" s="1"/>
    </row>
    <row r="479" ht="12.75" customHeight="1">
      <c r="A479" s="8"/>
      <c r="B479" s="8"/>
      <c r="C479" s="8"/>
      <c r="D479" s="8"/>
      <c r="E479" s="8"/>
      <c r="F479" s="8"/>
      <c r="G479" s="334"/>
      <c r="H479" s="1"/>
      <c r="I479" s="212"/>
      <c r="J479" s="212"/>
      <c r="K479" s="335"/>
      <c r="L479" s="335"/>
      <c r="M479" s="335"/>
      <c r="N479" s="335"/>
      <c r="O479" s="335"/>
      <c r="P479" s="335"/>
      <c r="Q479" s="1"/>
      <c r="R479" s="1"/>
      <c r="S479" s="1"/>
      <c r="T479" s="1"/>
      <c r="U479" s="1"/>
      <c r="Y479" s="1"/>
    </row>
    <row r="480" ht="12.75" customHeight="1">
      <c r="A480" s="8"/>
      <c r="B480" s="8"/>
      <c r="C480" s="8"/>
      <c r="D480" s="8"/>
      <c r="E480" s="8"/>
      <c r="F480" s="8"/>
      <c r="G480" s="334"/>
      <c r="H480" s="1"/>
      <c r="I480" s="212"/>
      <c r="J480" s="212"/>
      <c r="K480" s="335"/>
      <c r="L480" s="335"/>
      <c r="M480" s="335"/>
      <c r="N480" s="335"/>
      <c r="O480" s="335"/>
      <c r="P480" s="335"/>
      <c r="Q480" s="1"/>
      <c r="R480" s="1"/>
      <c r="S480" s="1"/>
      <c r="T480" s="1"/>
      <c r="U480" s="1"/>
      <c r="Y480" s="1"/>
    </row>
    <row r="481" ht="12.75" customHeight="1">
      <c r="A481" s="8"/>
      <c r="B481" s="8"/>
      <c r="C481" s="8"/>
      <c r="D481" s="8"/>
      <c r="E481" s="8"/>
      <c r="F481" s="8"/>
      <c r="G481" s="334"/>
      <c r="H481" s="1"/>
      <c r="I481" s="212"/>
      <c r="J481" s="212"/>
      <c r="K481" s="335"/>
      <c r="L481" s="335"/>
      <c r="M481" s="335"/>
      <c r="N481" s="335"/>
      <c r="O481" s="335"/>
      <c r="P481" s="335"/>
      <c r="Q481" s="1"/>
      <c r="R481" s="1"/>
      <c r="S481" s="1"/>
      <c r="T481" s="1"/>
      <c r="U481" s="1"/>
      <c r="Y481" s="1"/>
    </row>
    <row r="482" ht="12.75" customHeight="1">
      <c r="A482" s="8"/>
      <c r="B482" s="8"/>
      <c r="C482" s="8"/>
      <c r="D482" s="8"/>
      <c r="E482" s="8"/>
      <c r="F482" s="8"/>
      <c r="G482" s="334"/>
      <c r="H482" s="1"/>
      <c r="I482" s="212"/>
      <c r="J482" s="212"/>
      <c r="K482" s="335"/>
      <c r="L482" s="335"/>
      <c r="M482" s="335"/>
      <c r="N482" s="335"/>
      <c r="O482" s="335"/>
      <c r="P482" s="335"/>
      <c r="Q482" s="1"/>
      <c r="R482" s="1"/>
      <c r="S482" s="1"/>
      <c r="T482" s="1"/>
      <c r="U482" s="1"/>
      <c r="Y482" s="1"/>
    </row>
    <row r="483" ht="12.75" customHeight="1">
      <c r="A483" s="8"/>
      <c r="B483" s="8"/>
      <c r="C483" s="8"/>
      <c r="D483" s="8"/>
      <c r="E483" s="8"/>
      <c r="F483" s="8"/>
      <c r="G483" s="334"/>
      <c r="H483" s="1"/>
      <c r="I483" s="212"/>
      <c r="J483" s="212"/>
      <c r="K483" s="335"/>
      <c r="L483" s="335"/>
      <c r="M483" s="335"/>
      <c r="N483" s="335"/>
      <c r="O483" s="335"/>
      <c r="P483" s="335"/>
      <c r="Q483" s="1"/>
      <c r="R483" s="1"/>
      <c r="S483" s="1"/>
      <c r="T483" s="1"/>
      <c r="U483" s="1"/>
      <c r="Y483" s="1"/>
    </row>
    <row r="484" ht="12.75" customHeight="1">
      <c r="A484" s="8"/>
      <c r="B484" s="8"/>
      <c r="C484" s="8"/>
      <c r="D484" s="8"/>
      <c r="E484" s="8"/>
      <c r="F484" s="8"/>
      <c r="G484" s="334"/>
      <c r="H484" s="1"/>
      <c r="I484" s="212"/>
      <c r="J484" s="212"/>
      <c r="K484" s="335"/>
      <c r="L484" s="335"/>
      <c r="M484" s="335"/>
      <c r="N484" s="335"/>
      <c r="O484" s="335"/>
      <c r="P484" s="335"/>
      <c r="Q484" s="1"/>
      <c r="R484" s="1"/>
      <c r="S484" s="1"/>
      <c r="T484" s="1"/>
      <c r="U484" s="1"/>
      <c r="Y484" s="1"/>
    </row>
    <row r="485" ht="12.75" customHeight="1">
      <c r="A485" s="8"/>
      <c r="B485" s="8"/>
      <c r="C485" s="8"/>
      <c r="D485" s="8"/>
      <c r="E485" s="8"/>
      <c r="F485" s="8"/>
      <c r="G485" s="334"/>
      <c r="H485" s="1"/>
      <c r="I485" s="212"/>
      <c r="J485" s="212"/>
      <c r="K485" s="335"/>
      <c r="L485" s="335"/>
      <c r="M485" s="335"/>
      <c r="N485" s="335"/>
      <c r="O485" s="335"/>
      <c r="P485" s="335"/>
      <c r="Q485" s="1"/>
      <c r="R485" s="1"/>
      <c r="S485" s="1"/>
      <c r="T485" s="1"/>
      <c r="U485" s="1"/>
      <c r="Y485" s="1"/>
    </row>
    <row r="486" ht="12.75" customHeight="1">
      <c r="A486" s="8"/>
      <c r="B486" s="8"/>
      <c r="C486" s="8"/>
      <c r="D486" s="8"/>
      <c r="E486" s="8"/>
      <c r="F486" s="8"/>
      <c r="G486" s="334"/>
      <c r="H486" s="1"/>
      <c r="I486" s="212"/>
      <c r="J486" s="212"/>
      <c r="K486" s="335"/>
      <c r="L486" s="335"/>
      <c r="M486" s="335"/>
      <c r="N486" s="335"/>
      <c r="O486" s="335"/>
      <c r="P486" s="335"/>
      <c r="Q486" s="1"/>
      <c r="R486" s="1"/>
      <c r="S486" s="1"/>
      <c r="T486" s="1"/>
      <c r="U486" s="1"/>
      <c r="Y486" s="1"/>
    </row>
    <row r="487" ht="12.75" customHeight="1">
      <c r="A487" s="8"/>
      <c r="B487" s="8"/>
      <c r="C487" s="8"/>
      <c r="D487" s="8"/>
      <c r="E487" s="8"/>
      <c r="F487" s="8"/>
      <c r="G487" s="334"/>
      <c r="H487" s="1"/>
      <c r="I487" s="212"/>
      <c r="J487" s="212"/>
      <c r="K487" s="335"/>
      <c r="L487" s="335"/>
      <c r="M487" s="335"/>
      <c r="N487" s="335"/>
      <c r="O487" s="335"/>
      <c r="P487" s="335"/>
      <c r="Q487" s="1"/>
      <c r="R487" s="1"/>
      <c r="S487" s="1"/>
      <c r="T487" s="1"/>
      <c r="U487" s="1"/>
      <c r="Y487" s="1"/>
    </row>
    <row r="488" ht="12.75" customHeight="1">
      <c r="A488" s="8"/>
      <c r="B488" s="8"/>
      <c r="C488" s="8"/>
      <c r="D488" s="8"/>
      <c r="E488" s="8"/>
      <c r="F488" s="8"/>
      <c r="G488" s="334"/>
      <c r="H488" s="1"/>
      <c r="I488" s="212"/>
      <c r="J488" s="212"/>
      <c r="K488" s="335"/>
      <c r="L488" s="335"/>
      <c r="M488" s="335"/>
      <c r="N488" s="335"/>
      <c r="O488" s="335"/>
      <c r="P488" s="335"/>
      <c r="Q488" s="1"/>
      <c r="R488" s="1"/>
      <c r="S488" s="1"/>
      <c r="T488" s="1"/>
      <c r="U488" s="1"/>
      <c r="Y488" s="1"/>
    </row>
    <row r="489" ht="12.75" customHeight="1">
      <c r="A489" s="8"/>
      <c r="B489" s="8"/>
      <c r="C489" s="8"/>
      <c r="D489" s="8"/>
      <c r="E489" s="8"/>
      <c r="F489" s="8"/>
      <c r="G489" s="334"/>
      <c r="H489" s="1"/>
      <c r="I489" s="212"/>
      <c r="J489" s="212"/>
      <c r="K489" s="335"/>
      <c r="L489" s="335"/>
      <c r="M489" s="335"/>
      <c r="N489" s="335"/>
      <c r="O489" s="335"/>
      <c r="P489" s="335"/>
      <c r="Q489" s="1"/>
      <c r="R489" s="1"/>
      <c r="S489" s="1"/>
      <c r="T489" s="1"/>
      <c r="U489" s="1"/>
      <c r="Y489" s="1"/>
    </row>
    <row r="490" ht="12.75" customHeight="1">
      <c r="A490" s="8"/>
      <c r="B490" s="8"/>
      <c r="C490" s="8"/>
      <c r="D490" s="8"/>
      <c r="E490" s="8"/>
      <c r="F490" s="8"/>
      <c r="G490" s="334"/>
      <c r="H490" s="1"/>
      <c r="I490" s="212"/>
      <c r="J490" s="212"/>
      <c r="K490" s="335"/>
      <c r="L490" s="335"/>
      <c r="M490" s="335"/>
      <c r="N490" s="335"/>
      <c r="O490" s="335"/>
      <c r="P490" s="335"/>
      <c r="Q490" s="1"/>
      <c r="R490" s="1"/>
      <c r="S490" s="1"/>
      <c r="T490" s="1"/>
      <c r="U490" s="1"/>
      <c r="Y490" s="1"/>
    </row>
    <row r="491" ht="12.75" customHeight="1">
      <c r="A491" s="8"/>
      <c r="B491" s="8"/>
      <c r="C491" s="8"/>
      <c r="D491" s="8"/>
      <c r="E491" s="8"/>
      <c r="F491" s="8"/>
      <c r="G491" s="334"/>
      <c r="H491" s="1"/>
      <c r="I491" s="212"/>
      <c r="J491" s="212"/>
      <c r="K491" s="335"/>
      <c r="L491" s="335"/>
      <c r="M491" s="335"/>
      <c r="N491" s="335"/>
      <c r="O491" s="335"/>
      <c r="P491" s="335"/>
      <c r="Q491" s="1"/>
      <c r="R491" s="1"/>
      <c r="S491" s="1"/>
      <c r="T491" s="1"/>
      <c r="U491" s="1"/>
      <c r="Y491" s="1"/>
    </row>
    <row r="492" ht="12.75" customHeight="1">
      <c r="A492" s="8"/>
      <c r="B492" s="8"/>
      <c r="C492" s="8"/>
      <c r="D492" s="8"/>
      <c r="E492" s="8"/>
      <c r="F492" s="8"/>
      <c r="G492" s="334"/>
      <c r="H492" s="1"/>
      <c r="I492" s="212"/>
      <c r="J492" s="212"/>
      <c r="K492" s="335"/>
      <c r="L492" s="335"/>
      <c r="M492" s="335"/>
      <c r="N492" s="335"/>
      <c r="O492" s="335"/>
      <c r="P492" s="335"/>
      <c r="Q492" s="1"/>
      <c r="R492" s="1"/>
      <c r="S492" s="1"/>
      <c r="T492" s="1"/>
      <c r="U492" s="1"/>
      <c r="Y492" s="1"/>
    </row>
    <row r="493" ht="12.75" customHeight="1">
      <c r="A493" s="8"/>
      <c r="B493" s="8"/>
      <c r="C493" s="8"/>
      <c r="D493" s="8"/>
      <c r="E493" s="8"/>
      <c r="F493" s="8"/>
      <c r="G493" s="334"/>
      <c r="H493" s="1"/>
      <c r="I493" s="212"/>
      <c r="J493" s="212"/>
      <c r="K493" s="335"/>
      <c r="L493" s="335"/>
      <c r="M493" s="335"/>
      <c r="N493" s="335"/>
      <c r="O493" s="335"/>
      <c r="P493" s="335"/>
      <c r="Q493" s="1"/>
      <c r="R493" s="1"/>
      <c r="S493" s="1"/>
      <c r="T493" s="1"/>
      <c r="U493" s="1"/>
      <c r="Y493" s="1"/>
    </row>
    <row r="494" ht="12.75" customHeight="1">
      <c r="A494" s="8"/>
      <c r="B494" s="8"/>
      <c r="C494" s="8"/>
      <c r="D494" s="8"/>
      <c r="E494" s="8"/>
      <c r="F494" s="8"/>
      <c r="G494" s="334"/>
      <c r="H494" s="1"/>
      <c r="I494" s="212"/>
      <c r="J494" s="212"/>
      <c r="K494" s="335"/>
      <c r="L494" s="335"/>
      <c r="M494" s="335"/>
      <c r="N494" s="335"/>
      <c r="O494" s="335"/>
      <c r="P494" s="335"/>
      <c r="Q494" s="1"/>
      <c r="R494" s="1"/>
      <c r="S494" s="1"/>
      <c r="T494" s="1"/>
      <c r="U494" s="1"/>
      <c r="Y494" s="1"/>
    </row>
    <row r="495" ht="12.75" customHeight="1">
      <c r="A495" s="8"/>
      <c r="B495" s="8"/>
      <c r="C495" s="8"/>
      <c r="D495" s="8"/>
      <c r="E495" s="8"/>
      <c r="F495" s="8"/>
      <c r="G495" s="334"/>
      <c r="H495" s="1"/>
      <c r="I495" s="212"/>
      <c r="J495" s="212"/>
      <c r="K495" s="335"/>
      <c r="L495" s="335"/>
      <c r="M495" s="335"/>
      <c r="N495" s="335"/>
      <c r="O495" s="335"/>
      <c r="P495" s="335"/>
      <c r="Q495" s="1"/>
      <c r="R495" s="1"/>
      <c r="S495" s="1"/>
      <c r="T495" s="1"/>
      <c r="U495" s="1"/>
      <c r="Y495" s="1"/>
    </row>
    <row r="496" ht="12.75" customHeight="1">
      <c r="A496" s="8"/>
      <c r="B496" s="8"/>
      <c r="C496" s="8"/>
      <c r="D496" s="8"/>
      <c r="E496" s="8"/>
      <c r="F496" s="8"/>
      <c r="G496" s="334"/>
      <c r="H496" s="1"/>
      <c r="I496" s="212"/>
      <c r="J496" s="212"/>
      <c r="K496" s="335"/>
      <c r="L496" s="335"/>
      <c r="M496" s="335"/>
      <c r="N496" s="335"/>
      <c r="O496" s="335"/>
      <c r="P496" s="335"/>
      <c r="Q496" s="1"/>
      <c r="R496" s="1"/>
      <c r="S496" s="1"/>
      <c r="T496" s="1"/>
      <c r="U496" s="1"/>
      <c r="Y496" s="1"/>
    </row>
    <row r="497" ht="12.75" customHeight="1">
      <c r="A497" s="8"/>
      <c r="B497" s="8"/>
      <c r="C497" s="8"/>
      <c r="D497" s="8"/>
      <c r="E497" s="8"/>
      <c r="F497" s="8"/>
      <c r="G497" s="334"/>
      <c r="H497" s="1"/>
      <c r="I497" s="212"/>
      <c r="J497" s="212"/>
      <c r="K497" s="335"/>
      <c r="L497" s="335"/>
      <c r="M497" s="335"/>
      <c r="N497" s="335"/>
      <c r="O497" s="335"/>
      <c r="P497" s="335"/>
      <c r="Q497" s="1"/>
      <c r="R497" s="1"/>
      <c r="S497" s="1"/>
      <c r="T497" s="1"/>
      <c r="U497" s="1"/>
      <c r="Y497" s="1"/>
    </row>
    <row r="498" ht="12.75" customHeight="1">
      <c r="A498" s="8"/>
      <c r="B498" s="8"/>
      <c r="C498" s="8"/>
      <c r="D498" s="8"/>
      <c r="E498" s="8"/>
      <c r="F498" s="8"/>
      <c r="G498" s="334"/>
      <c r="H498" s="1"/>
      <c r="I498" s="212"/>
      <c r="J498" s="212"/>
      <c r="K498" s="335"/>
      <c r="L498" s="335"/>
      <c r="M498" s="335"/>
      <c r="N498" s="335"/>
      <c r="O498" s="335"/>
      <c r="P498" s="335"/>
      <c r="Q498" s="1"/>
      <c r="R498" s="1"/>
      <c r="S498" s="1"/>
      <c r="T498" s="1"/>
      <c r="U498" s="1"/>
      <c r="Y498" s="1"/>
    </row>
    <row r="499" ht="12.75" customHeight="1">
      <c r="A499" s="8"/>
      <c r="B499" s="8"/>
      <c r="C499" s="8"/>
      <c r="D499" s="8"/>
      <c r="E499" s="8"/>
      <c r="F499" s="8"/>
      <c r="G499" s="334"/>
      <c r="H499" s="1"/>
      <c r="I499" s="212"/>
      <c r="J499" s="212"/>
      <c r="K499" s="335"/>
      <c r="L499" s="335"/>
      <c r="M499" s="335"/>
      <c r="N499" s="335"/>
      <c r="O499" s="335"/>
      <c r="P499" s="335"/>
      <c r="Q499" s="1"/>
      <c r="R499" s="1"/>
      <c r="S499" s="1"/>
      <c r="T499" s="1"/>
      <c r="U499" s="1"/>
      <c r="Y499" s="1"/>
    </row>
    <row r="500" ht="12.75" customHeight="1">
      <c r="A500" s="8"/>
      <c r="B500" s="8"/>
      <c r="C500" s="8"/>
      <c r="D500" s="8"/>
      <c r="E500" s="8"/>
      <c r="F500" s="8"/>
      <c r="G500" s="334"/>
      <c r="H500" s="1"/>
      <c r="I500" s="212"/>
      <c r="J500" s="212"/>
      <c r="K500" s="335"/>
      <c r="L500" s="335"/>
      <c r="M500" s="335"/>
      <c r="N500" s="335"/>
      <c r="O500" s="335"/>
      <c r="P500" s="335"/>
      <c r="Q500" s="1"/>
      <c r="R500" s="1"/>
      <c r="S500" s="1"/>
      <c r="T500" s="1"/>
      <c r="U500" s="1"/>
      <c r="Y500" s="1"/>
    </row>
    <row r="501" ht="12.75" customHeight="1">
      <c r="A501" s="8"/>
      <c r="B501" s="8"/>
      <c r="C501" s="8"/>
      <c r="D501" s="8"/>
      <c r="E501" s="8"/>
      <c r="F501" s="8"/>
      <c r="G501" s="334"/>
      <c r="H501" s="1"/>
      <c r="I501" s="212"/>
      <c r="J501" s="212"/>
      <c r="K501" s="335"/>
      <c r="L501" s="335"/>
      <c r="M501" s="335"/>
      <c r="N501" s="335"/>
      <c r="O501" s="335"/>
      <c r="P501" s="335"/>
      <c r="Q501" s="1"/>
      <c r="R501" s="1"/>
      <c r="S501" s="1"/>
      <c r="T501" s="1"/>
      <c r="U501" s="1"/>
      <c r="Y501" s="1"/>
    </row>
    <row r="502" ht="12.75" customHeight="1">
      <c r="A502" s="8"/>
      <c r="B502" s="8"/>
      <c r="C502" s="8"/>
      <c r="D502" s="8"/>
      <c r="E502" s="8"/>
      <c r="F502" s="8"/>
      <c r="G502" s="334"/>
      <c r="H502" s="1"/>
      <c r="I502" s="212"/>
      <c r="J502" s="212"/>
      <c r="K502" s="335"/>
      <c r="L502" s="335"/>
      <c r="M502" s="335"/>
      <c r="N502" s="335"/>
      <c r="O502" s="335"/>
      <c r="P502" s="335"/>
      <c r="Q502" s="1"/>
      <c r="R502" s="1"/>
      <c r="S502" s="1"/>
      <c r="T502" s="1"/>
      <c r="U502" s="1"/>
      <c r="Y502" s="1"/>
    </row>
    <row r="503" ht="12.75" customHeight="1">
      <c r="A503" s="8"/>
      <c r="B503" s="8"/>
      <c r="C503" s="8"/>
      <c r="D503" s="8"/>
      <c r="E503" s="8"/>
      <c r="F503" s="8"/>
      <c r="G503" s="334"/>
      <c r="H503" s="1"/>
      <c r="I503" s="212"/>
      <c r="J503" s="212"/>
      <c r="K503" s="335"/>
      <c r="L503" s="335"/>
      <c r="M503" s="335"/>
      <c r="N503" s="335"/>
      <c r="O503" s="335"/>
      <c r="P503" s="335"/>
      <c r="Q503" s="1"/>
      <c r="R503" s="1"/>
      <c r="S503" s="1"/>
      <c r="T503" s="1"/>
      <c r="U503" s="1"/>
      <c r="Y503" s="1"/>
    </row>
    <row r="504" ht="12.75" customHeight="1">
      <c r="A504" s="8"/>
      <c r="B504" s="8"/>
      <c r="C504" s="8"/>
      <c r="D504" s="8"/>
      <c r="E504" s="8"/>
      <c r="F504" s="8"/>
      <c r="G504" s="334"/>
      <c r="H504" s="1"/>
      <c r="I504" s="212"/>
      <c r="J504" s="212"/>
      <c r="K504" s="335"/>
      <c r="L504" s="335"/>
      <c r="M504" s="335"/>
      <c r="N504" s="335"/>
      <c r="O504" s="335"/>
      <c r="P504" s="335"/>
      <c r="Q504" s="1"/>
      <c r="R504" s="1"/>
      <c r="S504" s="1"/>
      <c r="T504" s="1"/>
      <c r="U504" s="1"/>
      <c r="Y504" s="1"/>
    </row>
    <row r="505" ht="12.75" customHeight="1">
      <c r="A505" s="8"/>
      <c r="B505" s="8"/>
      <c r="C505" s="8"/>
      <c r="D505" s="8"/>
      <c r="E505" s="8"/>
      <c r="F505" s="8"/>
      <c r="G505" s="334"/>
      <c r="H505" s="1"/>
      <c r="I505" s="212"/>
      <c r="J505" s="212"/>
      <c r="K505" s="335"/>
      <c r="L505" s="335"/>
      <c r="M505" s="335"/>
      <c r="N505" s="335"/>
      <c r="O505" s="335"/>
      <c r="P505" s="335"/>
      <c r="Q505" s="1"/>
      <c r="R505" s="1"/>
      <c r="S505" s="1"/>
      <c r="T505" s="1"/>
      <c r="U505" s="1"/>
      <c r="Y505" s="1"/>
    </row>
    <row r="506" ht="12.75" customHeight="1">
      <c r="A506" s="8"/>
      <c r="B506" s="8"/>
      <c r="C506" s="8"/>
      <c r="D506" s="8"/>
      <c r="E506" s="8"/>
      <c r="F506" s="8"/>
      <c r="G506" s="334"/>
      <c r="H506" s="1"/>
      <c r="I506" s="212"/>
      <c r="J506" s="212"/>
      <c r="K506" s="335"/>
      <c r="L506" s="335"/>
      <c r="M506" s="335"/>
      <c r="N506" s="335"/>
      <c r="O506" s="335"/>
      <c r="P506" s="335"/>
      <c r="Q506" s="1"/>
      <c r="R506" s="1"/>
      <c r="S506" s="1"/>
      <c r="T506" s="1"/>
      <c r="U506" s="1"/>
      <c r="Y506" s="1"/>
    </row>
    <row r="507" ht="12.75" customHeight="1">
      <c r="A507" s="8"/>
      <c r="B507" s="8"/>
      <c r="C507" s="8"/>
      <c r="D507" s="8"/>
      <c r="E507" s="8"/>
      <c r="F507" s="8"/>
      <c r="G507" s="334"/>
      <c r="H507" s="1"/>
      <c r="I507" s="212"/>
      <c r="J507" s="212"/>
      <c r="K507" s="335"/>
      <c r="L507" s="335"/>
      <c r="M507" s="335"/>
      <c r="N507" s="335"/>
      <c r="O507" s="335"/>
      <c r="P507" s="335"/>
      <c r="Q507" s="1"/>
      <c r="R507" s="1"/>
      <c r="S507" s="1"/>
      <c r="T507" s="1"/>
      <c r="U507" s="1"/>
      <c r="Y507" s="1"/>
    </row>
    <row r="508" ht="12.75" customHeight="1">
      <c r="A508" s="8"/>
      <c r="B508" s="8"/>
      <c r="C508" s="8"/>
      <c r="D508" s="8"/>
      <c r="E508" s="8"/>
      <c r="F508" s="8"/>
      <c r="G508" s="334"/>
      <c r="H508" s="1"/>
      <c r="I508" s="212"/>
      <c r="J508" s="212"/>
      <c r="K508" s="335"/>
      <c r="L508" s="335"/>
      <c r="M508" s="335"/>
      <c r="N508" s="335"/>
      <c r="O508" s="335"/>
      <c r="P508" s="335"/>
      <c r="Q508" s="1"/>
      <c r="R508" s="1"/>
      <c r="S508" s="1"/>
      <c r="T508" s="1"/>
      <c r="U508" s="1"/>
      <c r="Y508" s="1"/>
    </row>
    <row r="509" ht="12.75" customHeight="1">
      <c r="A509" s="8"/>
      <c r="B509" s="8"/>
      <c r="C509" s="8"/>
      <c r="D509" s="8"/>
      <c r="E509" s="8"/>
      <c r="F509" s="8"/>
      <c r="G509" s="334"/>
      <c r="H509" s="1"/>
      <c r="I509" s="212"/>
      <c r="J509" s="212"/>
      <c r="K509" s="335"/>
      <c r="L509" s="335"/>
      <c r="M509" s="335"/>
      <c r="N509" s="335"/>
      <c r="O509" s="335"/>
      <c r="P509" s="335"/>
      <c r="Q509" s="1"/>
      <c r="R509" s="1"/>
      <c r="S509" s="1"/>
      <c r="T509" s="1"/>
      <c r="U509" s="1"/>
      <c r="Y509" s="1"/>
    </row>
    <row r="510" ht="12.75" customHeight="1">
      <c r="A510" s="8"/>
      <c r="B510" s="8"/>
      <c r="C510" s="8"/>
      <c r="D510" s="8"/>
      <c r="E510" s="8"/>
      <c r="F510" s="8"/>
      <c r="G510" s="334"/>
      <c r="H510" s="1"/>
      <c r="I510" s="212"/>
      <c r="J510" s="212"/>
      <c r="K510" s="335"/>
      <c r="L510" s="335"/>
      <c r="M510" s="335"/>
      <c r="N510" s="335"/>
      <c r="O510" s="335"/>
      <c r="P510" s="335"/>
      <c r="Q510" s="1"/>
      <c r="R510" s="1"/>
      <c r="S510" s="1"/>
      <c r="T510" s="1"/>
      <c r="U510" s="1"/>
      <c r="Y510" s="1"/>
    </row>
    <row r="511" ht="12.75" customHeight="1">
      <c r="A511" s="8"/>
      <c r="B511" s="8"/>
      <c r="C511" s="8"/>
      <c r="D511" s="8"/>
      <c r="E511" s="8"/>
      <c r="F511" s="8"/>
      <c r="G511" s="334"/>
      <c r="H511" s="1"/>
      <c r="I511" s="212"/>
      <c r="J511" s="212"/>
      <c r="K511" s="335"/>
      <c r="L511" s="335"/>
      <c r="M511" s="335"/>
      <c r="N511" s="335"/>
      <c r="O511" s="335"/>
      <c r="P511" s="335"/>
      <c r="Q511" s="1"/>
      <c r="R511" s="1"/>
      <c r="S511" s="1"/>
      <c r="T511" s="1"/>
      <c r="U511" s="1"/>
      <c r="Y511" s="1"/>
    </row>
    <row r="512" ht="12.75" customHeight="1">
      <c r="A512" s="8"/>
      <c r="B512" s="8"/>
      <c r="C512" s="8"/>
      <c r="D512" s="8"/>
      <c r="E512" s="8"/>
      <c r="F512" s="8"/>
      <c r="G512" s="334"/>
      <c r="H512" s="1"/>
      <c r="I512" s="212"/>
      <c r="J512" s="212"/>
      <c r="K512" s="335"/>
      <c r="L512" s="335"/>
      <c r="M512" s="335"/>
      <c r="N512" s="335"/>
      <c r="O512" s="335"/>
      <c r="P512" s="335"/>
      <c r="Q512" s="1"/>
      <c r="R512" s="1"/>
      <c r="S512" s="1"/>
      <c r="T512" s="1"/>
      <c r="U512" s="1"/>
      <c r="Y512" s="1"/>
    </row>
    <row r="513" ht="12.75" customHeight="1">
      <c r="A513" s="8"/>
      <c r="B513" s="8"/>
      <c r="C513" s="8"/>
      <c r="D513" s="8"/>
      <c r="E513" s="8"/>
      <c r="F513" s="8"/>
      <c r="G513" s="334"/>
      <c r="H513" s="1"/>
      <c r="I513" s="212"/>
      <c r="J513" s="212"/>
      <c r="K513" s="335"/>
      <c r="L513" s="335"/>
      <c r="M513" s="335"/>
      <c r="N513" s="335"/>
      <c r="O513" s="335"/>
      <c r="P513" s="335"/>
      <c r="Q513" s="1"/>
      <c r="R513" s="1"/>
      <c r="S513" s="1"/>
      <c r="T513" s="1"/>
      <c r="U513" s="1"/>
      <c r="Y513" s="1"/>
    </row>
    <row r="514" ht="12.75" customHeight="1">
      <c r="A514" s="8"/>
      <c r="B514" s="8"/>
      <c r="C514" s="8"/>
      <c r="D514" s="8"/>
      <c r="E514" s="8"/>
      <c r="F514" s="8"/>
      <c r="G514" s="334"/>
      <c r="H514" s="1"/>
      <c r="I514" s="212"/>
      <c r="J514" s="212"/>
      <c r="K514" s="335"/>
      <c r="L514" s="335"/>
      <c r="M514" s="335"/>
      <c r="N514" s="335"/>
      <c r="O514" s="335"/>
      <c r="P514" s="335"/>
      <c r="Q514" s="1"/>
      <c r="R514" s="1"/>
      <c r="S514" s="1"/>
      <c r="T514" s="1"/>
      <c r="U514" s="1"/>
      <c r="Y514" s="1"/>
    </row>
    <row r="515" ht="12.75" customHeight="1">
      <c r="A515" s="8"/>
      <c r="B515" s="8"/>
      <c r="C515" s="8"/>
      <c r="D515" s="8"/>
      <c r="E515" s="8"/>
      <c r="F515" s="8"/>
      <c r="G515" s="334"/>
      <c r="H515" s="1"/>
      <c r="I515" s="212"/>
      <c r="J515" s="212"/>
      <c r="K515" s="335"/>
      <c r="L515" s="335"/>
      <c r="M515" s="335"/>
      <c r="N515" s="335"/>
      <c r="O515" s="335"/>
      <c r="P515" s="335"/>
      <c r="Q515" s="1"/>
      <c r="R515" s="1"/>
      <c r="S515" s="1"/>
      <c r="T515" s="1"/>
      <c r="U515" s="1"/>
      <c r="Y515" s="1"/>
    </row>
    <row r="516" ht="12.75" customHeight="1">
      <c r="A516" s="8"/>
      <c r="B516" s="8"/>
      <c r="C516" s="8"/>
      <c r="D516" s="8"/>
      <c r="E516" s="8"/>
      <c r="F516" s="8"/>
      <c r="G516" s="334"/>
      <c r="H516" s="1"/>
      <c r="I516" s="212"/>
      <c r="J516" s="212"/>
      <c r="K516" s="335"/>
      <c r="L516" s="335"/>
      <c r="M516" s="335"/>
      <c r="N516" s="335"/>
      <c r="O516" s="335"/>
      <c r="P516" s="335"/>
      <c r="Q516" s="1"/>
      <c r="R516" s="1"/>
      <c r="S516" s="1"/>
      <c r="T516" s="1"/>
      <c r="U516" s="1"/>
      <c r="Y516" s="1"/>
    </row>
    <row r="517" ht="12.75" customHeight="1">
      <c r="A517" s="8"/>
      <c r="B517" s="8"/>
      <c r="C517" s="8"/>
      <c r="D517" s="8"/>
      <c r="E517" s="8"/>
      <c r="F517" s="8"/>
      <c r="G517" s="334"/>
      <c r="H517" s="1"/>
      <c r="I517" s="212"/>
      <c r="J517" s="212"/>
      <c r="K517" s="335"/>
      <c r="L517" s="335"/>
      <c r="M517" s="335"/>
      <c r="N517" s="335"/>
      <c r="O517" s="335"/>
      <c r="P517" s="335"/>
      <c r="Q517" s="1"/>
      <c r="R517" s="1"/>
      <c r="S517" s="1"/>
      <c r="T517" s="1"/>
      <c r="U517" s="1"/>
      <c r="Y517" s="1"/>
    </row>
    <row r="518" ht="12.75" customHeight="1">
      <c r="A518" s="8"/>
      <c r="B518" s="8"/>
      <c r="C518" s="8"/>
      <c r="D518" s="8"/>
      <c r="E518" s="8"/>
      <c r="F518" s="8"/>
      <c r="G518" s="334"/>
      <c r="H518" s="1"/>
      <c r="I518" s="212"/>
      <c r="J518" s="212"/>
      <c r="K518" s="335"/>
      <c r="L518" s="335"/>
      <c r="M518" s="335"/>
      <c r="N518" s="335"/>
      <c r="O518" s="335"/>
      <c r="P518" s="335"/>
      <c r="Q518" s="1"/>
      <c r="R518" s="1"/>
      <c r="S518" s="1"/>
      <c r="T518" s="1"/>
      <c r="U518" s="1"/>
      <c r="Y518" s="1"/>
    </row>
    <row r="519" ht="12.75" customHeight="1">
      <c r="A519" s="8"/>
      <c r="B519" s="8"/>
      <c r="C519" s="8"/>
      <c r="D519" s="8"/>
      <c r="E519" s="8"/>
      <c r="F519" s="8"/>
      <c r="G519" s="334"/>
      <c r="H519" s="1"/>
      <c r="I519" s="212"/>
      <c r="J519" s="212"/>
      <c r="K519" s="335"/>
      <c r="L519" s="335"/>
      <c r="M519" s="335"/>
      <c r="N519" s="335"/>
      <c r="O519" s="335"/>
      <c r="P519" s="335"/>
      <c r="Q519" s="1"/>
      <c r="R519" s="1"/>
      <c r="S519" s="1"/>
      <c r="T519" s="1"/>
      <c r="U519" s="1"/>
      <c r="Y519" s="1"/>
    </row>
    <row r="520" ht="12.75" customHeight="1">
      <c r="A520" s="8"/>
      <c r="B520" s="8"/>
      <c r="C520" s="8"/>
      <c r="D520" s="8"/>
      <c r="E520" s="8"/>
      <c r="F520" s="8"/>
      <c r="G520" s="334"/>
      <c r="H520" s="1"/>
      <c r="I520" s="212"/>
      <c r="J520" s="212"/>
      <c r="K520" s="335"/>
      <c r="L520" s="335"/>
      <c r="M520" s="335"/>
      <c r="N520" s="335"/>
      <c r="O520" s="335"/>
      <c r="P520" s="335"/>
      <c r="Q520" s="1"/>
      <c r="R520" s="1"/>
      <c r="S520" s="1"/>
      <c r="T520" s="1"/>
      <c r="U520" s="1"/>
      <c r="Y520" s="1"/>
    </row>
    <row r="521" ht="12.75" customHeight="1">
      <c r="A521" s="8"/>
      <c r="B521" s="8"/>
      <c r="C521" s="8"/>
      <c r="D521" s="8"/>
      <c r="E521" s="8"/>
      <c r="F521" s="8"/>
      <c r="G521" s="334"/>
      <c r="H521" s="1"/>
      <c r="I521" s="212"/>
      <c r="J521" s="212"/>
      <c r="K521" s="335"/>
      <c r="L521" s="335"/>
      <c r="M521" s="335"/>
      <c r="N521" s="335"/>
      <c r="O521" s="335"/>
      <c r="P521" s="335"/>
      <c r="Q521" s="1"/>
      <c r="R521" s="1"/>
      <c r="S521" s="1"/>
      <c r="T521" s="1"/>
      <c r="U521" s="1"/>
      <c r="Y521" s="1"/>
    </row>
    <row r="522" ht="12.75" customHeight="1">
      <c r="A522" s="8"/>
      <c r="B522" s="8"/>
      <c r="C522" s="8"/>
      <c r="D522" s="8"/>
      <c r="E522" s="8"/>
      <c r="F522" s="8"/>
      <c r="G522" s="334"/>
      <c r="H522" s="1"/>
      <c r="I522" s="212"/>
      <c r="J522" s="212"/>
      <c r="K522" s="335"/>
      <c r="L522" s="335"/>
      <c r="M522" s="335"/>
      <c r="N522" s="335"/>
      <c r="O522" s="335"/>
      <c r="P522" s="335"/>
      <c r="Q522" s="1"/>
      <c r="R522" s="1"/>
      <c r="S522" s="1"/>
      <c r="T522" s="1"/>
      <c r="U522" s="1"/>
      <c r="Y522" s="1"/>
    </row>
    <row r="523" ht="12.75" customHeight="1">
      <c r="A523" s="8"/>
      <c r="B523" s="8"/>
      <c r="C523" s="8"/>
      <c r="D523" s="8"/>
      <c r="E523" s="8"/>
      <c r="F523" s="8"/>
      <c r="G523" s="334"/>
      <c r="H523" s="1"/>
      <c r="I523" s="212"/>
      <c r="J523" s="212"/>
      <c r="K523" s="335"/>
      <c r="L523" s="335"/>
      <c r="M523" s="335"/>
      <c r="N523" s="335"/>
      <c r="O523" s="335"/>
      <c r="P523" s="335"/>
      <c r="Q523" s="1"/>
      <c r="R523" s="1"/>
      <c r="S523" s="1"/>
      <c r="T523" s="1"/>
      <c r="U523" s="1"/>
      <c r="Y523" s="1"/>
    </row>
    <row r="524" ht="12.75" customHeight="1">
      <c r="A524" s="8"/>
      <c r="B524" s="8"/>
      <c r="C524" s="8"/>
      <c r="D524" s="8"/>
      <c r="E524" s="8"/>
      <c r="F524" s="8"/>
      <c r="G524" s="334"/>
      <c r="H524" s="1"/>
      <c r="I524" s="212"/>
      <c r="J524" s="212"/>
      <c r="K524" s="335"/>
      <c r="L524" s="335"/>
      <c r="M524" s="335"/>
      <c r="N524" s="335"/>
      <c r="O524" s="335"/>
      <c r="P524" s="335"/>
      <c r="Q524" s="1"/>
      <c r="R524" s="1"/>
      <c r="S524" s="1"/>
      <c r="T524" s="1"/>
      <c r="U524" s="1"/>
      <c r="Y524" s="1"/>
    </row>
    <row r="525" ht="12.75" customHeight="1">
      <c r="A525" s="8"/>
      <c r="B525" s="8"/>
      <c r="C525" s="8"/>
      <c r="D525" s="8"/>
      <c r="E525" s="8"/>
      <c r="F525" s="8"/>
      <c r="G525" s="334"/>
      <c r="H525" s="1"/>
      <c r="I525" s="212"/>
      <c r="J525" s="212"/>
      <c r="K525" s="335"/>
      <c r="L525" s="335"/>
      <c r="M525" s="335"/>
      <c r="N525" s="335"/>
      <c r="O525" s="335"/>
      <c r="P525" s="335"/>
      <c r="Q525" s="1"/>
      <c r="R525" s="1"/>
      <c r="S525" s="1"/>
      <c r="T525" s="1"/>
      <c r="U525" s="1"/>
      <c r="Y525" s="1"/>
    </row>
    <row r="526" ht="12.75" customHeight="1">
      <c r="A526" s="8"/>
      <c r="B526" s="8"/>
      <c r="C526" s="8"/>
      <c r="D526" s="8"/>
      <c r="E526" s="8"/>
      <c r="F526" s="8"/>
      <c r="G526" s="334"/>
      <c r="H526" s="1"/>
      <c r="I526" s="212"/>
      <c r="J526" s="212"/>
      <c r="K526" s="335"/>
      <c r="L526" s="335"/>
      <c r="M526" s="335"/>
      <c r="N526" s="335"/>
      <c r="O526" s="335"/>
      <c r="P526" s="335"/>
      <c r="Q526" s="1"/>
      <c r="R526" s="1"/>
      <c r="S526" s="1"/>
      <c r="T526" s="1"/>
      <c r="U526" s="1"/>
      <c r="Y526" s="1"/>
    </row>
    <row r="527" ht="12.75" customHeight="1">
      <c r="A527" s="8"/>
      <c r="B527" s="8"/>
      <c r="C527" s="8"/>
      <c r="D527" s="8"/>
      <c r="E527" s="8"/>
      <c r="F527" s="8"/>
      <c r="G527" s="334"/>
      <c r="H527" s="1"/>
      <c r="I527" s="212"/>
      <c r="J527" s="212"/>
      <c r="K527" s="335"/>
      <c r="L527" s="335"/>
      <c r="M527" s="335"/>
      <c r="N527" s="335"/>
      <c r="O527" s="335"/>
      <c r="P527" s="335"/>
      <c r="Q527" s="1"/>
      <c r="R527" s="1"/>
      <c r="S527" s="1"/>
      <c r="T527" s="1"/>
      <c r="U527" s="1"/>
      <c r="Y527" s="1"/>
    </row>
    <row r="528" ht="12.75" customHeight="1">
      <c r="A528" s="8"/>
      <c r="B528" s="8"/>
      <c r="C528" s="8"/>
      <c r="D528" s="8"/>
      <c r="E528" s="8"/>
      <c r="F528" s="8"/>
      <c r="G528" s="334"/>
      <c r="H528" s="1"/>
      <c r="I528" s="212"/>
      <c r="J528" s="212"/>
      <c r="K528" s="335"/>
      <c r="L528" s="335"/>
      <c r="M528" s="335"/>
      <c r="N528" s="335"/>
      <c r="O528" s="335"/>
      <c r="P528" s="335"/>
      <c r="Q528" s="1"/>
      <c r="R528" s="1"/>
      <c r="S528" s="1"/>
      <c r="T528" s="1"/>
      <c r="U528" s="1"/>
      <c r="Y528" s="1"/>
    </row>
    <row r="529" ht="12.75" customHeight="1">
      <c r="A529" s="8"/>
      <c r="B529" s="8"/>
      <c r="C529" s="8"/>
      <c r="D529" s="8"/>
      <c r="E529" s="8"/>
      <c r="F529" s="8"/>
      <c r="G529" s="334"/>
      <c r="H529" s="1"/>
      <c r="I529" s="212"/>
      <c r="J529" s="212"/>
      <c r="K529" s="335"/>
      <c r="L529" s="335"/>
      <c r="M529" s="335"/>
      <c r="N529" s="335"/>
      <c r="O529" s="335"/>
      <c r="P529" s="335"/>
      <c r="Q529" s="1"/>
      <c r="R529" s="1"/>
      <c r="S529" s="1"/>
      <c r="T529" s="1"/>
      <c r="U529" s="1"/>
      <c r="Y529" s="1"/>
    </row>
    <row r="530" ht="12.75" customHeight="1">
      <c r="A530" s="8"/>
      <c r="B530" s="8"/>
      <c r="C530" s="8"/>
      <c r="D530" s="8"/>
      <c r="E530" s="8"/>
      <c r="F530" s="8"/>
      <c r="G530" s="334"/>
      <c r="H530" s="1"/>
      <c r="I530" s="212"/>
      <c r="J530" s="212"/>
      <c r="K530" s="335"/>
      <c r="L530" s="335"/>
      <c r="M530" s="335"/>
      <c r="N530" s="335"/>
      <c r="O530" s="335"/>
      <c r="P530" s="335"/>
      <c r="Q530" s="1"/>
      <c r="R530" s="1"/>
      <c r="S530" s="1"/>
      <c r="T530" s="1"/>
      <c r="U530" s="1"/>
      <c r="Y530" s="1"/>
    </row>
    <row r="531" ht="12.75" customHeight="1">
      <c r="A531" s="8"/>
      <c r="B531" s="8"/>
      <c r="C531" s="8"/>
      <c r="D531" s="8"/>
      <c r="E531" s="8"/>
      <c r="F531" s="8"/>
      <c r="G531" s="334"/>
      <c r="H531" s="1"/>
      <c r="I531" s="212"/>
      <c r="J531" s="212"/>
      <c r="K531" s="335"/>
      <c r="L531" s="335"/>
      <c r="M531" s="335"/>
      <c r="N531" s="335"/>
      <c r="O531" s="335"/>
      <c r="P531" s="335"/>
      <c r="Q531" s="1"/>
      <c r="R531" s="1"/>
      <c r="S531" s="1"/>
      <c r="T531" s="1"/>
      <c r="U531" s="1"/>
      <c r="Y531" s="1"/>
    </row>
    <row r="532" ht="12.75" customHeight="1">
      <c r="A532" s="8"/>
      <c r="B532" s="8"/>
      <c r="C532" s="8"/>
      <c r="D532" s="8"/>
      <c r="E532" s="8"/>
      <c r="F532" s="8"/>
      <c r="G532" s="334"/>
      <c r="H532" s="1"/>
      <c r="I532" s="212"/>
      <c r="J532" s="212"/>
      <c r="K532" s="335"/>
      <c r="L532" s="335"/>
      <c r="M532" s="335"/>
      <c r="N532" s="335"/>
      <c r="O532" s="335"/>
      <c r="P532" s="335"/>
      <c r="Q532" s="1"/>
      <c r="R532" s="1"/>
      <c r="S532" s="1"/>
      <c r="T532" s="1"/>
      <c r="U532" s="1"/>
      <c r="Y532" s="1"/>
    </row>
    <row r="533" ht="12.75" customHeight="1">
      <c r="A533" s="8"/>
      <c r="B533" s="8"/>
      <c r="C533" s="8"/>
      <c r="D533" s="8"/>
      <c r="E533" s="8"/>
      <c r="F533" s="8"/>
      <c r="G533" s="334"/>
      <c r="H533" s="1"/>
      <c r="I533" s="212"/>
      <c r="J533" s="212"/>
      <c r="K533" s="335"/>
      <c r="L533" s="335"/>
      <c r="M533" s="335"/>
      <c r="N533" s="335"/>
      <c r="O533" s="335"/>
      <c r="P533" s="335"/>
      <c r="Q533" s="1"/>
      <c r="R533" s="1"/>
      <c r="S533" s="1"/>
      <c r="T533" s="1"/>
      <c r="U533" s="1"/>
      <c r="Y533" s="1"/>
    </row>
    <row r="534" ht="12.75" customHeight="1">
      <c r="A534" s="8"/>
      <c r="B534" s="8"/>
      <c r="C534" s="8"/>
      <c r="D534" s="8"/>
      <c r="E534" s="8"/>
      <c r="F534" s="8"/>
      <c r="G534" s="334"/>
      <c r="H534" s="1"/>
      <c r="I534" s="212"/>
      <c r="J534" s="212"/>
      <c r="K534" s="335"/>
      <c r="L534" s="335"/>
      <c r="M534" s="335"/>
      <c r="N534" s="335"/>
      <c r="O534" s="335"/>
      <c r="P534" s="335"/>
      <c r="Q534" s="1"/>
      <c r="R534" s="1"/>
      <c r="S534" s="1"/>
      <c r="T534" s="1"/>
      <c r="U534" s="1"/>
      <c r="Y534" s="1"/>
    </row>
    <row r="535" ht="12.75" customHeight="1">
      <c r="A535" s="8"/>
      <c r="B535" s="8"/>
      <c r="C535" s="8"/>
      <c r="D535" s="8"/>
      <c r="E535" s="8"/>
      <c r="F535" s="8"/>
      <c r="G535" s="334"/>
      <c r="H535" s="1"/>
      <c r="I535" s="212"/>
      <c r="J535" s="212"/>
      <c r="K535" s="335"/>
      <c r="L535" s="335"/>
      <c r="M535" s="335"/>
      <c r="N535" s="335"/>
      <c r="O535" s="335"/>
      <c r="P535" s="335"/>
      <c r="Q535" s="1"/>
      <c r="R535" s="1"/>
      <c r="S535" s="1"/>
      <c r="T535" s="1"/>
      <c r="U535" s="1"/>
      <c r="Y535" s="1"/>
    </row>
    <row r="536" ht="12.75" customHeight="1">
      <c r="A536" s="8"/>
      <c r="B536" s="8"/>
      <c r="C536" s="8"/>
      <c r="D536" s="8"/>
      <c r="E536" s="8"/>
      <c r="F536" s="8"/>
      <c r="G536" s="334"/>
      <c r="H536" s="1"/>
      <c r="I536" s="212"/>
      <c r="J536" s="212"/>
      <c r="K536" s="335"/>
      <c r="L536" s="335"/>
      <c r="M536" s="335"/>
      <c r="N536" s="335"/>
      <c r="O536" s="335"/>
      <c r="P536" s="335"/>
      <c r="Q536" s="1"/>
      <c r="R536" s="1"/>
      <c r="S536" s="1"/>
      <c r="T536" s="1"/>
      <c r="U536" s="1"/>
      <c r="Y536" s="1"/>
    </row>
    <row r="537" ht="12.75" customHeight="1">
      <c r="A537" s="8"/>
      <c r="B537" s="8"/>
      <c r="C537" s="8"/>
      <c r="D537" s="8"/>
      <c r="E537" s="8"/>
      <c r="F537" s="8"/>
      <c r="G537" s="334"/>
      <c r="H537" s="1"/>
      <c r="I537" s="212"/>
      <c r="J537" s="212"/>
      <c r="K537" s="335"/>
      <c r="L537" s="335"/>
      <c r="M537" s="335"/>
      <c r="N537" s="335"/>
      <c r="O537" s="335"/>
      <c r="P537" s="335"/>
      <c r="Q537" s="1"/>
      <c r="R537" s="1"/>
      <c r="S537" s="1"/>
      <c r="T537" s="1"/>
      <c r="U537" s="1"/>
      <c r="Y537" s="1"/>
    </row>
    <row r="538" ht="12.75" customHeight="1">
      <c r="A538" s="8"/>
      <c r="B538" s="8"/>
      <c r="C538" s="8"/>
      <c r="D538" s="8"/>
      <c r="E538" s="8"/>
      <c r="F538" s="8"/>
      <c r="G538" s="334"/>
      <c r="H538" s="1"/>
      <c r="I538" s="212"/>
      <c r="J538" s="212"/>
      <c r="K538" s="335"/>
      <c r="L538" s="335"/>
      <c r="M538" s="335"/>
      <c r="N538" s="335"/>
      <c r="O538" s="335"/>
      <c r="P538" s="335"/>
      <c r="Q538" s="1"/>
      <c r="R538" s="1"/>
      <c r="S538" s="1"/>
      <c r="T538" s="1"/>
      <c r="U538" s="1"/>
      <c r="Y538" s="1"/>
    </row>
    <row r="539" ht="12.75" customHeight="1">
      <c r="A539" s="8"/>
      <c r="B539" s="8"/>
      <c r="C539" s="8"/>
      <c r="D539" s="8"/>
      <c r="E539" s="8"/>
      <c r="F539" s="8"/>
      <c r="G539" s="334"/>
      <c r="H539" s="1"/>
      <c r="I539" s="212"/>
      <c r="J539" s="212"/>
      <c r="K539" s="335"/>
      <c r="L539" s="335"/>
      <c r="M539" s="335"/>
      <c r="N539" s="335"/>
      <c r="O539" s="335"/>
      <c r="P539" s="335"/>
      <c r="Q539" s="1"/>
      <c r="R539" s="1"/>
      <c r="S539" s="1"/>
      <c r="T539" s="1"/>
      <c r="U539" s="1"/>
      <c r="Y539" s="1"/>
    </row>
    <row r="540" ht="12.75" customHeight="1">
      <c r="A540" s="8"/>
      <c r="B540" s="8"/>
      <c r="C540" s="8"/>
      <c r="D540" s="8"/>
      <c r="E540" s="8"/>
      <c r="F540" s="8"/>
      <c r="G540" s="334"/>
      <c r="H540" s="1"/>
      <c r="I540" s="212"/>
      <c r="J540" s="212"/>
      <c r="K540" s="335"/>
      <c r="L540" s="335"/>
      <c r="M540" s="335"/>
      <c r="N540" s="335"/>
      <c r="O540" s="335"/>
      <c r="P540" s="335"/>
      <c r="Q540" s="1"/>
      <c r="R540" s="1"/>
      <c r="S540" s="1"/>
      <c r="T540" s="1"/>
      <c r="U540" s="1"/>
      <c r="Y540" s="1"/>
    </row>
    <row r="541" ht="12.75" customHeight="1">
      <c r="A541" s="8"/>
      <c r="B541" s="8"/>
      <c r="C541" s="8"/>
      <c r="D541" s="8"/>
      <c r="E541" s="8"/>
      <c r="F541" s="8"/>
      <c r="G541" s="334"/>
      <c r="H541" s="1"/>
      <c r="I541" s="212"/>
      <c r="J541" s="212"/>
      <c r="K541" s="335"/>
      <c r="L541" s="335"/>
      <c r="M541" s="335"/>
      <c r="N541" s="335"/>
      <c r="O541" s="335"/>
      <c r="P541" s="335"/>
      <c r="Q541" s="1"/>
      <c r="R541" s="1"/>
      <c r="S541" s="1"/>
      <c r="T541" s="1"/>
      <c r="U541" s="1"/>
      <c r="Y541" s="1"/>
    </row>
    <row r="542" ht="12.75" customHeight="1">
      <c r="A542" s="8"/>
      <c r="B542" s="8"/>
      <c r="C542" s="8"/>
      <c r="D542" s="8"/>
      <c r="E542" s="8"/>
      <c r="F542" s="8"/>
      <c r="G542" s="334"/>
      <c r="H542" s="1"/>
      <c r="I542" s="212"/>
      <c r="J542" s="212"/>
      <c r="K542" s="335"/>
      <c r="L542" s="335"/>
      <c r="M542" s="335"/>
      <c r="N542" s="335"/>
      <c r="O542" s="335"/>
      <c r="P542" s="335"/>
      <c r="Q542" s="1"/>
      <c r="R542" s="1"/>
      <c r="S542" s="1"/>
      <c r="T542" s="1"/>
      <c r="U542" s="1"/>
      <c r="Y542" s="1"/>
    </row>
    <row r="543" ht="12.75" customHeight="1">
      <c r="A543" s="8"/>
      <c r="B543" s="8"/>
      <c r="C543" s="8"/>
      <c r="D543" s="8"/>
      <c r="E543" s="8"/>
      <c r="F543" s="8"/>
      <c r="G543" s="334"/>
      <c r="H543" s="1"/>
      <c r="I543" s="212"/>
      <c r="J543" s="212"/>
      <c r="K543" s="335"/>
      <c r="L543" s="335"/>
      <c r="M543" s="335"/>
      <c r="N543" s="335"/>
      <c r="O543" s="335"/>
      <c r="P543" s="335"/>
      <c r="Q543" s="1"/>
      <c r="R543" s="1"/>
      <c r="S543" s="1"/>
      <c r="T543" s="1"/>
      <c r="U543" s="1"/>
      <c r="Y543" s="1"/>
    </row>
    <row r="544" ht="12.75" customHeight="1">
      <c r="A544" s="8"/>
      <c r="B544" s="8"/>
      <c r="C544" s="8"/>
      <c r="D544" s="8"/>
      <c r="E544" s="8"/>
      <c r="F544" s="8"/>
      <c r="G544" s="334"/>
      <c r="H544" s="1"/>
      <c r="I544" s="212"/>
      <c r="J544" s="212"/>
      <c r="K544" s="335"/>
      <c r="L544" s="335"/>
      <c r="M544" s="335"/>
      <c r="N544" s="335"/>
      <c r="O544" s="335"/>
      <c r="P544" s="335"/>
      <c r="Q544" s="1"/>
      <c r="R544" s="1"/>
      <c r="S544" s="1"/>
      <c r="T544" s="1"/>
      <c r="U544" s="1"/>
      <c r="Y544" s="1"/>
    </row>
    <row r="545" ht="12.75" customHeight="1">
      <c r="A545" s="8"/>
      <c r="B545" s="8"/>
      <c r="C545" s="8"/>
      <c r="D545" s="8"/>
      <c r="E545" s="8"/>
      <c r="F545" s="8"/>
      <c r="G545" s="334"/>
      <c r="H545" s="1"/>
      <c r="I545" s="212"/>
      <c r="J545" s="212"/>
      <c r="K545" s="335"/>
      <c r="L545" s="335"/>
      <c r="M545" s="335"/>
      <c r="N545" s="335"/>
      <c r="O545" s="335"/>
      <c r="P545" s="335"/>
      <c r="Q545" s="1"/>
      <c r="R545" s="1"/>
      <c r="S545" s="1"/>
      <c r="T545" s="1"/>
      <c r="U545" s="1"/>
      <c r="Y545" s="1"/>
    </row>
    <row r="546" ht="12.75" customHeight="1">
      <c r="A546" s="8"/>
      <c r="B546" s="8"/>
      <c r="C546" s="8"/>
      <c r="D546" s="8"/>
      <c r="E546" s="8"/>
      <c r="F546" s="8"/>
      <c r="G546" s="334"/>
      <c r="H546" s="1"/>
      <c r="I546" s="212"/>
      <c r="J546" s="212"/>
      <c r="K546" s="335"/>
      <c r="L546" s="335"/>
      <c r="M546" s="335"/>
      <c r="N546" s="335"/>
      <c r="O546" s="335"/>
      <c r="P546" s="335"/>
      <c r="Q546" s="1"/>
      <c r="R546" s="1"/>
      <c r="S546" s="1"/>
      <c r="T546" s="1"/>
      <c r="U546" s="1"/>
      <c r="Y546" s="1"/>
    </row>
    <row r="547" ht="12.75" customHeight="1">
      <c r="A547" s="8"/>
      <c r="B547" s="8"/>
      <c r="C547" s="8"/>
      <c r="D547" s="8"/>
      <c r="E547" s="8"/>
      <c r="F547" s="8"/>
      <c r="G547" s="334"/>
      <c r="H547" s="1"/>
      <c r="I547" s="212"/>
      <c r="J547" s="212"/>
      <c r="K547" s="335"/>
      <c r="L547" s="335"/>
      <c r="M547" s="335"/>
      <c r="N547" s="335"/>
      <c r="O547" s="335"/>
      <c r="P547" s="335"/>
      <c r="Q547" s="1"/>
      <c r="R547" s="1"/>
      <c r="S547" s="1"/>
      <c r="T547" s="1"/>
      <c r="U547" s="1"/>
      <c r="Y547" s="1"/>
    </row>
    <row r="548" ht="12.75" customHeight="1">
      <c r="A548" s="8"/>
      <c r="B548" s="8"/>
      <c r="C548" s="8"/>
      <c r="D548" s="8"/>
      <c r="E548" s="8"/>
      <c r="F548" s="8"/>
      <c r="G548" s="334"/>
      <c r="H548" s="1"/>
      <c r="I548" s="212"/>
      <c r="J548" s="212"/>
      <c r="K548" s="335"/>
      <c r="L548" s="335"/>
      <c r="M548" s="335"/>
      <c r="N548" s="335"/>
      <c r="O548" s="335"/>
      <c r="P548" s="335"/>
      <c r="Q548" s="1"/>
      <c r="R548" s="1"/>
      <c r="S548" s="1"/>
      <c r="T548" s="1"/>
      <c r="U548" s="1"/>
      <c r="Y548" s="1"/>
    </row>
    <row r="549" ht="12.75" customHeight="1">
      <c r="A549" s="8"/>
      <c r="B549" s="8"/>
      <c r="C549" s="8"/>
      <c r="D549" s="8"/>
      <c r="E549" s="8"/>
      <c r="F549" s="8"/>
      <c r="G549" s="334"/>
      <c r="H549" s="1"/>
      <c r="I549" s="212"/>
      <c r="J549" s="212"/>
      <c r="K549" s="335"/>
      <c r="L549" s="335"/>
      <c r="M549" s="335"/>
      <c r="N549" s="335"/>
      <c r="O549" s="335"/>
      <c r="P549" s="335"/>
      <c r="Q549" s="1"/>
      <c r="R549" s="1"/>
      <c r="S549" s="1"/>
      <c r="T549" s="1"/>
      <c r="U549" s="1"/>
      <c r="Y549" s="1"/>
    </row>
    <row r="550" ht="12.75" customHeight="1">
      <c r="A550" s="8"/>
      <c r="B550" s="8"/>
      <c r="C550" s="8"/>
      <c r="D550" s="8"/>
      <c r="E550" s="8"/>
      <c r="F550" s="8"/>
      <c r="G550" s="334"/>
      <c r="H550" s="1"/>
      <c r="I550" s="212"/>
      <c r="J550" s="212"/>
      <c r="K550" s="335"/>
      <c r="L550" s="335"/>
      <c r="M550" s="335"/>
      <c r="N550" s="335"/>
      <c r="O550" s="335"/>
      <c r="P550" s="335"/>
      <c r="Q550" s="1"/>
      <c r="R550" s="1"/>
      <c r="S550" s="1"/>
      <c r="T550" s="1"/>
      <c r="U550" s="1"/>
      <c r="Y550" s="1"/>
    </row>
    <row r="551" ht="12.75" customHeight="1">
      <c r="A551" s="8"/>
      <c r="B551" s="8"/>
      <c r="C551" s="8"/>
      <c r="D551" s="8"/>
      <c r="E551" s="8"/>
      <c r="F551" s="8"/>
      <c r="G551" s="334"/>
      <c r="H551" s="1"/>
      <c r="I551" s="212"/>
      <c r="J551" s="212"/>
      <c r="K551" s="335"/>
      <c r="L551" s="335"/>
      <c r="M551" s="335"/>
      <c r="N551" s="335"/>
      <c r="O551" s="335"/>
      <c r="P551" s="335"/>
      <c r="Q551" s="1"/>
      <c r="R551" s="1"/>
      <c r="S551" s="1"/>
      <c r="T551" s="1"/>
      <c r="U551" s="1"/>
      <c r="Y551" s="1"/>
    </row>
    <row r="552" ht="12.75" customHeight="1">
      <c r="A552" s="8"/>
      <c r="B552" s="8"/>
      <c r="C552" s="8"/>
      <c r="D552" s="8"/>
      <c r="E552" s="8"/>
      <c r="F552" s="8"/>
      <c r="G552" s="334"/>
      <c r="H552" s="1"/>
      <c r="I552" s="212"/>
      <c r="J552" s="212"/>
      <c r="K552" s="335"/>
      <c r="L552" s="335"/>
      <c r="M552" s="335"/>
      <c r="N552" s="335"/>
      <c r="O552" s="335"/>
      <c r="P552" s="335"/>
      <c r="Q552" s="1"/>
      <c r="R552" s="1"/>
      <c r="S552" s="1"/>
      <c r="T552" s="1"/>
      <c r="U552" s="1"/>
      <c r="Y552" s="1"/>
    </row>
    <row r="553" ht="12.75" customHeight="1">
      <c r="A553" s="8"/>
      <c r="B553" s="8"/>
      <c r="C553" s="8"/>
      <c r="D553" s="8"/>
      <c r="E553" s="8"/>
      <c r="F553" s="8"/>
      <c r="G553" s="334"/>
      <c r="H553" s="1"/>
      <c r="I553" s="212"/>
      <c r="J553" s="212"/>
      <c r="K553" s="335"/>
      <c r="L553" s="335"/>
      <c r="M553" s="335"/>
      <c r="N553" s="335"/>
      <c r="O553" s="335"/>
      <c r="P553" s="335"/>
      <c r="Q553" s="1"/>
      <c r="R553" s="1"/>
      <c r="S553" s="1"/>
      <c r="T553" s="1"/>
      <c r="U553" s="1"/>
      <c r="Y553" s="1"/>
    </row>
    <row r="554" ht="12.75" customHeight="1">
      <c r="A554" s="8"/>
      <c r="B554" s="8"/>
      <c r="C554" s="8"/>
      <c r="D554" s="8"/>
      <c r="E554" s="8"/>
      <c r="F554" s="8"/>
      <c r="G554" s="334"/>
      <c r="H554" s="1"/>
      <c r="I554" s="212"/>
      <c r="J554" s="212"/>
      <c r="K554" s="335"/>
      <c r="L554" s="335"/>
      <c r="M554" s="335"/>
      <c r="N554" s="335"/>
      <c r="O554" s="335"/>
      <c r="P554" s="335"/>
      <c r="Q554" s="1"/>
      <c r="R554" s="1"/>
      <c r="S554" s="1"/>
      <c r="T554" s="1"/>
      <c r="U554" s="1"/>
      <c r="Y554" s="1"/>
    </row>
    <row r="555" ht="12.75" customHeight="1">
      <c r="A555" s="8"/>
      <c r="B555" s="8"/>
      <c r="C555" s="8"/>
      <c r="D555" s="8"/>
      <c r="E555" s="8"/>
      <c r="F555" s="8"/>
      <c r="G555" s="334"/>
      <c r="H555" s="1"/>
      <c r="I555" s="212"/>
      <c r="J555" s="212"/>
      <c r="K555" s="335"/>
      <c r="L555" s="335"/>
      <c r="M555" s="335"/>
      <c r="N555" s="335"/>
      <c r="O555" s="335"/>
      <c r="P555" s="335"/>
      <c r="Q555" s="1"/>
      <c r="R555" s="1"/>
      <c r="S555" s="1"/>
      <c r="T555" s="1"/>
      <c r="U555" s="1"/>
      <c r="Y555" s="1"/>
    </row>
    <row r="556" ht="12.75" customHeight="1">
      <c r="A556" s="8"/>
      <c r="B556" s="8"/>
      <c r="C556" s="8"/>
      <c r="D556" s="8"/>
      <c r="E556" s="8"/>
      <c r="F556" s="8"/>
      <c r="G556" s="334"/>
      <c r="H556" s="1"/>
      <c r="I556" s="212"/>
      <c r="J556" s="212"/>
      <c r="K556" s="335"/>
      <c r="L556" s="335"/>
      <c r="M556" s="335"/>
      <c r="N556" s="335"/>
      <c r="O556" s="335"/>
      <c r="P556" s="335"/>
      <c r="Q556" s="1"/>
      <c r="R556" s="1"/>
      <c r="S556" s="1"/>
      <c r="T556" s="1"/>
      <c r="U556" s="1"/>
      <c r="Y556" s="1"/>
    </row>
    <row r="557" ht="12.75" customHeight="1">
      <c r="A557" s="8"/>
      <c r="B557" s="8"/>
      <c r="C557" s="8"/>
      <c r="D557" s="8"/>
      <c r="E557" s="8"/>
      <c r="F557" s="8"/>
      <c r="G557" s="334"/>
      <c r="H557" s="1"/>
      <c r="I557" s="212"/>
      <c r="J557" s="212"/>
      <c r="K557" s="335"/>
      <c r="L557" s="335"/>
      <c r="M557" s="335"/>
      <c r="N557" s="335"/>
      <c r="O557" s="335"/>
      <c r="P557" s="335"/>
      <c r="Q557" s="1"/>
      <c r="R557" s="1"/>
      <c r="S557" s="1"/>
      <c r="T557" s="1"/>
      <c r="U557" s="1"/>
      <c r="Y557" s="1"/>
    </row>
    <row r="558" ht="12.75" customHeight="1">
      <c r="A558" s="8"/>
      <c r="B558" s="8"/>
      <c r="C558" s="8"/>
      <c r="D558" s="8"/>
      <c r="E558" s="8"/>
      <c r="F558" s="8"/>
      <c r="G558" s="334"/>
      <c r="H558" s="1"/>
      <c r="I558" s="212"/>
      <c r="J558" s="212"/>
      <c r="K558" s="335"/>
      <c r="L558" s="335"/>
      <c r="M558" s="335"/>
      <c r="N558" s="335"/>
      <c r="O558" s="335"/>
      <c r="P558" s="335"/>
      <c r="Q558" s="1"/>
      <c r="R558" s="1"/>
      <c r="S558" s="1"/>
      <c r="T558" s="1"/>
      <c r="U558" s="1"/>
      <c r="Y558" s="1"/>
    </row>
    <row r="559" ht="12.75" customHeight="1">
      <c r="A559" s="8"/>
      <c r="B559" s="8"/>
      <c r="C559" s="8"/>
      <c r="D559" s="8"/>
      <c r="E559" s="8"/>
      <c r="F559" s="8"/>
      <c r="G559" s="334"/>
      <c r="H559" s="1"/>
      <c r="I559" s="212"/>
      <c r="J559" s="212"/>
      <c r="K559" s="335"/>
      <c r="L559" s="335"/>
      <c r="M559" s="335"/>
      <c r="N559" s="335"/>
      <c r="O559" s="335"/>
      <c r="P559" s="335"/>
      <c r="Q559" s="1"/>
      <c r="R559" s="1"/>
      <c r="S559" s="1"/>
      <c r="T559" s="1"/>
      <c r="U559" s="1"/>
      <c r="Y559" s="1"/>
    </row>
    <row r="560" ht="12.75" customHeight="1">
      <c r="A560" s="8"/>
      <c r="B560" s="8"/>
      <c r="C560" s="8"/>
      <c r="D560" s="8"/>
      <c r="E560" s="8"/>
      <c r="F560" s="8"/>
      <c r="G560" s="334"/>
      <c r="H560" s="1"/>
      <c r="I560" s="212"/>
      <c r="J560" s="212"/>
      <c r="K560" s="335"/>
      <c r="L560" s="335"/>
      <c r="M560" s="335"/>
      <c r="N560" s="335"/>
      <c r="O560" s="335"/>
      <c r="P560" s="335"/>
      <c r="Q560" s="1"/>
      <c r="R560" s="1"/>
      <c r="S560" s="1"/>
      <c r="T560" s="1"/>
      <c r="U560" s="1"/>
      <c r="Y560" s="1"/>
    </row>
    <row r="561" ht="12.75" customHeight="1">
      <c r="A561" s="8"/>
      <c r="B561" s="8"/>
      <c r="C561" s="8"/>
      <c r="D561" s="8"/>
      <c r="E561" s="8"/>
      <c r="F561" s="8"/>
      <c r="G561" s="334"/>
      <c r="H561" s="1"/>
      <c r="I561" s="212"/>
      <c r="J561" s="212"/>
      <c r="K561" s="335"/>
      <c r="L561" s="335"/>
      <c r="M561" s="335"/>
      <c r="N561" s="335"/>
      <c r="O561" s="335"/>
      <c r="P561" s="335"/>
      <c r="Q561" s="1"/>
      <c r="R561" s="1"/>
      <c r="S561" s="1"/>
      <c r="T561" s="1"/>
      <c r="U561" s="1"/>
      <c r="Y561" s="1"/>
    </row>
    <row r="562" ht="12.75" customHeight="1">
      <c r="A562" s="8"/>
      <c r="B562" s="8"/>
      <c r="C562" s="8"/>
      <c r="D562" s="8"/>
      <c r="E562" s="8"/>
      <c r="F562" s="8"/>
      <c r="G562" s="334"/>
      <c r="H562" s="1"/>
      <c r="I562" s="212"/>
      <c r="J562" s="212"/>
      <c r="K562" s="335"/>
      <c r="L562" s="335"/>
      <c r="M562" s="335"/>
      <c r="N562" s="335"/>
      <c r="O562" s="335"/>
      <c r="P562" s="335"/>
      <c r="Q562" s="1"/>
      <c r="R562" s="1"/>
      <c r="S562" s="1"/>
      <c r="T562" s="1"/>
      <c r="U562" s="1"/>
      <c r="Y562" s="1"/>
    </row>
    <row r="563" ht="12.75" customHeight="1">
      <c r="A563" s="8"/>
      <c r="B563" s="8"/>
      <c r="C563" s="8"/>
      <c r="D563" s="8"/>
      <c r="E563" s="8"/>
      <c r="F563" s="8"/>
      <c r="G563" s="334"/>
      <c r="H563" s="1"/>
      <c r="I563" s="212"/>
      <c r="J563" s="212"/>
      <c r="K563" s="335"/>
      <c r="L563" s="335"/>
      <c r="M563" s="335"/>
      <c r="N563" s="335"/>
      <c r="O563" s="335"/>
      <c r="P563" s="335"/>
      <c r="Q563" s="1"/>
      <c r="R563" s="1"/>
      <c r="S563" s="1"/>
      <c r="T563" s="1"/>
      <c r="U563" s="1"/>
      <c r="Y563" s="1"/>
    </row>
    <row r="564" ht="12.75" customHeight="1">
      <c r="A564" s="8"/>
      <c r="B564" s="8"/>
      <c r="C564" s="8"/>
      <c r="D564" s="8"/>
      <c r="E564" s="8"/>
      <c r="F564" s="8"/>
      <c r="G564" s="334"/>
      <c r="H564" s="1"/>
      <c r="I564" s="212"/>
      <c r="J564" s="212"/>
      <c r="K564" s="335"/>
      <c r="L564" s="335"/>
      <c r="M564" s="335"/>
      <c r="N564" s="335"/>
      <c r="O564" s="335"/>
      <c r="P564" s="335"/>
      <c r="Q564" s="1"/>
      <c r="R564" s="1"/>
      <c r="S564" s="1"/>
      <c r="T564" s="1"/>
      <c r="U564" s="1"/>
      <c r="Y564" s="1"/>
    </row>
    <row r="565" ht="12.75" customHeight="1">
      <c r="A565" s="8"/>
      <c r="B565" s="8"/>
      <c r="C565" s="8"/>
      <c r="D565" s="8"/>
      <c r="E565" s="8"/>
      <c r="F565" s="8"/>
      <c r="G565" s="334"/>
      <c r="H565" s="1"/>
      <c r="I565" s="212"/>
      <c r="J565" s="212"/>
      <c r="K565" s="335"/>
      <c r="L565" s="335"/>
      <c r="M565" s="335"/>
      <c r="N565" s="335"/>
      <c r="O565" s="335"/>
      <c r="P565" s="335"/>
      <c r="Q565" s="1"/>
      <c r="R565" s="1"/>
      <c r="S565" s="1"/>
      <c r="T565" s="1"/>
      <c r="U565" s="1"/>
      <c r="Y565" s="1"/>
    </row>
    <row r="566" ht="12.75" customHeight="1">
      <c r="A566" s="8"/>
      <c r="B566" s="8"/>
      <c r="C566" s="8"/>
      <c r="D566" s="8"/>
      <c r="E566" s="8"/>
      <c r="F566" s="8"/>
      <c r="G566" s="334"/>
      <c r="H566" s="1"/>
      <c r="I566" s="212"/>
      <c r="J566" s="212"/>
      <c r="K566" s="335"/>
      <c r="L566" s="335"/>
      <c r="M566" s="335"/>
      <c r="N566" s="335"/>
      <c r="O566" s="335"/>
      <c r="P566" s="335"/>
      <c r="Q566" s="1"/>
      <c r="R566" s="1"/>
      <c r="S566" s="1"/>
      <c r="T566" s="1"/>
      <c r="U566" s="1"/>
      <c r="Y566" s="1"/>
    </row>
    <row r="567" ht="12.75" customHeight="1">
      <c r="A567" s="8"/>
      <c r="B567" s="8"/>
      <c r="C567" s="8"/>
      <c r="D567" s="8"/>
      <c r="E567" s="8"/>
      <c r="F567" s="8"/>
      <c r="G567" s="334"/>
      <c r="H567" s="1"/>
      <c r="I567" s="212"/>
      <c r="J567" s="212"/>
      <c r="K567" s="335"/>
      <c r="L567" s="335"/>
      <c r="M567" s="335"/>
      <c r="N567" s="335"/>
      <c r="O567" s="335"/>
      <c r="P567" s="335"/>
      <c r="Q567" s="1"/>
      <c r="R567" s="1"/>
      <c r="S567" s="1"/>
      <c r="T567" s="1"/>
      <c r="U567" s="1"/>
      <c r="Y567" s="1"/>
    </row>
    <row r="568" ht="12.75" customHeight="1">
      <c r="A568" s="8"/>
      <c r="B568" s="8"/>
      <c r="C568" s="8"/>
      <c r="D568" s="8"/>
      <c r="E568" s="8"/>
      <c r="F568" s="8"/>
      <c r="G568" s="334"/>
      <c r="H568" s="1"/>
      <c r="I568" s="212"/>
      <c r="J568" s="212"/>
      <c r="K568" s="335"/>
      <c r="L568" s="335"/>
      <c r="M568" s="335"/>
      <c r="N568" s="335"/>
      <c r="O568" s="335"/>
      <c r="P568" s="335"/>
      <c r="Q568" s="1"/>
      <c r="R568" s="1"/>
      <c r="S568" s="1"/>
      <c r="T568" s="1"/>
      <c r="U568" s="1"/>
      <c r="Y568" s="1"/>
    </row>
    <row r="569" ht="12.75" customHeight="1">
      <c r="A569" s="8"/>
      <c r="B569" s="8"/>
      <c r="C569" s="8"/>
      <c r="D569" s="8"/>
      <c r="E569" s="8"/>
      <c r="F569" s="8"/>
      <c r="G569" s="334"/>
      <c r="H569" s="1"/>
      <c r="I569" s="212"/>
      <c r="J569" s="212"/>
      <c r="K569" s="335"/>
      <c r="L569" s="335"/>
      <c r="M569" s="335"/>
      <c r="N569" s="335"/>
      <c r="O569" s="335"/>
      <c r="P569" s="335"/>
      <c r="Q569" s="1"/>
      <c r="R569" s="1"/>
      <c r="S569" s="1"/>
      <c r="T569" s="1"/>
      <c r="U569" s="1"/>
      <c r="Y569" s="1"/>
    </row>
    <row r="570" ht="12.75" customHeight="1">
      <c r="A570" s="8"/>
      <c r="B570" s="8"/>
      <c r="C570" s="8"/>
      <c r="D570" s="8"/>
      <c r="E570" s="8"/>
      <c r="F570" s="8"/>
      <c r="G570" s="334"/>
      <c r="H570" s="1"/>
      <c r="I570" s="212"/>
      <c r="J570" s="212"/>
      <c r="K570" s="335"/>
      <c r="L570" s="335"/>
      <c r="M570" s="335"/>
      <c r="N570" s="335"/>
      <c r="O570" s="335"/>
      <c r="P570" s="335"/>
      <c r="Q570" s="1"/>
      <c r="R570" s="1"/>
      <c r="S570" s="1"/>
      <c r="T570" s="1"/>
      <c r="U570" s="1"/>
      <c r="Y570" s="1"/>
    </row>
    <row r="571" ht="12.75" customHeight="1">
      <c r="A571" s="8"/>
      <c r="B571" s="8"/>
      <c r="C571" s="8"/>
      <c r="D571" s="8"/>
      <c r="E571" s="8"/>
      <c r="F571" s="8"/>
      <c r="G571" s="334"/>
      <c r="H571" s="1"/>
      <c r="I571" s="212"/>
      <c r="J571" s="212"/>
      <c r="K571" s="335"/>
      <c r="L571" s="335"/>
      <c r="M571" s="335"/>
      <c r="N571" s="335"/>
      <c r="O571" s="335"/>
      <c r="P571" s="335"/>
      <c r="Q571" s="1"/>
      <c r="R571" s="1"/>
      <c r="S571" s="1"/>
      <c r="T571" s="1"/>
      <c r="U571" s="1"/>
      <c r="Y571" s="1"/>
    </row>
    <row r="572" ht="12.75" customHeight="1">
      <c r="A572" s="8"/>
      <c r="B572" s="8"/>
      <c r="C572" s="8"/>
      <c r="D572" s="8"/>
      <c r="E572" s="8"/>
      <c r="F572" s="8"/>
      <c r="G572" s="334"/>
      <c r="H572" s="1"/>
      <c r="I572" s="212"/>
      <c r="J572" s="212"/>
      <c r="K572" s="335"/>
      <c r="L572" s="335"/>
      <c r="M572" s="335"/>
      <c r="N572" s="335"/>
      <c r="O572" s="335"/>
      <c r="P572" s="335"/>
      <c r="Q572" s="1"/>
      <c r="R572" s="1"/>
      <c r="S572" s="1"/>
      <c r="T572" s="1"/>
      <c r="U572" s="1"/>
      <c r="Y572" s="1"/>
    </row>
    <row r="573" ht="12.75" customHeight="1">
      <c r="A573" s="8"/>
      <c r="B573" s="8"/>
      <c r="C573" s="8"/>
      <c r="D573" s="8"/>
      <c r="E573" s="8"/>
      <c r="F573" s="8"/>
      <c r="G573" s="334"/>
      <c r="H573" s="1"/>
      <c r="I573" s="212"/>
      <c r="J573" s="212"/>
      <c r="K573" s="335"/>
      <c r="L573" s="335"/>
      <c r="M573" s="335"/>
      <c r="N573" s="335"/>
      <c r="O573" s="335"/>
      <c r="P573" s="335"/>
      <c r="Q573" s="1"/>
      <c r="R573" s="1"/>
      <c r="S573" s="1"/>
      <c r="T573" s="1"/>
      <c r="U573" s="1"/>
      <c r="Y573" s="1"/>
    </row>
    <row r="574" ht="12.75" customHeight="1">
      <c r="A574" s="8"/>
      <c r="B574" s="8"/>
      <c r="C574" s="8"/>
      <c r="D574" s="8"/>
      <c r="E574" s="8"/>
      <c r="F574" s="8"/>
      <c r="G574" s="334"/>
      <c r="H574" s="1"/>
      <c r="I574" s="212"/>
      <c r="J574" s="212"/>
      <c r="K574" s="335"/>
      <c r="L574" s="335"/>
      <c r="M574" s="335"/>
      <c r="N574" s="335"/>
      <c r="O574" s="335"/>
      <c r="P574" s="335"/>
      <c r="Q574" s="1"/>
      <c r="R574" s="1"/>
      <c r="S574" s="1"/>
      <c r="T574" s="1"/>
      <c r="U574" s="1"/>
      <c r="Y574" s="1"/>
    </row>
    <row r="575" ht="12.75" customHeight="1">
      <c r="A575" s="8"/>
      <c r="B575" s="8"/>
      <c r="C575" s="8"/>
      <c r="D575" s="8"/>
      <c r="E575" s="8"/>
      <c r="F575" s="8"/>
      <c r="G575" s="334"/>
      <c r="H575" s="1"/>
      <c r="I575" s="212"/>
      <c r="J575" s="212"/>
      <c r="K575" s="335"/>
      <c r="L575" s="335"/>
      <c r="M575" s="335"/>
      <c r="N575" s="335"/>
      <c r="O575" s="335"/>
      <c r="P575" s="335"/>
      <c r="Q575" s="1"/>
      <c r="R575" s="1"/>
      <c r="S575" s="1"/>
      <c r="T575" s="1"/>
      <c r="U575" s="1"/>
      <c r="Y575" s="1"/>
    </row>
    <row r="576" ht="12.75" customHeight="1">
      <c r="A576" s="8"/>
      <c r="B576" s="8"/>
      <c r="C576" s="8"/>
      <c r="D576" s="8"/>
      <c r="E576" s="8"/>
      <c r="F576" s="8"/>
      <c r="G576" s="334"/>
      <c r="H576" s="1"/>
      <c r="I576" s="212"/>
      <c r="J576" s="212"/>
      <c r="K576" s="335"/>
      <c r="L576" s="335"/>
      <c r="M576" s="335"/>
      <c r="N576" s="335"/>
      <c r="O576" s="335"/>
      <c r="P576" s="335"/>
      <c r="Q576" s="1"/>
      <c r="R576" s="1"/>
      <c r="S576" s="1"/>
      <c r="T576" s="1"/>
      <c r="U576" s="1"/>
      <c r="Y576" s="1"/>
    </row>
    <row r="577" ht="12.75" customHeight="1">
      <c r="A577" s="8"/>
      <c r="B577" s="8"/>
      <c r="C577" s="8"/>
      <c r="D577" s="8"/>
      <c r="E577" s="8"/>
      <c r="F577" s="8"/>
      <c r="G577" s="334"/>
      <c r="H577" s="1"/>
      <c r="I577" s="212"/>
      <c r="J577" s="212"/>
      <c r="K577" s="335"/>
      <c r="L577" s="335"/>
      <c r="M577" s="335"/>
      <c r="N577" s="335"/>
      <c r="O577" s="335"/>
      <c r="P577" s="335"/>
      <c r="Q577" s="1"/>
      <c r="R577" s="1"/>
      <c r="S577" s="1"/>
      <c r="T577" s="1"/>
      <c r="U577" s="1"/>
      <c r="Y577" s="1"/>
    </row>
    <row r="578" ht="12.75" customHeight="1">
      <c r="A578" s="8"/>
      <c r="B578" s="8"/>
      <c r="C578" s="8"/>
      <c r="D578" s="8"/>
      <c r="E578" s="8"/>
      <c r="F578" s="8"/>
      <c r="G578" s="334"/>
      <c r="H578" s="1"/>
      <c r="I578" s="212"/>
      <c r="J578" s="212"/>
      <c r="K578" s="335"/>
      <c r="L578" s="335"/>
      <c r="M578" s="335"/>
      <c r="N578" s="335"/>
      <c r="O578" s="335"/>
      <c r="P578" s="335"/>
      <c r="Q578" s="1"/>
      <c r="R578" s="1"/>
      <c r="S578" s="1"/>
      <c r="T578" s="1"/>
      <c r="U578" s="1"/>
      <c r="Y578" s="1"/>
    </row>
    <row r="579" ht="12.75" customHeight="1">
      <c r="A579" s="8"/>
      <c r="B579" s="8"/>
      <c r="C579" s="8"/>
      <c r="D579" s="8"/>
      <c r="E579" s="8"/>
      <c r="F579" s="8"/>
      <c r="G579" s="334"/>
      <c r="H579" s="1"/>
      <c r="I579" s="212"/>
      <c r="J579" s="212"/>
      <c r="K579" s="335"/>
      <c r="L579" s="335"/>
      <c r="M579" s="335"/>
      <c r="N579" s="335"/>
      <c r="O579" s="335"/>
      <c r="P579" s="335"/>
      <c r="Q579" s="1"/>
      <c r="R579" s="1"/>
      <c r="S579" s="1"/>
      <c r="T579" s="1"/>
      <c r="U579" s="1"/>
      <c r="Y579" s="1"/>
    </row>
    <row r="580" ht="12.75" customHeight="1">
      <c r="A580" s="8"/>
      <c r="B580" s="8"/>
      <c r="C580" s="8"/>
      <c r="D580" s="8"/>
      <c r="E580" s="8"/>
      <c r="F580" s="8"/>
      <c r="G580" s="334"/>
      <c r="H580" s="1"/>
      <c r="I580" s="212"/>
      <c r="J580" s="212"/>
      <c r="K580" s="335"/>
      <c r="L580" s="335"/>
      <c r="M580" s="335"/>
      <c r="N580" s="335"/>
      <c r="O580" s="335"/>
      <c r="P580" s="335"/>
      <c r="Q580" s="1"/>
      <c r="R580" s="1"/>
      <c r="S580" s="1"/>
      <c r="T580" s="1"/>
      <c r="U580" s="1"/>
      <c r="Y580" s="1"/>
    </row>
    <row r="581" ht="12.75" customHeight="1">
      <c r="A581" s="8"/>
      <c r="B581" s="8"/>
      <c r="C581" s="8"/>
      <c r="D581" s="8"/>
      <c r="E581" s="8"/>
      <c r="F581" s="8"/>
      <c r="G581" s="334"/>
      <c r="H581" s="1"/>
      <c r="I581" s="212"/>
      <c r="J581" s="212"/>
      <c r="K581" s="335"/>
      <c r="L581" s="335"/>
      <c r="M581" s="335"/>
      <c r="N581" s="335"/>
      <c r="O581" s="335"/>
      <c r="P581" s="335"/>
      <c r="Q581" s="1"/>
      <c r="R581" s="1"/>
      <c r="S581" s="1"/>
      <c r="T581" s="1"/>
      <c r="U581" s="1"/>
      <c r="Y581" s="1"/>
    </row>
    <row r="582" ht="12.75" customHeight="1">
      <c r="A582" s="8"/>
      <c r="B582" s="8"/>
      <c r="C582" s="8"/>
      <c r="D582" s="8"/>
      <c r="E582" s="8"/>
      <c r="F582" s="8"/>
      <c r="G582" s="334"/>
      <c r="H582" s="1"/>
      <c r="I582" s="212"/>
      <c r="J582" s="212"/>
      <c r="K582" s="335"/>
      <c r="L582" s="335"/>
      <c r="M582" s="335"/>
      <c r="N582" s="335"/>
      <c r="O582" s="335"/>
      <c r="P582" s="335"/>
      <c r="Q582" s="1"/>
      <c r="R582" s="1"/>
      <c r="S582" s="1"/>
      <c r="T582" s="1"/>
      <c r="U582" s="1"/>
      <c r="Y582" s="1"/>
    </row>
    <row r="583" ht="12.75" customHeight="1">
      <c r="A583" s="8"/>
      <c r="B583" s="8"/>
      <c r="C583" s="8"/>
      <c r="D583" s="8"/>
      <c r="E583" s="8"/>
      <c r="F583" s="8"/>
      <c r="G583" s="334"/>
      <c r="H583" s="1"/>
      <c r="I583" s="212"/>
      <c r="J583" s="212"/>
      <c r="K583" s="335"/>
      <c r="L583" s="335"/>
      <c r="M583" s="335"/>
      <c r="N583" s="335"/>
      <c r="O583" s="335"/>
      <c r="P583" s="335"/>
      <c r="Q583" s="1"/>
      <c r="R583" s="1"/>
      <c r="S583" s="1"/>
      <c r="T583" s="1"/>
      <c r="U583" s="1"/>
      <c r="Y583" s="1"/>
    </row>
    <row r="584" ht="12.75" customHeight="1">
      <c r="A584" s="8"/>
      <c r="B584" s="8"/>
      <c r="C584" s="8"/>
      <c r="D584" s="8"/>
      <c r="E584" s="8"/>
      <c r="F584" s="8"/>
      <c r="G584" s="334"/>
      <c r="H584" s="1"/>
      <c r="I584" s="212"/>
      <c r="J584" s="212"/>
      <c r="K584" s="335"/>
      <c r="L584" s="335"/>
      <c r="M584" s="335"/>
      <c r="N584" s="335"/>
      <c r="O584" s="335"/>
      <c r="P584" s="335"/>
      <c r="Q584" s="1"/>
      <c r="R584" s="1"/>
      <c r="S584" s="1"/>
      <c r="T584" s="1"/>
      <c r="U584" s="1"/>
      <c r="Y584" s="1"/>
    </row>
    <row r="585" ht="12.75" customHeight="1">
      <c r="A585" s="8"/>
      <c r="B585" s="8"/>
      <c r="C585" s="8"/>
      <c r="D585" s="8"/>
      <c r="E585" s="8"/>
      <c r="F585" s="8"/>
      <c r="G585" s="334"/>
      <c r="H585" s="1"/>
      <c r="I585" s="212"/>
      <c r="J585" s="212"/>
      <c r="K585" s="335"/>
      <c r="L585" s="335"/>
      <c r="M585" s="335"/>
      <c r="N585" s="335"/>
      <c r="O585" s="335"/>
      <c r="P585" s="335"/>
      <c r="Q585" s="1"/>
      <c r="R585" s="1"/>
      <c r="S585" s="1"/>
      <c r="T585" s="1"/>
      <c r="U585" s="1"/>
      <c r="Y585" s="1"/>
    </row>
    <row r="586" ht="12.75" customHeight="1">
      <c r="A586" s="8"/>
      <c r="B586" s="8"/>
      <c r="C586" s="8"/>
      <c r="D586" s="8"/>
      <c r="E586" s="8"/>
      <c r="F586" s="8"/>
      <c r="G586" s="334"/>
      <c r="H586" s="1"/>
      <c r="I586" s="212"/>
      <c r="J586" s="212"/>
      <c r="K586" s="335"/>
      <c r="L586" s="335"/>
      <c r="M586" s="335"/>
      <c r="N586" s="335"/>
      <c r="O586" s="335"/>
      <c r="P586" s="335"/>
      <c r="Q586" s="1"/>
      <c r="R586" s="1"/>
      <c r="S586" s="1"/>
      <c r="T586" s="1"/>
      <c r="U586" s="1"/>
      <c r="Y586" s="1"/>
    </row>
    <row r="587" ht="12.75" customHeight="1">
      <c r="A587" s="8"/>
      <c r="B587" s="8"/>
      <c r="C587" s="8"/>
      <c r="D587" s="8"/>
      <c r="E587" s="8"/>
      <c r="F587" s="8"/>
      <c r="G587" s="334"/>
      <c r="H587" s="1"/>
      <c r="I587" s="212"/>
      <c r="J587" s="212"/>
      <c r="K587" s="335"/>
      <c r="L587" s="335"/>
      <c r="M587" s="335"/>
      <c r="N587" s="335"/>
      <c r="O587" s="335"/>
      <c r="P587" s="335"/>
      <c r="Q587" s="1"/>
      <c r="R587" s="1"/>
      <c r="S587" s="1"/>
      <c r="T587" s="1"/>
      <c r="U587" s="1"/>
      <c r="Y587" s="1"/>
    </row>
    <row r="588" ht="12.75" customHeight="1">
      <c r="A588" s="8"/>
      <c r="B588" s="8"/>
      <c r="C588" s="8"/>
      <c r="D588" s="8"/>
      <c r="E588" s="8"/>
      <c r="F588" s="8"/>
      <c r="G588" s="334"/>
      <c r="H588" s="1"/>
      <c r="I588" s="212"/>
      <c r="J588" s="212"/>
      <c r="K588" s="335"/>
      <c r="L588" s="335"/>
      <c r="M588" s="335"/>
      <c r="N588" s="335"/>
      <c r="O588" s="335"/>
      <c r="P588" s="335"/>
      <c r="Q588" s="1"/>
      <c r="R588" s="1"/>
      <c r="S588" s="1"/>
      <c r="T588" s="1"/>
      <c r="U588" s="1"/>
      <c r="Y588" s="1"/>
    </row>
    <row r="589" ht="12.75" customHeight="1">
      <c r="A589" s="8"/>
      <c r="B589" s="8"/>
      <c r="C589" s="8"/>
      <c r="D589" s="8"/>
      <c r="E589" s="8"/>
      <c r="F589" s="8"/>
      <c r="G589" s="334"/>
      <c r="H589" s="1"/>
      <c r="I589" s="212"/>
      <c r="J589" s="212"/>
      <c r="K589" s="335"/>
      <c r="L589" s="335"/>
      <c r="M589" s="335"/>
      <c r="N589" s="335"/>
      <c r="O589" s="335"/>
      <c r="P589" s="335"/>
      <c r="Q589" s="1"/>
      <c r="R589" s="1"/>
      <c r="S589" s="1"/>
      <c r="T589" s="1"/>
      <c r="U589" s="1"/>
      <c r="Y589" s="1"/>
    </row>
    <row r="590" ht="12.75" customHeight="1">
      <c r="A590" s="8"/>
      <c r="B590" s="8"/>
      <c r="C590" s="8"/>
      <c r="D590" s="8"/>
      <c r="E590" s="8"/>
      <c r="F590" s="8"/>
      <c r="G590" s="334"/>
      <c r="H590" s="1"/>
      <c r="I590" s="212"/>
      <c r="J590" s="212"/>
      <c r="K590" s="335"/>
      <c r="L590" s="335"/>
      <c r="M590" s="335"/>
      <c r="N590" s="335"/>
      <c r="O590" s="335"/>
      <c r="P590" s="335"/>
      <c r="Q590" s="1"/>
      <c r="R590" s="1"/>
      <c r="S590" s="1"/>
      <c r="T590" s="1"/>
      <c r="U590" s="1"/>
      <c r="Y590" s="1"/>
    </row>
    <row r="591" ht="12.75" customHeight="1">
      <c r="A591" s="8"/>
      <c r="B591" s="8"/>
      <c r="C591" s="8"/>
      <c r="D591" s="8"/>
      <c r="E591" s="8"/>
      <c r="F591" s="8"/>
      <c r="G591" s="334"/>
      <c r="H591" s="1"/>
      <c r="I591" s="212"/>
      <c r="J591" s="212"/>
      <c r="K591" s="335"/>
      <c r="L591" s="335"/>
      <c r="M591" s="335"/>
      <c r="N591" s="335"/>
      <c r="O591" s="335"/>
      <c r="P591" s="335"/>
      <c r="Q591" s="1"/>
      <c r="R591" s="1"/>
      <c r="S591" s="1"/>
      <c r="T591" s="1"/>
      <c r="U591" s="1"/>
      <c r="Y591" s="1"/>
    </row>
    <row r="592" ht="12.75" customHeight="1">
      <c r="A592" s="8"/>
      <c r="B592" s="8"/>
      <c r="C592" s="8"/>
      <c r="D592" s="8"/>
      <c r="E592" s="8"/>
      <c r="F592" s="8"/>
      <c r="G592" s="334"/>
      <c r="H592" s="1"/>
      <c r="I592" s="212"/>
      <c r="J592" s="212"/>
      <c r="K592" s="335"/>
      <c r="L592" s="335"/>
      <c r="M592" s="335"/>
      <c r="N592" s="335"/>
      <c r="O592" s="335"/>
      <c r="P592" s="335"/>
      <c r="Q592" s="1"/>
      <c r="R592" s="1"/>
      <c r="S592" s="1"/>
      <c r="T592" s="1"/>
      <c r="U592" s="1"/>
      <c r="Y592" s="1"/>
    </row>
    <row r="593" ht="12.75" customHeight="1">
      <c r="A593" s="8"/>
      <c r="B593" s="8"/>
      <c r="C593" s="8"/>
      <c r="D593" s="8"/>
      <c r="E593" s="8"/>
      <c r="F593" s="8"/>
      <c r="G593" s="334"/>
      <c r="H593" s="1"/>
      <c r="I593" s="212"/>
      <c r="J593" s="212"/>
      <c r="K593" s="335"/>
      <c r="L593" s="335"/>
      <c r="M593" s="335"/>
      <c r="N593" s="335"/>
      <c r="O593" s="335"/>
      <c r="P593" s="335"/>
      <c r="Q593" s="1"/>
      <c r="R593" s="1"/>
      <c r="S593" s="1"/>
      <c r="T593" s="1"/>
      <c r="U593" s="1"/>
      <c r="Y593" s="1"/>
    </row>
    <row r="594" ht="12.75" customHeight="1">
      <c r="A594" s="8"/>
      <c r="B594" s="8"/>
      <c r="C594" s="8"/>
      <c r="D594" s="8"/>
      <c r="E594" s="8"/>
      <c r="F594" s="8"/>
      <c r="G594" s="334"/>
      <c r="H594" s="1"/>
      <c r="I594" s="212"/>
      <c r="J594" s="212"/>
      <c r="K594" s="335"/>
      <c r="L594" s="335"/>
      <c r="M594" s="335"/>
      <c r="N594" s="335"/>
      <c r="O594" s="335"/>
      <c r="P594" s="335"/>
      <c r="Q594" s="1"/>
      <c r="R594" s="1"/>
      <c r="S594" s="1"/>
      <c r="T594" s="1"/>
      <c r="U594" s="1"/>
      <c r="Y594" s="1"/>
    </row>
    <row r="595" ht="12.75" customHeight="1">
      <c r="A595" s="8"/>
      <c r="B595" s="8"/>
      <c r="C595" s="8"/>
      <c r="D595" s="8"/>
      <c r="E595" s="8"/>
      <c r="F595" s="8"/>
      <c r="G595" s="334"/>
      <c r="H595" s="1"/>
      <c r="I595" s="212"/>
      <c r="J595" s="212"/>
      <c r="K595" s="335"/>
      <c r="L595" s="335"/>
      <c r="M595" s="335"/>
      <c r="N595" s="335"/>
      <c r="O595" s="335"/>
      <c r="P595" s="335"/>
      <c r="Q595" s="1"/>
      <c r="R595" s="1"/>
      <c r="S595" s="1"/>
      <c r="T595" s="1"/>
      <c r="U595" s="1"/>
      <c r="Y595" s="1"/>
    </row>
    <row r="596" ht="12.75" customHeight="1">
      <c r="A596" s="8"/>
      <c r="B596" s="8"/>
      <c r="C596" s="8"/>
      <c r="D596" s="8"/>
      <c r="E596" s="8"/>
      <c r="F596" s="8"/>
      <c r="G596" s="334"/>
      <c r="H596" s="1"/>
      <c r="I596" s="212"/>
      <c r="J596" s="212"/>
      <c r="K596" s="335"/>
      <c r="L596" s="335"/>
      <c r="M596" s="335"/>
      <c r="N596" s="335"/>
      <c r="O596" s="335"/>
      <c r="P596" s="335"/>
      <c r="Q596" s="1"/>
      <c r="R596" s="1"/>
      <c r="S596" s="1"/>
      <c r="T596" s="1"/>
      <c r="U596" s="1"/>
      <c r="Y596" s="1"/>
    </row>
    <row r="597" ht="12.75" customHeight="1">
      <c r="A597" s="8"/>
      <c r="B597" s="8"/>
      <c r="C597" s="8"/>
      <c r="D597" s="8"/>
      <c r="E597" s="8"/>
      <c r="F597" s="8"/>
      <c r="G597" s="334"/>
      <c r="H597" s="1"/>
      <c r="I597" s="212"/>
      <c r="J597" s="212"/>
      <c r="K597" s="335"/>
      <c r="L597" s="335"/>
      <c r="M597" s="335"/>
      <c r="N597" s="335"/>
      <c r="O597" s="335"/>
      <c r="P597" s="335"/>
      <c r="Q597" s="1"/>
      <c r="R597" s="1"/>
      <c r="S597" s="1"/>
      <c r="T597" s="1"/>
      <c r="U597" s="1"/>
      <c r="Y597" s="1"/>
    </row>
    <row r="598" ht="12.75" customHeight="1">
      <c r="A598" s="8"/>
      <c r="B598" s="8"/>
      <c r="C598" s="8"/>
      <c r="D598" s="8"/>
      <c r="E598" s="8"/>
      <c r="F598" s="8"/>
      <c r="G598" s="334"/>
      <c r="H598" s="1"/>
      <c r="I598" s="212"/>
      <c r="J598" s="212"/>
      <c r="K598" s="335"/>
      <c r="L598" s="335"/>
      <c r="M598" s="335"/>
      <c r="N598" s="335"/>
      <c r="O598" s="335"/>
      <c r="P598" s="335"/>
      <c r="Q598" s="1"/>
      <c r="R598" s="1"/>
      <c r="S598" s="1"/>
      <c r="T598" s="1"/>
      <c r="U598" s="1"/>
      <c r="Y598" s="1"/>
    </row>
    <row r="599" ht="12.75" customHeight="1">
      <c r="A599" s="8"/>
      <c r="B599" s="8"/>
      <c r="C599" s="8"/>
      <c r="D599" s="8"/>
      <c r="E599" s="8"/>
      <c r="F599" s="8"/>
      <c r="G599" s="334"/>
      <c r="H599" s="1"/>
      <c r="I599" s="212"/>
      <c r="J599" s="212"/>
      <c r="K599" s="335"/>
      <c r="L599" s="335"/>
      <c r="M599" s="335"/>
      <c r="N599" s="335"/>
      <c r="O599" s="335"/>
      <c r="P599" s="335"/>
      <c r="Q599" s="1"/>
      <c r="R599" s="1"/>
      <c r="S599" s="1"/>
      <c r="T599" s="1"/>
      <c r="U599" s="1"/>
      <c r="Y599" s="1"/>
    </row>
    <row r="600" ht="12.75" customHeight="1">
      <c r="A600" s="8"/>
      <c r="B600" s="8"/>
      <c r="C600" s="8"/>
      <c r="D600" s="8"/>
      <c r="E600" s="8"/>
      <c r="F600" s="8"/>
      <c r="G600" s="334"/>
      <c r="H600" s="1"/>
      <c r="I600" s="212"/>
      <c r="J600" s="212"/>
      <c r="K600" s="335"/>
      <c r="L600" s="335"/>
      <c r="M600" s="335"/>
      <c r="N600" s="335"/>
      <c r="O600" s="335"/>
      <c r="P600" s="335"/>
      <c r="Q600" s="1"/>
      <c r="R600" s="1"/>
      <c r="S600" s="1"/>
      <c r="T600" s="1"/>
      <c r="U600" s="1"/>
      <c r="Y600" s="1"/>
    </row>
    <row r="601" ht="12.75" customHeight="1">
      <c r="A601" s="8"/>
      <c r="B601" s="8"/>
      <c r="C601" s="8"/>
      <c r="D601" s="8"/>
      <c r="E601" s="8"/>
      <c r="F601" s="8"/>
      <c r="G601" s="334"/>
      <c r="H601" s="1"/>
      <c r="I601" s="212"/>
      <c r="J601" s="212"/>
      <c r="K601" s="335"/>
      <c r="L601" s="335"/>
      <c r="M601" s="335"/>
      <c r="N601" s="335"/>
      <c r="O601" s="335"/>
      <c r="P601" s="335"/>
      <c r="Q601" s="1"/>
      <c r="R601" s="1"/>
      <c r="S601" s="1"/>
      <c r="T601" s="1"/>
      <c r="U601" s="1"/>
      <c r="Y601" s="1"/>
    </row>
    <row r="602" ht="12.75" customHeight="1">
      <c r="A602" s="8"/>
      <c r="B602" s="8"/>
      <c r="C602" s="8"/>
      <c r="D602" s="8"/>
      <c r="E602" s="8"/>
      <c r="F602" s="8"/>
      <c r="G602" s="334"/>
      <c r="H602" s="1"/>
      <c r="I602" s="212"/>
      <c r="J602" s="212"/>
      <c r="K602" s="335"/>
      <c r="L602" s="335"/>
      <c r="M602" s="335"/>
      <c r="N602" s="335"/>
      <c r="O602" s="335"/>
      <c r="P602" s="335"/>
      <c r="Q602" s="1"/>
      <c r="R602" s="1"/>
      <c r="S602" s="1"/>
      <c r="T602" s="1"/>
      <c r="U602" s="1"/>
      <c r="Y602" s="1"/>
    </row>
    <row r="603" ht="12.75" customHeight="1">
      <c r="A603" s="8"/>
      <c r="B603" s="8"/>
      <c r="C603" s="8"/>
      <c r="D603" s="8"/>
      <c r="E603" s="8"/>
      <c r="F603" s="8"/>
      <c r="G603" s="334"/>
      <c r="H603" s="1"/>
      <c r="I603" s="212"/>
      <c r="J603" s="212"/>
      <c r="K603" s="335"/>
      <c r="L603" s="335"/>
      <c r="M603" s="335"/>
      <c r="N603" s="335"/>
      <c r="O603" s="335"/>
      <c r="P603" s="335"/>
      <c r="Q603" s="1"/>
      <c r="R603" s="1"/>
      <c r="S603" s="1"/>
      <c r="T603" s="1"/>
      <c r="U603" s="1"/>
      <c r="Y603" s="1"/>
    </row>
    <row r="604" ht="12.75" customHeight="1">
      <c r="A604" s="8"/>
      <c r="B604" s="8"/>
      <c r="C604" s="8"/>
      <c r="D604" s="8"/>
      <c r="E604" s="8"/>
      <c r="F604" s="8"/>
      <c r="G604" s="334"/>
      <c r="H604" s="1"/>
      <c r="I604" s="212"/>
      <c r="J604" s="212"/>
      <c r="K604" s="335"/>
      <c r="L604" s="335"/>
      <c r="M604" s="335"/>
      <c r="N604" s="335"/>
      <c r="O604" s="335"/>
      <c r="P604" s="335"/>
      <c r="Q604" s="1"/>
      <c r="R604" s="1"/>
      <c r="S604" s="1"/>
      <c r="T604" s="1"/>
      <c r="U604" s="1"/>
      <c r="Y604" s="1"/>
    </row>
    <row r="605" ht="12.75" customHeight="1">
      <c r="A605" s="8"/>
      <c r="B605" s="8"/>
      <c r="C605" s="8"/>
      <c r="D605" s="8"/>
      <c r="E605" s="8"/>
      <c r="F605" s="8"/>
      <c r="G605" s="334"/>
      <c r="H605" s="1"/>
      <c r="I605" s="212"/>
      <c r="J605" s="212"/>
      <c r="K605" s="335"/>
      <c r="L605" s="335"/>
      <c r="M605" s="335"/>
      <c r="N605" s="335"/>
      <c r="O605" s="335"/>
      <c r="P605" s="335"/>
      <c r="Q605" s="1"/>
      <c r="R605" s="1"/>
      <c r="S605" s="1"/>
      <c r="T605" s="1"/>
      <c r="U605" s="1"/>
      <c r="Y605" s="1"/>
    </row>
    <row r="606" ht="12.75" customHeight="1">
      <c r="A606" s="8"/>
      <c r="B606" s="8"/>
      <c r="C606" s="8"/>
      <c r="D606" s="8"/>
      <c r="E606" s="8"/>
      <c r="F606" s="8"/>
      <c r="G606" s="334"/>
      <c r="H606" s="1"/>
      <c r="I606" s="212"/>
      <c r="J606" s="212"/>
      <c r="K606" s="335"/>
      <c r="L606" s="335"/>
      <c r="M606" s="335"/>
      <c r="N606" s="335"/>
      <c r="O606" s="335"/>
      <c r="P606" s="335"/>
      <c r="Q606" s="1"/>
      <c r="R606" s="1"/>
      <c r="S606" s="1"/>
      <c r="T606" s="1"/>
      <c r="U606" s="1"/>
      <c r="Y606" s="1"/>
    </row>
    <row r="607" ht="12.75" customHeight="1">
      <c r="A607" s="8"/>
      <c r="B607" s="8"/>
      <c r="C607" s="8"/>
      <c r="D607" s="8"/>
      <c r="E607" s="8"/>
      <c r="F607" s="8"/>
      <c r="G607" s="334"/>
      <c r="H607" s="1"/>
      <c r="I607" s="212"/>
      <c r="J607" s="212"/>
      <c r="K607" s="335"/>
      <c r="L607" s="335"/>
      <c r="M607" s="335"/>
      <c r="N607" s="335"/>
      <c r="O607" s="335"/>
      <c r="P607" s="335"/>
      <c r="Q607" s="1"/>
      <c r="R607" s="1"/>
      <c r="S607" s="1"/>
      <c r="T607" s="1"/>
      <c r="U607" s="1"/>
      <c r="Y607" s="1"/>
    </row>
    <row r="608" ht="12.75" customHeight="1">
      <c r="A608" s="8"/>
      <c r="B608" s="8"/>
      <c r="C608" s="8"/>
      <c r="D608" s="8"/>
      <c r="E608" s="8"/>
      <c r="F608" s="8"/>
      <c r="G608" s="334"/>
      <c r="H608" s="1"/>
      <c r="I608" s="212"/>
      <c r="J608" s="212"/>
      <c r="K608" s="335"/>
      <c r="L608" s="335"/>
      <c r="M608" s="335"/>
      <c r="N608" s="335"/>
      <c r="O608" s="335"/>
      <c r="P608" s="335"/>
      <c r="Q608" s="1"/>
      <c r="R608" s="1"/>
      <c r="S608" s="1"/>
      <c r="T608" s="1"/>
      <c r="U608" s="1"/>
      <c r="Y608" s="1"/>
    </row>
    <row r="609" ht="12.75" customHeight="1">
      <c r="A609" s="8"/>
      <c r="B609" s="8"/>
      <c r="C609" s="8"/>
      <c r="D609" s="8"/>
      <c r="E609" s="8"/>
      <c r="F609" s="8"/>
      <c r="G609" s="334"/>
      <c r="H609" s="1"/>
      <c r="I609" s="212"/>
      <c r="J609" s="212"/>
      <c r="K609" s="335"/>
      <c r="L609" s="335"/>
      <c r="M609" s="335"/>
      <c r="N609" s="335"/>
      <c r="O609" s="335"/>
      <c r="P609" s="335"/>
      <c r="Q609" s="1"/>
      <c r="R609" s="1"/>
      <c r="S609" s="1"/>
      <c r="T609" s="1"/>
      <c r="U609" s="1"/>
      <c r="Y609" s="1"/>
    </row>
    <row r="610" ht="12.75" customHeight="1">
      <c r="A610" s="8"/>
      <c r="B610" s="8"/>
      <c r="C610" s="8"/>
      <c r="D610" s="8"/>
      <c r="E610" s="8"/>
      <c r="F610" s="8"/>
      <c r="G610" s="334"/>
      <c r="H610" s="1"/>
      <c r="I610" s="212"/>
      <c r="J610" s="212"/>
      <c r="K610" s="335"/>
      <c r="L610" s="335"/>
      <c r="M610" s="335"/>
      <c r="N610" s="335"/>
      <c r="O610" s="335"/>
      <c r="P610" s="335"/>
      <c r="Q610" s="1"/>
      <c r="R610" s="1"/>
      <c r="S610" s="1"/>
      <c r="T610" s="1"/>
      <c r="U610" s="1"/>
      <c r="Y610" s="1"/>
    </row>
    <row r="611" ht="12.75" customHeight="1">
      <c r="A611" s="8"/>
      <c r="B611" s="8"/>
      <c r="C611" s="8"/>
      <c r="D611" s="8"/>
      <c r="E611" s="8"/>
      <c r="F611" s="8"/>
      <c r="G611" s="334"/>
      <c r="H611" s="1"/>
      <c r="I611" s="212"/>
      <c r="J611" s="212"/>
      <c r="K611" s="335"/>
      <c r="L611" s="335"/>
      <c r="M611" s="335"/>
      <c r="N611" s="335"/>
      <c r="O611" s="335"/>
      <c r="P611" s="335"/>
      <c r="Q611" s="1"/>
      <c r="R611" s="1"/>
      <c r="S611" s="1"/>
      <c r="T611" s="1"/>
      <c r="U611" s="1"/>
      <c r="Y611" s="1"/>
    </row>
    <row r="612" ht="12.75" customHeight="1">
      <c r="A612" s="8"/>
      <c r="B612" s="8"/>
      <c r="C612" s="8"/>
      <c r="D612" s="8"/>
      <c r="E612" s="8"/>
      <c r="F612" s="8"/>
      <c r="G612" s="334"/>
      <c r="H612" s="1"/>
      <c r="I612" s="212"/>
      <c r="J612" s="212"/>
      <c r="K612" s="335"/>
      <c r="L612" s="335"/>
      <c r="M612" s="335"/>
      <c r="N612" s="335"/>
      <c r="O612" s="335"/>
      <c r="P612" s="335"/>
      <c r="Q612" s="1"/>
      <c r="R612" s="1"/>
      <c r="S612" s="1"/>
      <c r="T612" s="1"/>
      <c r="U612" s="1"/>
      <c r="Y612" s="1"/>
    </row>
    <row r="613" ht="12.75" customHeight="1">
      <c r="A613" s="8"/>
      <c r="B613" s="8"/>
      <c r="C613" s="8"/>
      <c r="D613" s="8"/>
      <c r="E613" s="8"/>
      <c r="F613" s="8"/>
      <c r="G613" s="334"/>
      <c r="H613" s="1"/>
      <c r="I613" s="212"/>
      <c r="J613" s="212"/>
      <c r="K613" s="335"/>
      <c r="L613" s="335"/>
      <c r="M613" s="335"/>
      <c r="N613" s="335"/>
      <c r="O613" s="335"/>
      <c r="P613" s="335"/>
      <c r="Q613" s="1"/>
      <c r="R613" s="1"/>
      <c r="S613" s="1"/>
      <c r="T613" s="1"/>
      <c r="U613" s="1"/>
      <c r="Y613" s="1"/>
    </row>
    <row r="614" ht="12.75" customHeight="1">
      <c r="A614" s="8"/>
      <c r="B614" s="8"/>
      <c r="C614" s="8"/>
      <c r="D614" s="8"/>
      <c r="E614" s="8"/>
      <c r="F614" s="8"/>
      <c r="G614" s="334"/>
      <c r="H614" s="1"/>
      <c r="I614" s="212"/>
      <c r="J614" s="212"/>
      <c r="K614" s="335"/>
      <c r="L614" s="335"/>
      <c r="M614" s="335"/>
      <c r="N614" s="335"/>
      <c r="O614" s="335"/>
      <c r="P614" s="335"/>
      <c r="Q614" s="1"/>
      <c r="R614" s="1"/>
      <c r="S614" s="1"/>
      <c r="T614" s="1"/>
      <c r="U614" s="1"/>
      <c r="Y614" s="1"/>
    </row>
    <row r="615" ht="12.75" customHeight="1">
      <c r="A615" s="8"/>
      <c r="B615" s="8"/>
      <c r="C615" s="8"/>
      <c r="D615" s="8"/>
      <c r="E615" s="8"/>
      <c r="F615" s="8"/>
      <c r="G615" s="334"/>
      <c r="H615" s="1"/>
      <c r="I615" s="212"/>
      <c r="J615" s="212"/>
      <c r="K615" s="335"/>
      <c r="L615" s="335"/>
      <c r="M615" s="335"/>
      <c r="N615" s="335"/>
      <c r="O615" s="335"/>
      <c r="P615" s="335"/>
      <c r="Q615" s="1"/>
      <c r="R615" s="1"/>
      <c r="S615" s="1"/>
      <c r="T615" s="1"/>
      <c r="U615" s="1"/>
      <c r="Y615" s="1"/>
    </row>
    <row r="616" ht="12.75" customHeight="1">
      <c r="A616" s="8"/>
      <c r="B616" s="8"/>
      <c r="C616" s="8"/>
      <c r="D616" s="8"/>
      <c r="E616" s="8"/>
      <c r="F616" s="8"/>
      <c r="G616" s="334"/>
      <c r="H616" s="1"/>
      <c r="I616" s="212"/>
      <c r="J616" s="212"/>
      <c r="K616" s="335"/>
      <c r="L616" s="335"/>
      <c r="M616" s="335"/>
      <c r="N616" s="335"/>
      <c r="O616" s="335"/>
      <c r="P616" s="335"/>
      <c r="Q616" s="1"/>
      <c r="R616" s="1"/>
      <c r="S616" s="1"/>
      <c r="T616" s="1"/>
      <c r="U616" s="1"/>
      <c r="Y616" s="1"/>
    </row>
    <row r="617" ht="12.75" customHeight="1">
      <c r="A617" s="8"/>
      <c r="B617" s="8"/>
      <c r="C617" s="8"/>
      <c r="D617" s="8"/>
      <c r="E617" s="8"/>
      <c r="F617" s="8"/>
      <c r="G617" s="334"/>
      <c r="H617" s="1"/>
      <c r="I617" s="212"/>
      <c r="J617" s="212"/>
      <c r="K617" s="335"/>
      <c r="L617" s="335"/>
      <c r="M617" s="335"/>
      <c r="N617" s="335"/>
      <c r="O617" s="335"/>
      <c r="P617" s="335"/>
      <c r="Q617" s="1"/>
      <c r="R617" s="1"/>
      <c r="S617" s="1"/>
      <c r="T617" s="1"/>
      <c r="U617" s="1"/>
      <c r="Y617" s="1"/>
    </row>
    <row r="618" ht="12.75" customHeight="1">
      <c r="A618" s="8"/>
      <c r="B618" s="8"/>
      <c r="C618" s="8"/>
      <c r="D618" s="8"/>
      <c r="E618" s="8"/>
      <c r="F618" s="8"/>
      <c r="G618" s="334"/>
      <c r="H618" s="1"/>
      <c r="I618" s="212"/>
      <c r="J618" s="212"/>
      <c r="K618" s="335"/>
      <c r="L618" s="335"/>
      <c r="M618" s="335"/>
      <c r="N618" s="335"/>
      <c r="O618" s="335"/>
      <c r="P618" s="335"/>
      <c r="Q618" s="1"/>
      <c r="R618" s="1"/>
      <c r="S618" s="1"/>
      <c r="T618" s="1"/>
      <c r="U618" s="1"/>
      <c r="Y618" s="1"/>
    </row>
    <row r="619" ht="12.75" customHeight="1">
      <c r="A619" s="8"/>
      <c r="B619" s="8"/>
      <c r="C619" s="8"/>
      <c r="D619" s="8"/>
      <c r="E619" s="8"/>
      <c r="F619" s="8"/>
      <c r="G619" s="334"/>
      <c r="H619" s="1"/>
      <c r="I619" s="212"/>
      <c r="J619" s="212"/>
      <c r="K619" s="335"/>
      <c r="L619" s="335"/>
      <c r="M619" s="335"/>
      <c r="N619" s="335"/>
      <c r="O619" s="335"/>
      <c r="P619" s="335"/>
      <c r="Q619" s="1"/>
      <c r="R619" s="1"/>
      <c r="S619" s="1"/>
      <c r="T619" s="1"/>
      <c r="U619" s="1"/>
      <c r="Y619" s="1"/>
    </row>
    <row r="620" ht="12.75" customHeight="1">
      <c r="A620" s="8"/>
      <c r="B620" s="8"/>
      <c r="C620" s="8"/>
      <c r="D620" s="8"/>
      <c r="E620" s="8"/>
      <c r="F620" s="8"/>
      <c r="G620" s="334"/>
      <c r="H620" s="1"/>
      <c r="I620" s="212"/>
      <c r="J620" s="212"/>
      <c r="K620" s="335"/>
      <c r="L620" s="335"/>
      <c r="M620" s="335"/>
      <c r="N620" s="335"/>
      <c r="O620" s="335"/>
      <c r="P620" s="335"/>
      <c r="Q620" s="1"/>
      <c r="R620" s="1"/>
      <c r="S620" s="1"/>
      <c r="T620" s="1"/>
      <c r="U620" s="1"/>
      <c r="Y620" s="1"/>
    </row>
    <row r="621" ht="12.75" customHeight="1">
      <c r="A621" s="8"/>
      <c r="B621" s="8"/>
      <c r="C621" s="8"/>
      <c r="D621" s="8"/>
      <c r="E621" s="8"/>
      <c r="F621" s="8"/>
      <c r="G621" s="334"/>
      <c r="H621" s="1"/>
      <c r="I621" s="212"/>
      <c r="J621" s="212"/>
      <c r="K621" s="335"/>
      <c r="L621" s="335"/>
      <c r="M621" s="335"/>
      <c r="N621" s="335"/>
      <c r="O621" s="335"/>
      <c r="P621" s="335"/>
      <c r="Q621" s="1"/>
      <c r="R621" s="1"/>
      <c r="S621" s="1"/>
      <c r="T621" s="1"/>
      <c r="U621" s="1"/>
      <c r="Y621" s="1"/>
    </row>
    <row r="622" ht="12.75" customHeight="1">
      <c r="A622" s="8"/>
      <c r="B622" s="8"/>
      <c r="C622" s="8"/>
      <c r="D622" s="8"/>
      <c r="E622" s="8"/>
      <c r="F622" s="8"/>
      <c r="G622" s="334"/>
      <c r="H622" s="1"/>
      <c r="I622" s="212"/>
      <c r="J622" s="212"/>
      <c r="K622" s="335"/>
      <c r="L622" s="335"/>
      <c r="M622" s="335"/>
      <c r="N622" s="335"/>
      <c r="O622" s="335"/>
      <c r="P622" s="335"/>
      <c r="Q622" s="1"/>
      <c r="R622" s="1"/>
      <c r="S622" s="1"/>
      <c r="T622" s="1"/>
      <c r="U622" s="1"/>
      <c r="Y622" s="1"/>
    </row>
    <row r="623" ht="12.75" customHeight="1">
      <c r="A623" s="8"/>
      <c r="B623" s="8"/>
      <c r="C623" s="8"/>
      <c r="D623" s="8"/>
      <c r="E623" s="8"/>
      <c r="F623" s="8"/>
      <c r="G623" s="334"/>
      <c r="H623" s="1"/>
      <c r="I623" s="212"/>
      <c r="J623" s="212"/>
      <c r="K623" s="335"/>
      <c r="L623" s="335"/>
      <c r="M623" s="335"/>
      <c r="N623" s="335"/>
      <c r="O623" s="335"/>
      <c r="P623" s="335"/>
      <c r="Q623" s="1"/>
      <c r="R623" s="1"/>
      <c r="S623" s="1"/>
      <c r="T623" s="1"/>
      <c r="U623" s="1"/>
      <c r="Y623" s="1"/>
    </row>
    <row r="624" ht="12.75" customHeight="1">
      <c r="A624" s="8"/>
      <c r="B624" s="8"/>
      <c r="C624" s="8"/>
      <c r="D624" s="8"/>
      <c r="E624" s="8"/>
      <c r="F624" s="8"/>
      <c r="G624" s="334"/>
      <c r="H624" s="1"/>
      <c r="I624" s="212"/>
      <c r="J624" s="212"/>
      <c r="K624" s="335"/>
      <c r="L624" s="335"/>
      <c r="M624" s="335"/>
      <c r="N624" s="335"/>
      <c r="O624" s="335"/>
      <c r="P624" s="335"/>
      <c r="Q624" s="1"/>
      <c r="R624" s="1"/>
      <c r="S624" s="1"/>
      <c r="T624" s="1"/>
      <c r="U624" s="1"/>
      <c r="Y624" s="1"/>
    </row>
    <row r="625" ht="12.75" customHeight="1">
      <c r="A625" s="8"/>
      <c r="B625" s="8"/>
      <c r="C625" s="8"/>
      <c r="D625" s="8"/>
      <c r="E625" s="8"/>
      <c r="F625" s="8"/>
      <c r="G625" s="334"/>
      <c r="H625" s="1"/>
      <c r="I625" s="212"/>
      <c r="J625" s="212"/>
      <c r="K625" s="335"/>
      <c r="L625" s="335"/>
      <c r="M625" s="335"/>
      <c r="N625" s="335"/>
      <c r="O625" s="335"/>
      <c r="P625" s="335"/>
      <c r="Q625" s="1"/>
      <c r="R625" s="1"/>
      <c r="S625" s="1"/>
      <c r="T625" s="1"/>
      <c r="U625" s="1"/>
      <c r="Y625" s="1"/>
    </row>
    <row r="626" ht="12.75" customHeight="1">
      <c r="A626" s="8"/>
      <c r="B626" s="8"/>
      <c r="C626" s="8"/>
      <c r="D626" s="8"/>
      <c r="E626" s="8"/>
      <c r="F626" s="8"/>
      <c r="G626" s="334"/>
      <c r="H626" s="1"/>
      <c r="I626" s="212"/>
      <c r="J626" s="212"/>
      <c r="K626" s="335"/>
      <c r="L626" s="335"/>
      <c r="M626" s="335"/>
      <c r="N626" s="335"/>
      <c r="O626" s="335"/>
      <c r="P626" s="335"/>
      <c r="Q626" s="1"/>
      <c r="R626" s="1"/>
      <c r="S626" s="1"/>
      <c r="T626" s="1"/>
      <c r="U626" s="1"/>
      <c r="Y626" s="1"/>
    </row>
    <row r="627" ht="12.75" customHeight="1">
      <c r="A627" s="8"/>
      <c r="B627" s="8"/>
      <c r="C627" s="8"/>
      <c r="D627" s="8"/>
      <c r="E627" s="8"/>
      <c r="F627" s="8"/>
      <c r="G627" s="334"/>
      <c r="H627" s="1"/>
      <c r="I627" s="212"/>
      <c r="J627" s="212"/>
      <c r="K627" s="335"/>
      <c r="L627" s="335"/>
      <c r="M627" s="335"/>
      <c r="N627" s="335"/>
      <c r="O627" s="335"/>
      <c r="P627" s="335"/>
      <c r="Q627" s="1"/>
      <c r="R627" s="1"/>
      <c r="S627" s="1"/>
      <c r="T627" s="1"/>
      <c r="U627" s="1"/>
      <c r="Y627" s="1"/>
    </row>
    <row r="628" ht="12.75" customHeight="1">
      <c r="A628" s="8"/>
      <c r="B628" s="8"/>
      <c r="C628" s="8"/>
      <c r="D628" s="8"/>
      <c r="E628" s="8"/>
      <c r="F628" s="8"/>
      <c r="G628" s="334"/>
      <c r="H628" s="1"/>
      <c r="I628" s="212"/>
      <c r="J628" s="212"/>
      <c r="K628" s="335"/>
      <c r="L628" s="335"/>
      <c r="M628" s="335"/>
      <c r="N628" s="335"/>
      <c r="O628" s="335"/>
      <c r="P628" s="335"/>
      <c r="Q628" s="1"/>
      <c r="R628" s="1"/>
      <c r="S628" s="1"/>
      <c r="T628" s="1"/>
      <c r="U628" s="1"/>
      <c r="Y628" s="1"/>
    </row>
    <row r="629" ht="12.75" customHeight="1">
      <c r="A629" s="8"/>
      <c r="B629" s="8"/>
      <c r="C629" s="8"/>
      <c r="D629" s="8"/>
      <c r="E629" s="8"/>
      <c r="F629" s="8"/>
      <c r="G629" s="334"/>
      <c r="H629" s="1"/>
      <c r="I629" s="212"/>
      <c r="J629" s="212"/>
      <c r="K629" s="335"/>
      <c r="L629" s="335"/>
      <c r="M629" s="335"/>
      <c r="N629" s="335"/>
      <c r="O629" s="335"/>
      <c r="P629" s="335"/>
      <c r="Q629" s="1"/>
      <c r="R629" s="1"/>
      <c r="S629" s="1"/>
      <c r="T629" s="1"/>
      <c r="U629" s="1"/>
      <c r="Y629" s="1"/>
    </row>
    <row r="630" ht="12.75" customHeight="1">
      <c r="A630" s="8"/>
      <c r="B630" s="8"/>
      <c r="C630" s="8"/>
      <c r="D630" s="8"/>
      <c r="E630" s="8"/>
      <c r="F630" s="8"/>
      <c r="G630" s="334"/>
      <c r="H630" s="1"/>
      <c r="I630" s="212"/>
      <c r="J630" s="212"/>
      <c r="K630" s="335"/>
      <c r="L630" s="335"/>
      <c r="M630" s="335"/>
      <c r="N630" s="335"/>
      <c r="O630" s="335"/>
      <c r="P630" s="335"/>
      <c r="Q630" s="1"/>
      <c r="R630" s="1"/>
      <c r="S630" s="1"/>
      <c r="T630" s="1"/>
      <c r="U630" s="1"/>
      <c r="Y630" s="1"/>
    </row>
    <row r="631" ht="12.75" customHeight="1">
      <c r="A631" s="8"/>
      <c r="B631" s="8"/>
      <c r="C631" s="8"/>
      <c r="D631" s="8"/>
      <c r="E631" s="8"/>
      <c r="F631" s="8"/>
      <c r="G631" s="334"/>
      <c r="H631" s="1"/>
      <c r="I631" s="212"/>
      <c r="J631" s="212"/>
      <c r="K631" s="335"/>
      <c r="L631" s="335"/>
      <c r="M631" s="335"/>
      <c r="N631" s="335"/>
      <c r="O631" s="335"/>
      <c r="P631" s="335"/>
      <c r="Q631" s="1"/>
      <c r="R631" s="1"/>
      <c r="S631" s="1"/>
      <c r="T631" s="1"/>
      <c r="U631" s="1"/>
      <c r="Y631" s="1"/>
    </row>
    <row r="632" ht="12.75" customHeight="1">
      <c r="A632" s="8"/>
      <c r="B632" s="8"/>
      <c r="C632" s="8"/>
      <c r="D632" s="8"/>
      <c r="E632" s="8"/>
      <c r="F632" s="8"/>
      <c r="G632" s="334"/>
      <c r="H632" s="1"/>
      <c r="I632" s="212"/>
      <c r="J632" s="212"/>
      <c r="K632" s="335"/>
      <c r="L632" s="335"/>
      <c r="M632" s="335"/>
      <c r="N632" s="335"/>
      <c r="O632" s="335"/>
      <c r="P632" s="335"/>
      <c r="Q632" s="1"/>
      <c r="R632" s="1"/>
      <c r="S632" s="1"/>
      <c r="T632" s="1"/>
      <c r="U632" s="1"/>
      <c r="Y632" s="1"/>
    </row>
    <row r="633" ht="12.75" customHeight="1">
      <c r="A633" s="8"/>
      <c r="B633" s="8"/>
      <c r="C633" s="8"/>
      <c r="D633" s="8"/>
      <c r="E633" s="8"/>
      <c r="F633" s="8"/>
      <c r="G633" s="334"/>
      <c r="H633" s="1"/>
      <c r="I633" s="212"/>
      <c r="J633" s="212"/>
      <c r="K633" s="335"/>
      <c r="L633" s="335"/>
      <c r="M633" s="335"/>
      <c r="N633" s="335"/>
      <c r="O633" s="335"/>
      <c r="P633" s="335"/>
      <c r="Q633" s="1"/>
      <c r="R633" s="1"/>
      <c r="S633" s="1"/>
      <c r="T633" s="1"/>
      <c r="U633" s="1"/>
      <c r="Y633" s="1"/>
    </row>
    <row r="634" ht="12.75" customHeight="1">
      <c r="A634" s="8"/>
      <c r="B634" s="8"/>
      <c r="C634" s="8"/>
      <c r="D634" s="8"/>
      <c r="E634" s="8"/>
      <c r="F634" s="8"/>
      <c r="G634" s="334"/>
      <c r="H634" s="1"/>
      <c r="I634" s="212"/>
      <c r="J634" s="212"/>
      <c r="K634" s="335"/>
      <c r="L634" s="335"/>
      <c r="M634" s="335"/>
      <c r="N634" s="335"/>
      <c r="O634" s="335"/>
      <c r="P634" s="335"/>
      <c r="Q634" s="1"/>
      <c r="R634" s="1"/>
      <c r="S634" s="1"/>
      <c r="T634" s="1"/>
      <c r="U634" s="1"/>
      <c r="Y634" s="1"/>
    </row>
    <row r="635" ht="12.75" customHeight="1">
      <c r="A635" s="8"/>
      <c r="B635" s="8"/>
      <c r="C635" s="8"/>
      <c r="D635" s="8"/>
      <c r="E635" s="8"/>
      <c r="F635" s="8"/>
      <c r="G635" s="334"/>
      <c r="H635" s="1"/>
      <c r="I635" s="212"/>
      <c r="J635" s="212"/>
      <c r="K635" s="335"/>
      <c r="L635" s="335"/>
      <c r="M635" s="335"/>
      <c r="N635" s="335"/>
      <c r="O635" s="335"/>
      <c r="P635" s="335"/>
      <c r="Q635" s="1"/>
      <c r="R635" s="1"/>
      <c r="S635" s="1"/>
      <c r="T635" s="1"/>
      <c r="U635" s="1"/>
      <c r="Y635" s="1"/>
    </row>
    <row r="636" ht="12.75" customHeight="1">
      <c r="A636" s="8"/>
      <c r="B636" s="8"/>
      <c r="C636" s="8"/>
      <c r="D636" s="8"/>
      <c r="E636" s="8"/>
      <c r="F636" s="8"/>
      <c r="G636" s="334"/>
      <c r="H636" s="1"/>
      <c r="I636" s="212"/>
      <c r="J636" s="212"/>
      <c r="K636" s="335"/>
      <c r="L636" s="335"/>
      <c r="M636" s="335"/>
      <c r="N636" s="335"/>
      <c r="O636" s="335"/>
      <c r="P636" s="335"/>
      <c r="Q636" s="1"/>
      <c r="R636" s="1"/>
      <c r="S636" s="1"/>
      <c r="T636" s="1"/>
      <c r="U636" s="1"/>
      <c r="Y636" s="1"/>
    </row>
    <row r="637" ht="12.75" customHeight="1">
      <c r="A637" s="8"/>
      <c r="B637" s="8"/>
      <c r="C637" s="8"/>
      <c r="D637" s="8"/>
      <c r="E637" s="8"/>
      <c r="F637" s="8"/>
      <c r="G637" s="334"/>
      <c r="H637" s="1"/>
      <c r="I637" s="212"/>
      <c r="J637" s="212"/>
      <c r="K637" s="335"/>
      <c r="L637" s="335"/>
      <c r="M637" s="335"/>
      <c r="N637" s="335"/>
      <c r="O637" s="335"/>
      <c r="P637" s="335"/>
      <c r="Q637" s="1"/>
      <c r="R637" s="1"/>
      <c r="S637" s="1"/>
      <c r="T637" s="1"/>
      <c r="U637" s="1"/>
      <c r="Y637" s="1"/>
    </row>
    <row r="638" ht="12.75" customHeight="1">
      <c r="A638" s="8"/>
      <c r="B638" s="8"/>
      <c r="C638" s="8"/>
      <c r="D638" s="8"/>
      <c r="E638" s="8"/>
      <c r="F638" s="8"/>
      <c r="G638" s="334"/>
      <c r="H638" s="1"/>
      <c r="I638" s="212"/>
      <c r="J638" s="212"/>
      <c r="K638" s="335"/>
      <c r="L638" s="335"/>
      <c r="M638" s="335"/>
      <c r="N638" s="335"/>
      <c r="O638" s="335"/>
      <c r="P638" s="335"/>
      <c r="Q638" s="1"/>
      <c r="R638" s="1"/>
      <c r="S638" s="1"/>
      <c r="T638" s="1"/>
      <c r="U638" s="1"/>
      <c r="Y638" s="1"/>
    </row>
    <row r="639" ht="12.75" customHeight="1">
      <c r="A639" s="8"/>
      <c r="B639" s="8"/>
      <c r="C639" s="8"/>
      <c r="D639" s="8"/>
      <c r="E639" s="8"/>
      <c r="F639" s="8"/>
      <c r="G639" s="334"/>
      <c r="H639" s="1"/>
      <c r="I639" s="212"/>
      <c r="J639" s="212"/>
      <c r="K639" s="335"/>
      <c r="L639" s="335"/>
      <c r="M639" s="335"/>
      <c r="N639" s="335"/>
      <c r="O639" s="335"/>
      <c r="P639" s="335"/>
      <c r="Q639" s="1"/>
      <c r="R639" s="1"/>
      <c r="S639" s="1"/>
      <c r="T639" s="1"/>
      <c r="U639" s="1"/>
      <c r="Y639" s="1"/>
    </row>
    <row r="640" ht="12.75" customHeight="1">
      <c r="A640" s="8"/>
      <c r="B640" s="8"/>
      <c r="C640" s="8"/>
      <c r="D640" s="8"/>
      <c r="E640" s="8"/>
      <c r="F640" s="8"/>
      <c r="G640" s="334"/>
      <c r="H640" s="1"/>
      <c r="I640" s="212"/>
      <c r="J640" s="212"/>
      <c r="K640" s="335"/>
      <c r="L640" s="335"/>
      <c r="M640" s="335"/>
      <c r="N640" s="335"/>
      <c r="O640" s="335"/>
      <c r="P640" s="335"/>
      <c r="Q640" s="1"/>
      <c r="R640" s="1"/>
      <c r="S640" s="1"/>
      <c r="T640" s="1"/>
      <c r="U640" s="1"/>
      <c r="Y640" s="1"/>
    </row>
    <row r="641" ht="12.75" customHeight="1">
      <c r="A641" s="8"/>
      <c r="B641" s="8"/>
      <c r="C641" s="8"/>
      <c r="D641" s="8"/>
      <c r="E641" s="8"/>
      <c r="F641" s="8"/>
      <c r="G641" s="334"/>
      <c r="H641" s="1"/>
      <c r="I641" s="212"/>
      <c r="J641" s="212"/>
      <c r="K641" s="335"/>
      <c r="L641" s="335"/>
      <c r="M641" s="335"/>
      <c r="N641" s="335"/>
      <c r="O641" s="335"/>
      <c r="P641" s="335"/>
      <c r="Q641" s="1"/>
      <c r="R641" s="1"/>
      <c r="S641" s="1"/>
      <c r="T641" s="1"/>
      <c r="U641" s="1"/>
      <c r="Y641" s="1"/>
    </row>
    <row r="642" ht="12.75" customHeight="1">
      <c r="A642" s="8"/>
      <c r="B642" s="8"/>
      <c r="C642" s="8"/>
      <c r="D642" s="8"/>
      <c r="E642" s="8"/>
      <c r="F642" s="8"/>
      <c r="G642" s="334"/>
      <c r="H642" s="1"/>
      <c r="I642" s="212"/>
      <c r="J642" s="212"/>
      <c r="K642" s="335"/>
      <c r="L642" s="335"/>
      <c r="M642" s="335"/>
      <c r="N642" s="335"/>
      <c r="O642" s="335"/>
      <c r="P642" s="335"/>
      <c r="Q642" s="1"/>
      <c r="R642" s="1"/>
      <c r="S642" s="1"/>
      <c r="T642" s="1"/>
      <c r="U642" s="1"/>
      <c r="Y642" s="1"/>
    </row>
    <row r="643" ht="12.75" customHeight="1">
      <c r="A643" s="8"/>
      <c r="B643" s="8"/>
      <c r="C643" s="8"/>
      <c r="D643" s="8"/>
      <c r="E643" s="8"/>
      <c r="F643" s="8"/>
      <c r="G643" s="334"/>
      <c r="H643" s="1"/>
      <c r="I643" s="212"/>
      <c r="J643" s="212"/>
      <c r="K643" s="335"/>
      <c r="L643" s="335"/>
      <c r="M643" s="335"/>
      <c r="N643" s="335"/>
      <c r="O643" s="335"/>
      <c r="P643" s="335"/>
      <c r="Q643" s="1"/>
      <c r="R643" s="1"/>
      <c r="S643" s="1"/>
      <c r="T643" s="1"/>
      <c r="U643" s="1"/>
      <c r="Y643" s="1"/>
    </row>
    <row r="644" ht="12.75" customHeight="1">
      <c r="A644" s="8"/>
      <c r="B644" s="8"/>
      <c r="C644" s="8"/>
      <c r="D644" s="8"/>
      <c r="E644" s="8"/>
      <c r="F644" s="8"/>
      <c r="G644" s="334"/>
      <c r="H644" s="1"/>
      <c r="I644" s="212"/>
      <c r="J644" s="212"/>
      <c r="K644" s="335"/>
      <c r="L644" s="335"/>
      <c r="M644" s="335"/>
      <c r="N644" s="335"/>
      <c r="O644" s="335"/>
      <c r="P644" s="335"/>
      <c r="Q644" s="1"/>
      <c r="R644" s="1"/>
      <c r="S644" s="1"/>
      <c r="T644" s="1"/>
      <c r="U644" s="1"/>
      <c r="Y644" s="1"/>
    </row>
    <row r="645" ht="12.75" customHeight="1">
      <c r="A645" s="8"/>
      <c r="B645" s="8"/>
      <c r="C645" s="8"/>
      <c r="D645" s="8"/>
      <c r="E645" s="8"/>
      <c r="F645" s="8"/>
      <c r="G645" s="334"/>
      <c r="H645" s="1"/>
      <c r="I645" s="212"/>
      <c r="J645" s="212"/>
      <c r="K645" s="335"/>
      <c r="L645" s="335"/>
      <c r="M645" s="335"/>
      <c r="N645" s="335"/>
      <c r="O645" s="335"/>
      <c r="P645" s="335"/>
      <c r="Q645" s="1"/>
      <c r="R645" s="1"/>
      <c r="S645" s="1"/>
      <c r="T645" s="1"/>
      <c r="U645" s="1"/>
      <c r="Y645" s="1"/>
    </row>
    <row r="646" ht="12.75" customHeight="1">
      <c r="A646" s="8"/>
      <c r="B646" s="8"/>
      <c r="C646" s="8"/>
      <c r="D646" s="8"/>
      <c r="E646" s="8"/>
      <c r="F646" s="8"/>
      <c r="G646" s="334"/>
      <c r="H646" s="1"/>
      <c r="I646" s="212"/>
      <c r="J646" s="212"/>
      <c r="K646" s="335"/>
      <c r="L646" s="335"/>
      <c r="M646" s="335"/>
      <c r="N646" s="335"/>
      <c r="O646" s="335"/>
      <c r="P646" s="335"/>
      <c r="Q646" s="1"/>
      <c r="R646" s="1"/>
      <c r="S646" s="1"/>
      <c r="T646" s="1"/>
      <c r="U646" s="1"/>
      <c r="Y646" s="1"/>
    </row>
    <row r="647" ht="12.75" customHeight="1">
      <c r="A647" s="8"/>
      <c r="B647" s="8"/>
      <c r="C647" s="8"/>
      <c r="D647" s="8"/>
      <c r="E647" s="8"/>
      <c r="F647" s="8"/>
      <c r="G647" s="334"/>
      <c r="H647" s="1"/>
      <c r="I647" s="212"/>
      <c r="J647" s="212"/>
      <c r="K647" s="335"/>
      <c r="L647" s="335"/>
      <c r="M647" s="335"/>
      <c r="N647" s="335"/>
      <c r="O647" s="335"/>
      <c r="P647" s="335"/>
      <c r="Q647" s="1"/>
      <c r="R647" s="1"/>
      <c r="S647" s="1"/>
      <c r="T647" s="1"/>
      <c r="U647" s="1"/>
      <c r="Y647" s="1"/>
    </row>
    <row r="648" ht="12.75" customHeight="1">
      <c r="A648" s="8"/>
      <c r="B648" s="8"/>
      <c r="C648" s="8"/>
      <c r="D648" s="8"/>
      <c r="E648" s="8"/>
      <c r="F648" s="8"/>
      <c r="G648" s="334"/>
      <c r="H648" s="1"/>
      <c r="I648" s="212"/>
      <c r="J648" s="212"/>
      <c r="K648" s="335"/>
      <c r="L648" s="335"/>
      <c r="M648" s="335"/>
      <c r="N648" s="335"/>
      <c r="O648" s="335"/>
      <c r="P648" s="335"/>
      <c r="Q648" s="1"/>
      <c r="R648" s="1"/>
      <c r="S648" s="1"/>
      <c r="T648" s="1"/>
      <c r="U648" s="1"/>
      <c r="Y648" s="1"/>
    </row>
    <row r="649" ht="12.75" customHeight="1">
      <c r="A649" s="8"/>
      <c r="B649" s="8"/>
      <c r="C649" s="8"/>
      <c r="D649" s="8"/>
      <c r="E649" s="8"/>
      <c r="F649" s="8"/>
      <c r="G649" s="334"/>
      <c r="H649" s="1"/>
      <c r="I649" s="212"/>
      <c r="J649" s="212"/>
      <c r="K649" s="335"/>
      <c r="L649" s="335"/>
      <c r="M649" s="335"/>
      <c r="N649" s="335"/>
      <c r="O649" s="335"/>
      <c r="P649" s="335"/>
      <c r="Q649" s="1"/>
      <c r="R649" s="1"/>
      <c r="S649" s="1"/>
      <c r="T649" s="1"/>
      <c r="U649" s="1"/>
      <c r="Y649" s="1"/>
    </row>
    <row r="650" ht="12.75" customHeight="1">
      <c r="A650" s="8"/>
      <c r="B650" s="8"/>
      <c r="C650" s="8"/>
      <c r="D650" s="8"/>
      <c r="E650" s="8"/>
      <c r="F650" s="8"/>
      <c r="G650" s="334"/>
      <c r="H650" s="1"/>
      <c r="I650" s="212"/>
      <c r="J650" s="212"/>
      <c r="K650" s="335"/>
      <c r="L650" s="335"/>
      <c r="M650" s="335"/>
      <c r="N650" s="335"/>
      <c r="O650" s="335"/>
      <c r="P650" s="335"/>
      <c r="Q650" s="1"/>
      <c r="R650" s="1"/>
      <c r="S650" s="1"/>
      <c r="T650" s="1"/>
      <c r="U650" s="1"/>
      <c r="Y650" s="1"/>
    </row>
    <row r="651" ht="12.75" customHeight="1">
      <c r="A651" s="8"/>
      <c r="B651" s="8"/>
      <c r="C651" s="8"/>
      <c r="D651" s="8"/>
      <c r="E651" s="8"/>
      <c r="F651" s="8"/>
      <c r="G651" s="334"/>
      <c r="H651" s="1"/>
      <c r="I651" s="212"/>
      <c r="J651" s="212"/>
      <c r="K651" s="335"/>
      <c r="L651" s="335"/>
      <c r="M651" s="335"/>
      <c r="N651" s="335"/>
      <c r="O651" s="335"/>
      <c r="P651" s="335"/>
      <c r="Q651" s="1"/>
      <c r="R651" s="1"/>
      <c r="S651" s="1"/>
      <c r="T651" s="1"/>
      <c r="U651" s="1"/>
      <c r="Y651" s="1"/>
    </row>
    <row r="652" ht="12.75" customHeight="1">
      <c r="A652" s="8"/>
      <c r="B652" s="8"/>
      <c r="C652" s="8"/>
      <c r="D652" s="8"/>
      <c r="E652" s="8"/>
      <c r="F652" s="8"/>
      <c r="G652" s="334"/>
      <c r="H652" s="1"/>
      <c r="I652" s="212"/>
      <c r="J652" s="212"/>
      <c r="K652" s="335"/>
      <c r="L652" s="335"/>
      <c r="M652" s="335"/>
      <c r="N652" s="335"/>
      <c r="O652" s="335"/>
      <c r="P652" s="335"/>
      <c r="Q652" s="1"/>
      <c r="R652" s="1"/>
      <c r="S652" s="1"/>
      <c r="T652" s="1"/>
      <c r="U652" s="1"/>
      <c r="Y652" s="1"/>
    </row>
    <row r="653" ht="12.75" customHeight="1">
      <c r="A653" s="8"/>
      <c r="B653" s="8"/>
      <c r="C653" s="8"/>
      <c r="D653" s="8"/>
      <c r="E653" s="8"/>
      <c r="F653" s="8"/>
      <c r="G653" s="334"/>
      <c r="H653" s="1"/>
      <c r="I653" s="212"/>
      <c r="J653" s="212"/>
      <c r="K653" s="335"/>
      <c r="L653" s="335"/>
      <c r="M653" s="335"/>
      <c r="N653" s="335"/>
      <c r="O653" s="335"/>
      <c r="P653" s="335"/>
      <c r="Q653" s="1"/>
      <c r="R653" s="1"/>
      <c r="S653" s="1"/>
      <c r="T653" s="1"/>
      <c r="U653" s="1"/>
      <c r="Y653" s="1"/>
    </row>
    <row r="654" ht="12.75" customHeight="1">
      <c r="A654" s="8"/>
      <c r="B654" s="8"/>
      <c r="C654" s="8"/>
      <c r="D654" s="8"/>
      <c r="E654" s="8"/>
      <c r="F654" s="8"/>
      <c r="G654" s="334"/>
      <c r="H654" s="1"/>
      <c r="I654" s="212"/>
      <c r="J654" s="212"/>
      <c r="K654" s="335"/>
      <c r="L654" s="335"/>
      <c r="M654" s="335"/>
      <c r="N654" s="335"/>
      <c r="O654" s="335"/>
      <c r="P654" s="335"/>
      <c r="Q654" s="1"/>
      <c r="R654" s="1"/>
      <c r="S654" s="1"/>
      <c r="T654" s="1"/>
      <c r="U654" s="1"/>
      <c r="Y654" s="1"/>
    </row>
    <row r="655" ht="12.75" customHeight="1">
      <c r="A655" s="8"/>
      <c r="B655" s="8"/>
      <c r="C655" s="8"/>
      <c r="D655" s="8"/>
      <c r="E655" s="8"/>
      <c r="F655" s="8"/>
      <c r="G655" s="334"/>
      <c r="H655" s="1"/>
      <c r="I655" s="212"/>
      <c r="J655" s="212"/>
      <c r="K655" s="335"/>
      <c r="L655" s="335"/>
      <c r="M655" s="335"/>
      <c r="N655" s="335"/>
      <c r="O655" s="335"/>
      <c r="P655" s="335"/>
      <c r="Q655" s="1"/>
      <c r="R655" s="1"/>
      <c r="S655" s="1"/>
      <c r="T655" s="1"/>
      <c r="U655" s="1"/>
      <c r="Y655" s="1"/>
    </row>
    <row r="656" ht="12.75" customHeight="1">
      <c r="A656" s="8"/>
      <c r="B656" s="8"/>
      <c r="C656" s="8"/>
      <c r="D656" s="8"/>
      <c r="E656" s="8"/>
      <c r="F656" s="8"/>
      <c r="G656" s="334"/>
      <c r="H656" s="1"/>
      <c r="I656" s="212"/>
      <c r="J656" s="212"/>
      <c r="K656" s="335"/>
      <c r="L656" s="335"/>
      <c r="M656" s="335"/>
      <c r="N656" s="335"/>
      <c r="O656" s="335"/>
      <c r="P656" s="335"/>
      <c r="Q656" s="1"/>
      <c r="R656" s="1"/>
      <c r="S656" s="1"/>
      <c r="T656" s="1"/>
      <c r="U656" s="1"/>
      <c r="Y656" s="1"/>
    </row>
    <row r="657" ht="12.75" customHeight="1">
      <c r="A657" s="8"/>
      <c r="B657" s="8"/>
      <c r="C657" s="8"/>
      <c r="D657" s="8"/>
      <c r="E657" s="8"/>
      <c r="F657" s="8"/>
      <c r="G657" s="334"/>
      <c r="H657" s="1"/>
      <c r="I657" s="212"/>
      <c r="J657" s="212"/>
      <c r="K657" s="335"/>
      <c r="L657" s="335"/>
      <c r="M657" s="335"/>
      <c r="N657" s="335"/>
      <c r="O657" s="335"/>
      <c r="P657" s="335"/>
      <c r="Q657" s="1"/>
      <c r="R657" s="1"/>
      <c r="S657" s="1"/>
      <c r="T657" s="1"/>
      <c r="U657" s="1"/>
      <c r="Y657" s="1"/>
    </row>
    <row r="658" ht="12.75" customHeight="1">
      <c r="A658" s="8"/>
      <c r="B658" s="8"/>
      <c r="C658" s="8"/>
      <c r="D658" s="8"/>
      <c r="E658" s="8"/>
      <c r="F658" s="8"/>
      <c r="G658" s="334"/>
      <c r="H658" s="1"/>
      <c r="I658" s="212"/>
      <c r="J658" s="212"/>
      <c r="K658" s="335"/>
      <c r="L658" s="335"/>
      <c r="M658" s="335"/>
      <c r="N658" s="335"/>
      <c r="O658" s="335"/>
      <c r="P658" s="335"/>
      <c r="Q658" s="1"/>
      <c r="R658" s="1"/>
      <c r="S658" s="1"/>
      <c r="T658" s="1"/>
      <c r="U658" s="1"/>
      <c r="Y658" s="1"/>
    </row>
    <row r="659" ht="12.75" customHeight="1">
      <c r="A659" s="8"/>
      <c r="B659" s="8"/>
      <c r="C659" s="8"/>
      <c r="D659" s="8"/>
      <c r="E659" s="8"/>
      <c r="F659" s="8"/>
      <c r="G659" s="334"/>
      <c r="H659" s="1"/>
      <c r="I659" s="212"/>
      <c r="J659" s="212"/>
      <c r="K659" s="335"/>
      <c r="L659" s="335"/>
      <c r="M659" s="335"/>
      <c r="N659" s="335"/>
      <c r="O659" s="335"/>
      <c r="P659" s="335"/>
      <c r="Q659" s="1"/>
      <c r="R659" s="1"/>
      <c r="S659" s="1"/>
      <c r="T659" s="1"/>
      <c r="U659" s="1"/>
      <c r="Y659" s="1"/>
    </row>
    <row r="660" ht="12.75" customHeight="1">
      <c r="A660" s="8"/>
      <c r="B660" s="8"/>
      <c r="C660" s="8"/>
      <c r="D660" s="8"/>
      <c r="E660" s="8"/>
      <c r="F660" s="8"/>
      <c r="G660" s="334"/>
      <c r="H660" s="1"/>
      <c r="I660" s="212"/>
      <c r="J660" s="212"/>
      <c r="K660" s="335"/>
      <c r="L660" s="335"/>
      <c r="M660" s="335"/>
      <c r="N660" s="335"/>
      <c r="O660" s="335"/>
      <c r="P660" s="335"/>
      <c r="Q660" s="1"/>
      <c r="R660" s="1"/>
      <c r="S660" s="1"/>
      <c r="T660" s="1"/>
      <c r="U660" s="1"/>
      <c r="Y660" s="1"/>
    </row>
    <row r="661" ht="12.75" customHeight="1">
      <c r="A661" s="8"/>
      <c r="B661" s="8"/>
      <c r="C661" s="8"/>
      <c r="D661" s="8"/>
      <c r="E661" s="8"/>
      <c r="F661" s="8"/>
      <c r="G661" s="334"/>
      <c r="H661" s="1"/>
      <c r="I661" s="212"/>
      <c r="J661" s="212"/>
      <c r="K661" s="335"/>
      <c r="L661" s="335"/>
      <c r="M661" s="335"/>
      <c r="N661" s="335"/>
      <c r="O661" s="335"/>
      <c r="P661" s="335"/>
      <c r="Q661" s="1"/>
      <c r="R661" s="1"/>
      <c r="S661" s="1"/>
      <c r="T661" s="1"/>
      <c r="U661" s="1"/>
      <c r="Y661" s="1"/>
    </row>
    <row r="662" ht="12.75" customHeight="1">
      <c r="A662" s="8"/>
      <c r="B662" s="8"/>
      <c r="C662" s="8"/>
      <c r="D662" s="8"/>
      <c r="E662" s="8"/>
      <c r="F662" s="8"/>
      <c r="G662" s="334"/>
      <c r="H662" s="1"/>
      <c r="I662" s="212"/>
      <c r="J662" s="212"/>
      <c r="K662" s="335"/>
      <c r="L662" s="335"/>
      <c r="M662" s="335"/>
      <c r="N662" s="335"/>
      <c r="O662" s="335"/>
      <c r="P662" s="335"/>
      <c r="Q662" s="1"/>
      <c r="R662" s="1"/>
      <c r="S662" s="1"/>
      <c r="T662" s="1"/>
      <c r="U662" s="1"/>
      <c r="Y662" s="1"/>
    </row>
    <row r="663" ht="12.75" customHeight="1">
      <c r="A663" s="8"/>
      <c r="B663" s="8"/>
      <c r="C663" s="8"/>
      <c r="D663" s="8"/>
      <c r="E663" s="8"/>
      <c r="F663" s="8"/>
      <c r="G663" s="334"/>
      <c r="H663" s="1"/>
      <c r="I663" s="212"/>
      <c r="J663" s="212"/>
      <c r="K663" s="335"/>
      <c r="L663" s="335"/>
      <c r="M663" s="335"/>
      <c r="N663" s="335"/>
      <c r="O663" s="335"/>
      <c r="P663" s="335"/>
      <c r="Q663" s="1"/>
      <c r="R663" s="1"/>
      <c r="S663" s="1"/>
      <c r="T663" s="1"/>
      <c r="U663" s="1"/>
      <c r="Y663" s="1"/>
    </row>
    <row r="664" ht="12.75" customHeight="1">
      <c r="A664" s="8"/>
      <c r="B664" s="8"/>
      <c r="C664" s="8"/>
      <c r="D664" s="8"/>
      <c r="E664" s="8"/>
      <c r="F664" s="8"/>
      <c r="G664" s="334"/>
      <c r="H664" s="1"/>
      <c r="I664" s="212"/>
      <c r="J664" s="212"/>
      <c r="K664" s="335"/>
      <c r="L664" s="335"/>
      <c r="M664" s="335"/>
      <c r="N664" s="335"/>
      <c r="O664" s="335"/>
      <c r="P664" s="335"/>
      <c r="Q664" s="1"/>
      <c r="R664" s="1"/>
      <c r="S664" s="1"/>
      <c r="T664" s="1"/>
      <c r="U664" s="1"/>
      <c r="Y664" s="1"/>
    </row>
    <row r="665" ht="12.75" customHeight="1">
      <c r="A665" s="8"/>
      <c r="B665" s="8"/>
      <c r="C665" s="8"/>
      <c r="D665" s="8"/>
      <c r="E665" s="8"/>
      <c r="F665" s="8"/>
      <c r="G665" s="334"/>
      <c r="H665" s="1"/>
      <c r="I665" s="212"/>
      <c r="J665" s="212"/>
      <c r="K665" s="335"/>
      <c r="L665" s="335"/>
      <c r="M665" s="335"/>
      <c r="N665" s="335"/>
      <c r="O665" s="335"/>
      <c r="P665" s="335"/>
      <c r="Q665" s="1"/>
      <c r="R665" s="1"/>
      <c r="S665" s="1"/>
      <c r="T665" s="1"/>
      <c r="U665" s="1"/>
      <c r="Y665" s="1"/>
    </row>
    <row r="666" ht="12.75" customHeight="1">
      <c r="A666" s="8"/>
      <c r="B666" s="8"/>
      <c r="C666" s="8"/>
      <c r="D666" s="8"/>
      <c r="E666" s="8"/>
      <c r="F666" s="8"/>
      <c r="G666" s="334"/>
      <c r="H666" s="1"/>
      <c r="I666" s="212"/>
      <c r="J666" s="212"/>
      <c r="K666" s="335"/>
      <c r="L666" s="335"/>
      <c r="M666" s="335"/>
      <c r="N666" s="335"/>
      <c r="O666" s="335"/>
      <c r="P666" s="335"/>
      <c r="Q666" s="1"/>
      <c r="R666" s="1"/>
      <c r="S666" s="1"/>
      <c r="T666" s="1"/>
      <c r="U666" s="1"/>
      <c r="Y666" s="1"/>
    </row>
    <row r="667" ht="12.75" customHeight="1">
      <c r="A667" s="8"/>
      <c r="B667" s="8"/>
      <c r="C667" s="8"/>
      <c r="D667" s="8"/>
      <c r="E667" s="8"/>
      <c r="F667" s="8"/>
      <c r="G667" s="334"/>
      <c r="H667" s="1"/>
      <c r="I667" s="212"/>
      <c r="J667" s="212"/>
      <c r="K667" s="335"/>
      <c r="L667" s="335"/>
      <c r="M667" s="335"/>
      <c r="N667" s="335"/>
      <c r="O667" s="335"/>
      <c r="P667" s="335"/>
      <c r="Q667" s="1"/>
      <c r="R667" s="1"/>
      <c r="S667" s="1"/>
      <c r="T667" s="1"/>
      <c r="U667" s="1"/>
      <c r="Y667" s="1"/>
    </row>
    <row r="668" ht="12.75" customHeight="1">
      <c r="A668" s="8"/>
      <c r="B668" s="8"/>
      <c r="C668" s="8"/>
      <c r="D668" s="8"/>
      <c r="E668" s="8"/>
      <c r="F668" s="8"/>
      <c r="G668" s="334"/>
      <c r="H668" s="1"/>
      <c r="I668" s="212"/>
      <c r="J668" s="212"/>
      <c r="K668" s="335"/>
      <c r="L668" s="335"/>
      <c r="M668" s="335"/>
      <c r="N668" s="335"/>
      <c r="O668" s="335"/>
      <c r="P668" s="335"/>
      <c r="Q668" s="1"/>
      <c r="R668" s="1"/>
      <c r="S668" s="1"/>
      <c r="T668" s="1"/>
      <c r="U668" s="1"/>
      <c r="Y668" s="1"/>
    </row>
    <row r="669" ht="12.75" customHeight="1">
      <c r="A669" s="8"/>
      <c r="B669" s="8"/>
      <c r="C669" s="8"/>
      <c r="D669" s="8"/>
      <c r="E669" s="8"/>
      <c r="F669" s="8"/>
      <c r="G669" s="334"/>
      <c r="H669" s="1"/>
      <c r="I669" s="212"/>
      <c r="J669" s="212"/>
      <c r="K669" s="335"/>
      <c r="L669" s="335"/>
      <c r="M669" s="335"/>
      <c r="N669" s="335"/>
      <c r="O669" s="335"/>
      <c r="P669" s="335"/>
      <c r="Q669" s="1"/>
      <c r="R669" s="1"/>
      <c r="S669" s="1"/>
      <c r="T669" s="1"/>
      <c r="U669" s="1"/>
      <c r="Y669" s="1"/>
    </row>
    <row r="670" ht="12.75" customHeight="1">
      <c r="A670" s="8"/>
      <c r="B670" s="8"/>
      <c r="C670" s="8"/>
      <c r="D670" s="8"/>
      <c r="E670" s="8"/>
      <c r="F670" s="8"/>
      <c r="G670" s="334"/>
      <c r="H670" s="1"/>
      <c r="I670" s="212"/>
      <c r="J670" s="212"/>
      <c r="K670" s="335"/>
      <c r="L670" s="335"/>
      <c r="M670" s="335"/>
      <c r="N670" s="335"/>
      <c r="O670" s="335"/>
      <c r="P670" s="335"/>
      <c r="Q670" s="1"/>
      <c r="R670" s="1"/>
      <c r="S670" s="1"/>
      <c r="T670" s="1"/>
      <c r="U670" s="1"/>
      <c r="Y670" s="1"/>
    </row>
    <row r="671" ht="12.75" customHeight="1">
      <c r="A671" s="8"/>
      <c r="B671" s="8"/>
      <c r="C671" s="8"/>
      <c r="D671" s="8"/>
      <c r="E671" s="8"/>
      <c r="F671" s="8"/>
      <c r="G671" s="334"/>
      <c r="H671" s="1"/>
      <c r="I671" s="212"/>
      <c r="J671" s="212"/>
      <c r="K671" s="335"/>
      <c r="L671" s="335"/>
      <c r="M671" s="335"/>
      <c r="N671" s="335"/>
      <c r="O671" s="335"/>
      <c r="P671" s="335"/>
      <c r="Q671" s="1"/>
      <c r="R671" s="1"/>
      <c r="S671" s="1"/>
      <c r="T671" s="1"/>
      <c r="U671" s="1"/>
      <c r="Y671" s="1"/>
    </row>
    <row r="672" ht="12.75" customHeight="1">
      <c r="A672" s="8"/>
      <c r="B672" s="8"/>
      <c r="C672" s="8"/>
      <c r="D672" s="8"/>
      <c r="E672" s="8"/>
      <c r="F672" s="8"/>
      <c r="G672" s="334"/>
      <c r="H672" s="1"/>
      <c r="I672" s="212"/>
      <c r="J672" s="212"/>
      <c r="K672" s="335"/>
      <c r="L672" s="335"/>
      <c r="M672" s="335"/>
      <c r="N672" s="335"/>
      <c r="O672" s="335"/>
      <c r="P672" s="335"/>
      <c r="Q672" s="1"/>
      <c r="R672" s="1"/>
      <c r="S672" s="1"/>
      <c r="T672" s="1"/>
      <c r="U672" s="1"/>
      <c r="Y672" s="1"/>
    </row>
    <row r="673" ht="12.75" customHeight="1">
      <c r="A673" s="8"/>
      <c r="B673" s="8"/>
      <c r="C673" s="8"/>
      <c r="D673" s="8"/>
      <c r="E673" s="8"/>
      <c r="F673" s="8"/>
      <c r="G673" s="334"/>
      <c r="H673" s="1"/>
      <c r="I673" s="212"/>
      <c r="J673" s="212"/>
      <c r="K673" s="335"/>
      <c r="L673" s="335"/>
      <c r="M673" s="335"/>
      <c r="N673" s="335"/>
      <c r="O673" s="335"/>
      <c r="P673" s="335"/>
      <c r="Q673" s="1"/>
      <c r="R673" s="1"/>
      <c r="S673" s="1"/>
      <c r="T673" s="1"/>
      <c r="U673" s="1"/>
      <c r="Y673" s="1"/>
    </row>
    <row r="674" ht="12.75" customHeight="1">
      <c r="A674" s="8"/>
      <c r="B674" s="8"/>
      <c r="C674" s="8"/>
      <c r="D674" s="8"/>
      <c r="E674" s="8"/>
      <c r="F674" s="8"/>
      <c r="G674" s="334"/>
      <c r="H674" s="1"/>
      <c r="I674" s="212"/>
      <c r="J674" s="212"/>
      <c r="K674" s="335"/>
      <c r="L674" s="335"/>
      <c r="M674" s="335"/>
      <c r="N674" s="335"/>
      <c r="O674" s="335"/>
      <c r="P674" s="335"/>
      <c r="Q674" s="1"/>
      <c r="R674" s="1"/>
      <c r="S674" s="1"/>
      <c r="T674" s="1"/>
      <c r="U674" s="1"/>
      <c r="Y674" s="1"/>
    </row>
    <row r="675" ht="12.75" customHeight="1">
      <c r="A675" s="8"/>
      <c r="B675" s="8"/>
      <c r="C675" s="8"/>
      <c r="D675" s="8"/>
      <c r="E675" s="8"/>
      <c r="F675" s="8"/>
      <c r="G675" s="334"/>
      <c r="H675" s="1"/>
      <c r="I675" s="212"/>
      <c r="J675" s="212"/>
      <c r="K675" s="335"/>
      <c r="L675" s="335"/>
      <c r="M675" s="335"/>
      <c r="N675" s="335"/>
      <c r="O675" s="335"/>
      <c r="P675" s="335"/>
      <c r="Q675" s="1"/>
      <c r="R675" s="1"/>
      <c r="S675" s="1"/>
      <c r="T675" s="1"/>
      <c r="U675" s="1"/>
      <c r="Y675" s="1"/>
    </row>
    <row r="676" ht="12.75" customHeight="1">
      <c r="A676" s="8"/>
      <c r="B676" s="8"/>
      <c r="C676" s="8"/>
      <c r="D676" s="8"/>
      <c r="E676" s="8"/>
      <c r="F676" s="8"/>
      <c r="G676" s="334"/>
      <c r="H676" s="1"/>
      <c r="I676" s="212"/>
      <c r="J676" s="212"/>
      <c r="K676" s="335"/>
      <c r="L676" s="335"/>
      <c r="M676" s="335"/>
      <c r="N676" s="335"/>
      <c r="O676" s="335"/>
      <c r="P676" s="335"/>
      <c r="Q676" s="1"/>
      <c r="R676" s="1"/>
      <c r="S676" s="1"/>
      <c r="T676" s="1"/>
      <c r="U676" s="1"/>
      <c r="Y676" s="1"/>
    </row>
    <row r="677" ht="12.75" customHeight="1">
      <c r="A677" s="8"/>
      <c r="B677" s="8"/>
      <c r="C677" s="8"/>
      <c r="D677" s="8"/>
      <c r="E677" s="8"/>
      <c r="F677" s="8"/>
      <c r="G677" s="334"/>
      <c r="H677" s="1"/>
      <c r="I677" s="212"/>
      <c r="J677" s="212"/>
      <c r="K677" s="335"/>
      <c r="L677" s="335"/>
      <c r="M677" s="335"/>
      <c r="N677" s="335"/>
      <c r="O677" s="335"/>
      <c r="P677" s="335"/>
      <c r="Q677" s="1"/>
      <c r="R677" s="1"/>
      <c r="S677" s="1"/>
      <c r="T677" s="1"/>
      <c r="U677" s="1"/>
      <c r="Y677" s="1"/>
    </row>
    <row r="678" ht="12.75" customHeight="1">
      <c r="A678" s="8"/>
      <c r="B678" s="8"/>
      <c r="C678" s="8"/>
      <c r="D678" s="8"/>
      <c r="E678" s="8"/>
      <c r="F678" s="8"/>
      <c r="G678" s="334"/>
      <c r="H678" s="1"/>
      <c r="I678" s="212"/>
      <c r="J678" s="212"/>
      <c r="K678" s="335"/>
      <c r="L678" s="335"/>
      <c r="M678" s="335"/>
      <c r="N678" s="335"/>
      <c r="O678" s="335"/>
      <c r="P678" s="335"/>
      <c r="Q678" s="1"/>
      <c r="R678" s="1"/>
      <c r="S678" s="1"/>
      <c r="T678" s="1"/>
      <c r="U678" s="1"/>
      <c r="Y678" s="1"/>
    </row>
    <row r="679" ht="12.75" customHeight="1">
      <c r="A679" s="8"/>
      <c r="B679" s="8"/>
      <c r="C679" s="8"/>
      <c r="D679" s="8"/>
      <c r="E679" s="8"/>
      <c r="F679" s="8"/>
      <c r="G679" s="334"/>
      <c r="H679" s="1"/>
      <c r="I679" s="212"/>
      <c r="J679" s="212"/>
      <c r="K679" s="335"/>
      <c r="L679" s="335"/>
      <c r="M679" s="335"/>
      <c r="N679" s="335"/>
      <c r="O679" s="335"/>
      <c r="P679" s="335"/>
      <c r="Q679" s="1"/>
      <c r="R679" s="1"/>
      <c r="S679" s="1"/>
      <c r="T679" s="1"/>
      <c r="U679" s="1"/>
      <c r="Y679" s="1"/>
    </row>
    <row r="680" ht="12.75" customHeight="1">
      <c r="A680" s="8"/>
      <c r="B680" s="8"/>
      <c r="C680" s="8"/>
      <c r="D680" s="8"/>
      <c r="E680" s="8"/>
      <c r="F680" s="8"/>
      <c r="G680" s="334"/>
      <c r="H680" s="1"/>
      <c r="I680" s="212"/>
      <c r="J680" s="212"/>
      <c r="K680" s="335"/>
      <c r="L680" s="335"/>
      <c r="M680" s="335"/>
      <c r="N680" s="335"/>
      <c r="O680" s="335"/>
      <c r="P680" s="335"/>
      <c r="Q680" s="1"/>
      <c r="R680" s="1"/>
      <c r="S680" s="1"/>
      <c r="T680" s="1"/>
      <c r="U680" s="1"/>
      <c r="Y680" s="1"/>
    </row>
    <row r="681" ht="12.75" customHeight="1">
      <c r="A681" s="8"/>
      <c r="B681" s="8"/>
      <c r="C681" s="8"/>
      <c r="D681" s="8"/>
      <c r="E681" s="8"/>
      <c r="F681" s="8"/>
      <c r="G681" s="334"/>
      <c r="H681" s="1"/>
      <c r="I681" s="212"/>
      <c r="J681" s="212"/>
      <c r="K681" s="335"/>
      <c r="L681" s="335"/>
      <c r="M681" s="335"/>
      <c r="N681" s="335"/>
      <c r="O681" s="335"/>
      <c r="P681" s="335"/>
      <c r="Q681" s="1"/>
      <c r="R681" s="1"/>
      <c r="S681" s="1"/>
      <c r="T681" s="1"/>
      <c r="U681" s="1"/>
      <c r="Y681" s="1"/>
    </row>
    <row r="682" ht="12.75" customHeight="1">
      <c r="A682" s="8"/>
      <c r="B682" s="8"/>
      <c r="C682" s="8"/>
      <c r="D682" s="8"/>
      <c r="E682" s="8"/>
      <c r="F682" s="8"/>
      <c r="G682" s="334"/>
      <c r="H682" s="1"/>
      <c r="I682" s="212"/>
      <c r="J682" s="212"/>
      <c r="K682" s="335"/>
      <c r="L682" s="335"/>
      <c r="M682" s="335"/>
      <c r="N682" s="335"/>
      <c r="O682" s="335"/>
      <c r="P682" s="335"/>
      <c r="Q682" s="1"/>
      <c r="R682" s="1"/>
      <c r="S682" s="1"/>
      <c r="T682" s="1"/>
      <c r="U682" s="1"/>
      <c r="Y682" s="1"/>
    </row>
    <row r="683" ht="12.75" customHeight="1">
      <c r="A683" s="8"/>
      <c r="B683" s="8"/>
      <c r="C683" s="8"/>
      <c r="D683" s="8"/>
      <c r="E683" s="8"/>
      <c r="F683" s="8"/>
      <c r="G683" s="334"/>
      <c r="H683" s="1"/>
      <c r="I683" s="212"/>
      <c r="J683" s="212"/>
      <c r="K683" s="335"/>
      <c r="L683" s="335"/>
      <c r="M683" s="335"/>
      <c r="N683" s="335"/>
      <c r="O683" s="335"/>
      <c r="P683" s="335"/>
      <c r="Q683" s="1"/>
      <c r="R683" s="1"/>
      <c r="S683" s="1"/>
      <c r="T683" s="1"/>
      <c r="U683" s="1"/>
      <c r="Y683" s="1"/>
    </row>
    <row r="684" ht="12.75" customHeight="1">
      <c r="A684" s="8"/>
      <c r="B684" s="8"/>
      <c r="C684" s="8"/>
      <c r="D684" s="8"/>
      <c r="E684" s="8"/>
      <c r="F684" s="8"/>
      <c r="G684" s="334"/>
      <c r="H684" s="1"/>
      <c r="I684" s="212"/>
      <c r="J684" s="212"/>
      <c r="K684" s="335"/>
      <c r="L684" s="335"/>
      <c r="M684" s="335"/>
      <c r="N684" s="335"/>
      <c r="O684" s="335"/>
      <c r="P684" s="335"/>
      <c r="Q684" s="1"/>
      <c r="R684" s="1"/>
      <c r="S684" s="1"/>
      <c r="T684" s="1"/>
      <c r="U684" s="1"/>
      <c r="Y684" s="1"/>
    </row>
    <row r="685" ht="12.75" customHeight="1">
      <c r="A685" s="8"/>
      <c r="B685" s="8"/>
      <c r="C685" s="8"/>
      <c r="D685" s="8"/>
      <c r="E685" s="8"/>
      <c r="F685" s="8"/>
      <c r="G685" s="334"/>
      <c r="H685" s="1"/>
      <c r="I685" s="212"/>
      <c r="J685" s="212"/>
      <c r="K685" s="335"/>
      <c r="L685" s="335"/>
      <c r="M685" s="335"/>
      <c r="N685" s="335"/>
      <c r="O685" s="335"/>
      <c r="P685" s="335"/>
      <c r="Q685" s="1"/>
      <c r="R685" s="1"/>
      <c r="S685" s="1"/>
      <c r="T685" s="1"/>
      <c r="U685" s="1"/>
      <c r="Y685" s="1"/>
    </row>
    <row r="686" ht="12.75" customHeight="1">
      <c r="A686" s="8"/>
      <c r="B686" s="8"/>
      <c r="C686" s="8"/>
      <c r="D686" s="8"/>
      <c r="E686" s="8"/>
      <c r="F686" s="8"/>
      <c r="G686" s="334"/>
      <c r="H686" s="1"/>
      <c r="I686" s="212"/>
      <c r="J686" s="212"/>
      <c r="K686" s="335"/>
      <c r="L686" s="335"/>
      <c r="M686" s="335"/>
      <c r="N686" s="335"/>
      <c r="O686" s="335"/>
      <c r="P686" s="335"/>
      <c r="Q686" s="1"/>
      <c r="R686" s="1"/>
      <c r="S686" s="1"/>
      <c r="T686" s="1"/>
      <c r="U686" s="1"/>
      <c r="Y686" s="1"/>
    </row>
    <row r="687" ht="12.75" customHeight="1">
      <c r="A687" s="8"/>
      <c r="B687" s="8"/>
      <c r="C687" s="8"/>
      <c r="D687" s="8"/>
      <c r="E687" s="8"/>
      <c r="F687" s="8"/>
      <c r="G687" s="334"/>
      <c r="H687" s="1"/>
      <c r="I687" s="212"/>
      <c r="J687" s="212"/>
      <c r="K687" s="335"/>
      <c r="L687" s="335"/>
      <c r="M687" s="335"/>
      <c r="N687" s="335"/>
      <c r="O687" s="335"/>
      <c r="P687" s="335"/>
      <c r="Q687" s="1"/>
      <c r="R687" s="1"/>
      <c r="S687" s="1"/>
      <c r="T687" s="1"/>
      <c r="U687" s="1"/>
      <c r="Y687" s="1"/>
    </row>
    <row r="688" ht="12.75" customHeight="1">
      <c r="A688" s="8"/>
      <c r="B688" s="8"/>
      <c r="C688" s="8"/>
      <c r="D688" s="8"/>
      <c r="E688" s="8"/>
      <c r="F688" s="8"/>
      <c r="G688" s="334"/>
      <c r="H688" s="1"/>
      <c r="I688" s="212"/>
      <c r="J688" s="212"/>
      <c r="K688" s="335"/>
      <c r="L688" s="335"/>
      <c r="M688" s="335"/>
      <c r="N688" s="335"/>
      <c r="O688" s="335"/>
      <c r="P688" s="335"/>
      <c r="Q688" s="1"/>
      <c r="R688" s="1"/>
      <c r="S688" s="1"/>
      <c r="T688" s="1"/>
      <c r="U688" s="1"/>
      <c r="Y688" s="1"/>
    </row>
    <row r="689" ht="12.75" customHeight="1">
      <c r="A689" s="8"/>
      <c r="B689" s="8"/>
      <c r="C689" s="8"/>
      <c r="D689" s="8"/>
      <c r="E689" s="8"/>
      <c r="F689" s="8"/>
      <c r="G689" s="334"/>
      <c r="H689" s="1"/>
      <c r="I689" s="212"/>
      <c r="J689" s="212"/>
      <c r="K689" s="335"/>
      <c r="L689" s="335"/>
      <c r="M689" s="335"/>
      <c r="N689" s="335"/>
      <c r="O689" s="335"/>
      <c r="P689" s="335"/>
      <c r="Q689" s="1"/>
      <c r="R689" s="1"/>
      <c r="S689" s="1"/>
      <c r="T689" s="1"/>
      <c r="U689" s="1"/>
      <c r="Y689" s="1"/>
    </row>
    <row r="690" ht="12.75" customHeight="1">
      <c r="A690" s="8"/>
      <c r="B690" s="8"/>
      <c r="C690" s="8"/>
      <c r="D690" s="8"/>
      <c r="E690" s="8"/>
      <c r="F690" s="8"/>
      <c r="G690" s="334"/>
      <c r="H690" s="1"/>
      <c r="I690" s="212"/>
      <c r="J690" s="212"/>
      <c r="K690" s="335"/>
      <c r="L690" s="335"/>
      <c r="M690" s="335"/>
      <c r="N690" s="335"/>
      <c r="O690" s="335"/>
      <c r="P690" s="335"/>
      <c r="Q690" s="1"/>
      <c r="R690" s="1"/>
      <c r="S690" s="1"/>
      <c r="T690" s="1"/>
      <c r="U690" s="1"/>
      <c r="Y690" s="1"/>
    </row>
    <row r="691" ht="12.75" customHeight="1">
      <c r="A691" s="8"/>
      <c r="B691" s="8"/>
      <c r="C691" s="8"/>
      <c r="D691" s="8"/>
      <c r="E691" s="8"/>
      <c r="F691" s="8"/>
      <c r="G691" s="334"/>
      <c r="H691" s="1"/>
      <c r="I691" s="212"/>
      <c r="J691" s="212"/>
      <c r="K691" s="335"/>
      <c r="L691" s="335"/>
      <c r="M691" s="335"/>
      <c r="N691" s="335"/>
      <c r="O691" s="335"/>
      <c r="P691" s="335"/>
      <c r="Q691" s="1"/>
      <c r="R691" s="1"/>
      <c r="S691" s="1"/>
      <c r="T691" s="1"/>
      <c r="U691" s="1"/>
      <c r="Y691" s="1"/>
    </row>
    <row r="692" ht="12.75" customHeight="1">
      <c r="A692" s="8"/>
      <c r="B692" s="8"/>
      <c r="C692" s="8"/>
      <c r="D692" s="8"/>
      <c r="E692" s="8"/>
      <c r="F692" s="8"/>
      <c r="G692" s="334"/>
      <c r="H692" s="1"/>
      <c r="I692" s="212"/>
      <c r="J692" s="212"/>
      <c r="K692" s="335"/>
      <c r="L692" s="335"/>
      <c r="M692" s="335"/>
      <c r="N692" s="335"/>
      <c r="O692" s="335"/>
      <c r="P692" s="335"/>
      <c r="Q692" s="1"/>
      <c r="R692" s="1"/>
      <c r="S692" s="1"/>
      <c r="T692" s="1"/>
      <c r="U692" s="1"/>
      <c r="Y692" s="1"/>
    </row>
    <row r="693" ht="12.75" customHeight="1">
      <c r="A693" s="8"/>
      <c r="B693" s="8"/>
      <c r="C693" s="8"/>
      <c r="D693" s="8"/>
      <c r="E693" s="8"/>
      <c r="F693" s="8"/>
      <c r="G693" s="334"/>
      <c r="H693" s="1"/>
      <c r="I693" s="212"/>
      <c r="J693" s="212"/>
      <c r="K693" s="335"/>
      <c r="L693" s="335"/>
      <c r="M693" s="335"/>
      <c r="N693" s="335"/>
      <c r="O693" s="335"/>
      <c r="P693" s="335"/>
      <c r="Q693" s="1"/>
      <c r="R693" s="1"/>
      <c r="S693" s="1"/>
      <c r="T693" s="1"/>
      <c r="U693" s="1"/>
      <c r="Y693" s="1"/>
    </row>
    <row r="694" ht="12.75" customHeight="1">
      <c r="A694" s="8"/>
      <c r="B694" s="8"/>
      <c r="C694" s="8"/>
      <c r="D694" s="8"/>
      <c r="E694" s="8"/>
      <c r="F694" s="8"/>
      <c r="G694" s="334"/>
      <c r="H694" s="1"/>
      <c r="I694" s="212"/>
      <c r="J694" s="212"/>
      <c r="K694" s="335"/>
      <c r="L694" s="335"/>
      <c r="M694" s="335"/>
      <c r="N694" s="335"/>
      <c r="O694" s="335"/>
      <c r="P694" s="335"/>
      <c r="Q694" s="1"/>
      <c r="R694" s="1"/>
      <c r="S694" s="1"/>
      <c r="T694" s="1"/>
      <c r="U694" s="1"/>
      <c r="Y694" s="1"/>
    </row>
    <row r="695" ht="12.75" customHeight="1">
      <c r="A695" s="8"/>
      <c r="B695" s="8"/>
      <c r="C695" s="8"/>
      <c r="D695" s="8"/>
      <c r="E695" s="8"/>
      <c r="F695" s="8"/>
      <c r="G695" s="334"/>
      <c r="H695" s="1"/>
      <c r="I695" s="212"/>
      <c r="J695" s="212"/>
      <c r="K695" s="335"/>
      <c r="L695" s="335"/>
      <c r="M695" s="335"/>
      <c r="N695" s="335"/>
      <c r="O695" s="335"/>
      <c r="P695" s="335"/>
      <c r="Q695" s="1"/>
      <c r="R695" s="1"/>
      <c r="S695" s="1"/>
      <c r="T695" s="1"/>
      <c r="U695" s="1"/>
      <c r="Y695" s="1"/>
    </row>
    <row r="696" ht="12.75" customHeight="1">
      <c r="A696" s="8"/>
      <c r="B696" s="8"/>
      <c r="C696" s="8"/>
      <c r="D696" s="8"/>
      <c r="E696" s="8"/>
      <c r="F696" s="8"/>
      <c r="G696" s="334"/>
      <c r="H696" s="1"/>
      <c r="I696" s="212"/>
      <c r="J696" s="212"/>
      <c r="K696" s="335"/>
      <c r="L696" s="335"/>
      <c r="M696" s="335"/>
      <c r="N696" s="335"/>
      <c r="O696" s="335"/>
      <c r="P696" s="335"/>
      <c r="Q696" s="1"/>
      <c r="R696" s="1"/>
      <c r="S696" s="1"/>
      <c r="T696" s="1"/>
      <c r="U696" s="1"/>
      <c r="Y696" s="1"/>
    </row>
    <row r="697" ht="12.75" customHeight="1">
      <c r="A697" s="8"/>
      <c r="B697" s="8"/>
      <c r="C697" s="8"/>
      <c r="D697" s="8"/>
      <c r="E697" s="8"/>
      <c r="F697" s="8"/>
      <c r="G697" s="334"/>
      <c r="H697" s="1"/>
      <c r="I697" s="212"/>
      <c r="J697" s="212"/>
      <c r="K697" s="335"/>
      <c r="L697" s="335"/>
      <c r="M697" s="335"/>
      <c r="N697" s="335"/>
      <c r="O697" s="335"/>
      <c r="P697" s="335"/>
      <c r="Q697" s="1"/>
      <c r="R697" s="1"/>
      <c r="S697" s="1"/>
      <c r="T697" s="1"/>
      <c r="U697" s="1"/>
      <c r="Y697" s="1"/>
    </row>
    <row r="698" ht="12.75" customHeight="1">
      <c r="A698" s="8"/>
      <c r="B698" s="8"/>
      <c r="C698" s="8"/>
      <c r="D698" s="8"/>
      <c r="E698" s="8"/>
      <c r="F698" s="8"/>
      <c r="G698" s="334"/>
      <c r="H698" s="1"/>
      <c r="I698" s="212"/>
      <c r="J698" s="212"/>
      <c r="K698" s="335"/>
      <c r="L698" s="335"/>
      <c r="M698" s="335"/>
      <c r="N698" s="335"/>
      <c r="O698" s="335"/>
      <c r="P698" s="335"/>
      <c r="Q698" s="1"/>
      <c r="R698" s="1"/>
      <c r="S698" s="1"/>
      <c r="T698" s="1"/>
      <c r="U698" s="1"/>
      <c r="Y698" s="1"/>
    </row>
    <row r="699" ht="12.75" customHeight="1">
      <c r="A699" s="8"/>
      <c r="B699" s="8"/>
      <c r="C699" s="8"/>
      <c r="D699" s="8"/>
      <c r="E699" s="8"/>
      <c r="F699" s="8"/>
      <c r="G699" s="334"/>
      <c r="H699" s="1"/>
      <c r="I699" s="212"/>
      <c r="J699" s="212"/>
      <c r="K699" s="335"/>
      <c r="L699" s="335"/>
      <c r="M699" s="335"/>
      <c r="N699" s="335"/>
      <c r="O699" s="335"/>
      <c r="P699" s="335"/>
      <c r="Q699" s="1"/>
      <c r="R699" s="1"/>
      <c r="S699" s="1"/>
      <c r="T699" s="1"/>
      <c r="U699" s="1"/>
      <c r="Y699" s="1"/>
    </row>
    <row r="700" ht="12.75" customHeight="1">
      <c r="A700" s="8"/>
      <c r="B700" s="8"/>
      <c r="C700" s="8"/>
      <c r="D700" s="8"/>
      <c r="E700" s="8"/>
      <c r="F700" s="8"/>
      <c r="G700" s="334"/>
      <c r="H700" s="1"/>
      <c r="I700" s="212"/>
      <c r="J700" s="212"/>
      <c r="K700" s="335"/>
      <c r="L700" s="335"/>
      <c r="M700" s="335"/>
      <c r="N700" s="335"/>
      <c r="O700" s="335"/>
      <c r="P700" s="335"/>
      <c r="Q700" s="1"/>
      <c r="R700" s="1"/>
      <c r="S700" s="1"/>
      <c r="T700" s="1"/>
      <c r="U700" s="1"/>
      <c r="Y700" s="1"/>
    </row>
    <row r="701" ht="12.75" customHeight="1">
      <c r="A701" s="8"/>
      <c r="B701" s="8"/>
      <c r="C701" s="8"/>
      <c r="D701" s="8"/>
      <c r="E701" s="8"/>
      <c r="F701" s="8"/>
      <c r="G701" s="334"/>
      <c r="H701" s="1"/>
      <c r="I701" s="212"/>
      <c r="J701" s="212"/>
      <c r="K701" s="335"/>
      <c r="L701" s="335"/>
      <c r="M701" s="335"/>
      <c r="N701" s="335"/>
      <c r="O701" s="335"/>
      <c r="P701" s="335"/>
      <c r="Q701" s="1"/>
      <c r="R701" s="1"/>
      <c r="S701" s="1"/>
      <c r="T701" s="1"/>
      <c r="U701" s="1"/>
      <c r="Y701" s="1"/>
    </row>
    <row r="702" ht="12.75" customHeight="1">
      <c r="A702" s="8"/>
      <c r="B702" s="8"/>
      <c r="C702" s="8"/>
      <c r="D702" s="8"/>
      <c r="E702" s="8"/>
      <c r="F702" s="8"/>
      <c r="G702" s="334"/>
      <c r="H702" s="1"/>
      <c r="I702" s="212"/>
      <c r="J702" s="212"/>
      <c r="K702" s="335"/>
      <c r="L702" s="335"/>
      <c r="M702" s="335"/>
      <c r="N702" s="335"/>
      <c r="O702" s="335"/>
      <c r="P702" s="335"/>
      <c r="Q702" s="1"/>
      <c r="R702" s="1"/>
      <c r="S702" s="1"/>
      <c r="T702" s="1"/>
      <c r="U702" s="1"/>
      <c r="Y702" s="1"/>
    </row>
    <row r="703" ht="12.75" customHeight="1">
      <c r="A703" s="8"/>
      <c r="B703" s="8"/>
      <c r="C703" s="8"/>
      <c r="D703" s="8"/>
      <c r="E703" s="8"/>
      <c r="F703" s="8"/>
      <c r="G703" s="334"/>
      <c r="H703" s="1"/>
      <c r="I703" s="212"/>
      <c r="J703" s="212"/>
      <c r="K703" s="335"/>
      <c r="L703" s="335"/>
      <c r="M703" s="335"/>
      <c r="N703" s="335"/>
      <c r="O703" s="335"/>
      <c r="P703" s="335"/>
      <c r="Q703" s="1"/>
      <c r="R703" s="1"/>
      <c r="S703" s="1"/>
      <c r="T703" s="1"/>
      <c r="U703" s="1"/>
      <c r="Y703" s="1"/>
    </row>
    <row r="704" ht="12.75" customHeight="1">
      <c r="A704" s="8"/>
      <c r="B704" s="8"/>
      <c r="C704" s="8"/>
      <c r="D704" s="8"/>
      <c r="E704" s="8"/>
      <c r="F704" s="8"/>
      <c r="G704" s="334"/>
      <c r="H704" s="1"/>
      <c r="I704" s="212"/>
      <c r="J704" s="212"/>
      <c r="K704" s="335"/>
      <c r="L704" s="335"/>
      <c r="M704" s="335"/>
      <c r="N704" s="335"/>
      <c r="O704" s="335"/>
      <c r="P704" s="335"/>
      <c r="Q704" s="1"/>
      <c r="R704" s="1"/>
      <c r="S704" s="1"/>
      <c r="T704" s="1"/>
      <c r="U704" s="1"/>
      <c r="Y704" s="1"/>
    </row>
    <row r="705" ht="12.75" customHeight="1">
      <c r="A705" s="8"/>
      <c r="B705" s="8"/>
      <c r="C705" s="8"/>
      <c r="D705" s="8"/>
      <c r="E705" s="8"/>
      <c r="F705" s="8"/>
      <c r="G705" s="334"/>
      <c r="H705" s="1"/>
      <c r="I705" s="212"/>
      <c r="J705" s="212"/>
      <c r="K705" s="335"/>
      <c r="L705" s="335"/>
      <c r="M705" s="335"/>
      <c r="N705" s="335"/>
      <c r="O705" s="335"/>
      <c r="P705" s="335"/>
      <c r="Q705" s="1"/>
      <c r="R705" s="1"/>
      <c r="S705" s="1"/>
      <c r="T705" s="1"/>
      <c r="U705" s="1"/>
      <c r="Y705" s="1"/>
    </row>
    <row r="706" ht="12.75" customHeight="1">
      <c r="A706" s="8"/>
      <c r="B706" s="8"/>
      <c r="C706" s="8"/>
      <c r="D706" s="8"/>
      <c r="E706" s="8"/>
      <c r="F706" s="8"/>
      <c r="G706" s="334"/>
      <c r="H706" s="1"/>
      <c r="I706" s="212"/>
      <c r="J706" s="212"/>
      <c r="K706" s="335"/>
      <c r="L706" s="335"/>
      <c r="M706" s="335"/>
      <c r="N706" s="335"/>
      <c r="O706" s="335"/>
      <c r="P706" s="335"/>
      <c r="Q706" s="1"/>
      <c r="R706" s="1"/>
      <c r="S706" s="1"/>
      <c r="T706" s="1"/>
      <c r="U706" s="1"/>
      <c r="Y706" s="1"/>
    </row>
    <row r="707" ht="12.75" customHeight="1">
      <c r="A707" s="8"/>
      <c r="B707" s="8"/>
      <c r="C707" s="8"/>
      <c r="D707" s="8"/>
      <c r="E707" s="8"/>
      <c r="F707" s="8"/>
      <c r="G707" s="334"/>
      <c r="H707" s="1"/>
      <c r="I707" s="212"/>
      <c r="J707" s="212"/>
      <c r="K707" s="335"/>
      <c r="L707" s="335"/>
      <c r="M707" s="335"/>
      <c r="N707" s="335"/>
      <c r="O707" s="335"/>
      <c r="P707" s="335"/>
      <c r="Q707" s="1"/>
      <c r="R707" s="1"/>
      <c r="S707" s="1"/>
      <c r="T707" s="1"/>
      <c r="U707" s="1"/>
      <c r="Y707" s="1"/>
    </row>
    <row r="708" ht="12.75" customHeight="1">
      <c r="A708" s="8"/>
      <c r="B708" s="8"/>
      <c r="C708" s="8"/>
      <c r="D708" s="8"/>
      <c r="E708" s="8"/>
      <c r="F708" s="8"/>
      <c r="G708" s="334"/>
      <c r="H708" s="1"/>
      <c r="I708" s="212"/>
      <c r="J708" s="212"/>
      <c r="K708" s="335"/>
      <c r="L708" s="335"/>
      <c r="M708" s="335"/>
      <c r="N708" s="335"/>
      <c r="O708" s="335"/>
      <c r="P708" s="335"/>
      <c r="Q708" s="1"/>
      <c r="R708" s="1"/>
      <c r="S708" s="1"/>
      <c r="T708" s="1"/>
      <c r="U708" s="1"/>
      <c r="Y708" s="1"/>
    </row>
    <row r="709" ht="12.75" customHeight="1">
      <c r="A709" s="8"/>
      <c r="B709" s="8"/>
      <c r="C709" s="8"/>
      <c r="D709" s="8"/>
      <c r="E709" s="8"/>
      <c r="F709" s="8"/>
      <c r="G709" s="334"/>
      <c r="H709" s="1"/>
      <c r="I709" s="212"/>
      <c r="J709" s="212"/>
      <c r="K709" s="335"/>
      <c r="L709" s="335"/>
      <c r="M709" s="335"/>
      <c r="N709" s="335"/>
      <c r="O709" s="335"/>
      <c r="P709" s="335"/>
      <c r="Q709" s="1"/>
      <c r="R709" s="1"/>
      <c r="S709" s="1"/>
      <c r="T709" s="1"/>
      <c r="U709" s="1"/>
      <c r="Y709" s="1"/>
    </row>
    <row r="710" ht="12.75" customHeight="1">
      <c r="A710" s="8"/>
      <c r="B710" s="8"/>
      <c r="C710" s="8"/>
      <c r="D710" s="8"/>
      <c r="E710" s="8"/>
      <c r="F710" s="8"/>
      <c r="G710" s="334"/>
      <c r="H710" s="1"/>
      <c r="I710" s="212"/>
      <c r="J710" s="212"/>
      <c r="K710" s="335"/>
      <c r="L710" s="335"/>
      <c r="M710" s="335"/>
      <c r="N710" s="335"/>
      <c r="O710" s="335"/>
      <c r="P710" s="335"/>
      <c r="Q710" s="1"/>
      <c r="R710" s="1"/>
      <c r="S710" s="1"/>
      <c r="T710" s="1"/>
      <c r="U710" s="1"/>
      <c r="Y710" s="1"/>
    </row>
    <row r="711" ht="12.75" customHeight="1">
      <c r="A711" s="8"/>
      <c r="B711" s="8"/>
      <c r="C711" s="8"/>
      <c r="D711" s="8"/>
      <c r="E711" s="8"/>
      <c r="F711" s="8"/>
      <c r="G711" s="334"/>
      <c r="H711" s="1"/>
      <c r="I711" s="212"/>
      <c r="J711" s="212"/>
      <c r="K711" s="335"/>
      <c r="L711" s="335"/>
      <c r="M711" s="335"/>
      <c r="N711" s="335"/>
      <c r="O711" s="335"/>
      <c r="P711" s="335"/>
      <c r="Q711" s="1"/>
      <c r="R711" s="1"/>
      <c r="S711" s="1"/>
      <c r="T711" s="1"/>
      <c r="U711" s="1"/>
      <c r="Y711" s="1"/>
    </row>
    <row r="712" ht="12.75" customHeight="1">
      <c r="A712" s="8"/>
      <c r="B712" s="8"/>
      <c r="C712" s="8"/>
      <c r="D712" s="8"/>
      <c r="E712" s="8"/>
      <c r="F712" s="8"/>
      <c r="G712" s="334"/>
      <c r="H712" s="1"/>
      <c r="I712" s="212"/>
      <c r="J712" s="212"/>
      <c r="K712" s="335"/>
      <c r="L712" s="335"/>
      <c r="M712" s="335"/>
      <c r="N712" s="335"/>
      <c r="O712" s="335"/>
      <c r="P712" s="335"/>
      <c r="Q712" s="1"/>
      <c r="R712" s="1"/>
      <c r="S712" s="1"/>
      <c r="T712" s="1"/>
      <c r="U712" s="1"/>
      <c r="Y712" s="1"/>
    </row>
    <row r="713" ht="12.75" customHeight="1">
      <c r="A713" s="8"/>
      <c r="B713" s="8"/>
      <c r="C713" s="8"/>
      <c r="D713" s="8"/>
      <c r="E713" s="8"/>
      <c r="F713" s="8"/>
      <c r="G713" s="334"/>
      <c r="H713" s="1"/>
      <c r="I713" s="212"/>
      <c r="J713" s="212"/>
      <c r="K713" s="335"/>
      <c r="L713" s="335"/>
      <c r="M713" s="335"/>
      <c r="N713" s="335"/>
      <c r="O713" s="335"/>
      <c r="P713" s="335"/>
      <c r="Q713" s="1"/>
      <c r="R713" s="1"/>
      <c r="S713" s="1"/>
      <c r="T713" s="1"/>
      <c r="U713" s="1"/>
      <c r="Y713" s="1"/>
    </row>
    <row r="714" ht="12.75" customHeight="1">
      <c r="A714" s="8"/>
      <c r="B714" s="8"/>
      <c r="C714" s="8"/>
      <c r="D714" s="8"/>
      <c r="E714" s="8"/>
      <c r="F714" s="8"/>
      <c r="G714" s="334"/>
      <c r="H714" s="1"/>
      <c r="I714" s="212"/>
      <c r="J714" s="212"/>
      <c r="K714" s="335"/>
      <c r="L714" s="335"/>
      <c r="M714" s="335"/>
      <c r="N714" s="335"/>
      <c r="O714" s="335"/>
      <c r="P714" s="335"/>
      <c r="Q714" s="1"/>
      <c r="R714" s="1"/>
      <c r="S714" s="1"/>
      <c r="T714" s="1"/>
      <c r="U714" s="1"/>
      <c r="Y714" s="1"/>
    </row>
    <row r="715" ht="12.75" customHeight="1">
      <c r="A715" s="8"/>
      <c r="B715" s="8"/>
      <c r="C715" s="8"/>
      <c r="D715" s="8"/>
      <c r="E715" s="8"/>
      <c r="F715" s="8"/>
      <c r="G715" s="334"/>
      <c r="H715" s="1"/>
      <c r="I715" s="212"/>
      <c r="J715" s="212"/>
      <c r="K715" s="335"/>
      <c r="L715" s="335"/>
      <c r="M715" s="335"/>
      <c r="N715" s="335"/>
      <c r="O715" s="335"/>
      <c r="P715" s="335"/>
      <c r="Q715" s="1"/>
      <c r="R715" s="1"/>
      <c r="S715" s="1"/>
      <c r="T715" s="1"/>
      <c r="U715" s="1"/>
      <c r="Y715" s="1"/>
    </row>
    <row r="716" ht="12.75" customHeight="1">
      <c r="A716" s="8"/>
      <c r="B716" s="8"/>
      <c r="C716" s="8"/>
      <c r="D716" s="8"/>
      <c r="E716" s="8"/>
      <c r="F716" s="8"/>
      <c r="G716" s="334"/>
      <c r="H716" s="1"/>
      <c r="I716" s="212"/>
      <c r="J716" s="212"/>
      <c r="K716" s="335"/>
      <c r="L716" s="335"/>
      <c r="M716" s="335"/>
      <c r="N716" s="335"/>
      <c r="O716" s="335"/>
      <c r="P716" s="335"/>
      <c r="Q716" s="1"/>
      <c r="R716" s="1"/>
      <c r="S716" s="1"/>
      <c r="T716" s="1"/>
      <c r="U716" s="1"/>
      <c r="Y716" s="1"/>
    </row>
    <row r="717" ht="12.75" customHeight="1">
      <c r="A717" s="8"/>
      <c r="B717" s="8"/>
      <c r="C717" s="8"/>
      <c r="D717" s="8"/>
      <c r="E717" s="8"/>
      <c r="F717" s="8"/>
      <c r="G717" s="334"/>
      <c r="H717" s="1"/>
      <c r="I717" s="212"/>
      <c r="J717" s="212"/>
      <c r="K717" s="335"/>
      <c r="L717" s="335"/>
      <c r="M717" s="335"/>
      <c r="N717" s="335"/>
      <c r="O717" s="335"/>
      <c r="P717" s="335"/>
      <c r="Q717" s="1"/>
      <c r="R717" s="1"/>
      <c r="S717" s="1"/>
      <c r="T717" s="1"/>
      <c r="U717" s="1"/>
      <c r="Y717" s="1"/>
    </row>
    <row r="718" ht="12.75" customHeight="1">
      <c r="A718" s="8"/>
      <c r="B718" s="8"/>
      <c r="C718" s="8"/>
      <c r="D718" s="8"/>
      <c r="E718" s="8"/>
      <c r="F718" s="8"/>
      <c r="G718" s="334"/>
      <c r="H718" s="1"/>
      <c r="I718" s="212"/>
      <c r="J718" s="212"/>
      <c r="K718" s="335"/>
      <c r="L718" s="335"/>
      <c r="M718" s="335"/>
      <c r="N718" s="335"/>
      <c r="O718" s="335"/>
      <c r="P718" s="335"/>
      <c r="Q718" s="1"/>
      <c r="R718" s="1"/>
      <c r="S718" s="1"/>
      <c r="T718" s="1"/>
      <c r="U718" s="1"/>
      <c r="Y718" s="1"/>
    </row>
    <row r="719" ht="12.75" customHeight="1">
      <c r="A719" s="8"/>
      <c r="B719" s="8"/>
      <c r="C719" s="8"/>
      <c r="D719" s="8"/>
      <c r="E719" s="8"/>
      <c r="F719" s="8"/>
      <c r="G719" s="334"/>
      <c r="H719" s="1"/>
      <c r="I719" s="212"/>
      <c r="J719" s="212"/>
      <c r="K719" s="335"/>
      <c r="L719" s="335"/>
      <c r="M719" s="335"/>
      <c r="N719" s="335"/>
      <c r="O719" s="335"/>
      <c r="P719" s="335"/>
      <c r="Q719" s="1"/>
      <c r="R719" s="1"/>
      <c r="S719" s="1"/>
      <c r="T719" s="1"/>
      <c r="U719" s="1"/>
      <c r="Y719" s="1"/>
    </row>
    <row r="720" ht="12.75" customHeight="1">
      <c r="A720" s="8"/>
      <c r="B720" s="8"/>
      <c r="C720" s="8"/>
      <c r="D720" s="8"/>
      <c r="E720" s="8"/>
      <c r="F720" s="8"/>
      <c r="G720" s="334"/>
      <c r="H720" s="1"/>
      <c r="I720" s="212"/>
      <c r="J720" s="212"/>
      <c r="K720" s="335"/>
      <c r="L720" s="335"/>
      <c r="M720" s="335"/>
      <c r="N720" s="335"/>
      <c r="O720" s="335"/>
      <c r="P720" s="335"/>
      <c r="Q720" s="1"/>
      <c r="R720" s="1"/>
      <c r="S720" s="1"/>
      <c r="T720" s="1"/>
      <c r="U720" s="1"/>
      <c r="Y720" s="1"/>
    </row>
    <row r="721" ht="12.75" customHeight="1">
      <c r="A721" s="8"/>
      <c r="B721" s="8"/>
      <c r="C721" s="8"/>
      <c r="D721" s="8"/>
      <c r="E721" s="8"/>
      <c r="F721" s="8"/>
      <c r="G721" s="334"/>
      <c r="H721" s="1"/>
      <c r="I721" s="212"/>
      <c r="J721" s="212"/>
      <c r="K721" s="335"/>
      <c r="L721" s="335"/>
      <c r="M721" s="335"/>
      <c r="N721" s="335"/>
      <c r="O721" s="335"/>
      <c r="P721" s="335"/>
      <c r="Q721" s="1"/>
      <c r="R721" s="1"/>
      <c r="S721" s="1"/>
      <c r="T721" s="1"/>
      <c r="U721" s="1"/>
      <c r="Y721" s="1"/>
    </row>
    <row r="722" ht="12.75" customHeight="1">
      <c r="A722" s="8"/>
      <c r="B722" s="8"/>
      <c r="C722" s="8"/>
      <c r="D722" s="8"/>
      <c r="E722" s="8"/>
      <c r="F722" s="8"/>
      <c r="G722" s="334"/>
      <c r="H722" s="1"/>
      <c r="I722" s="212"/>
      <c r="J722" s="212"/>
      <c r="K722" s="335"/>
      <c r="L722" s="335"/>
      <c r="M722" s="335"/>
      <c r="N722" s="335"/>
      <c r="O722" s="335"/>
      <c r="P722" s="335"/>
      <c r="Q722" s="1"/>
      <c r="R722" s="1"/>
      <c r="S722" s="1"/>
      <c r="T722" s="1"/>
      <c r="U722" s="1"/>
      <c r="Y722" s="1"/>
    </row>
    <row r="723" ht="12.75" customHeight="1">
      <c r="A723" s="8"/>
      <c r="B723" s="8"/>
      <c r="C723" s="8"/>
      <c r="D723" s="8"/>
      <c r="E723" s="8"/>
      <c r="F723" s="8"/>
      <c r="G723" s="334"/>
      <c r="H723" s="1"/>
      <c r="I723" s="212"/>
      <c r="J723" s="212"/>
      <c r="K723" s="335"/>
      <c r="L723" s="335"/>
      <c r="M723" s="335"/>
      <c r="N723" s="335"/>
      <c r="O723" s="335"/>
      <c r="P723" s="335"/>
      <c r="Q723" s="1"/>
      <c r="R723" s="1"/>
      <c r="S723" s="1"/>
      <c r="T723" s="1"/>
      <c r="U723" s="1"/>
      <c r="Y723" s="1"/>
    </row>
    <row r="724" ht="12.75" customHeight="1">
      <c r="A724" s="8"/>
      <c r="B724" s="8"/>
      <c r="C724" s="8"/>
      <c r="D724" s="8"/>
      <c r="E724" s="8"/>
      <c r="F724" s="8"/>
      <c r="G724" s="334"/>
      <c r="H724" s="1"/>
      <c r="I724" s="212"/>
      <c r="J724" s="212"/>
      <c r="K724" s="335"/>
      <c r="L724" s="335"/>
      <c r="M724" s="335"/>
      <c r="N724" s="335"/>
      <c r="O724" s="335"/>
      <c r="P724" s="335"/>
      <c r="Q724" s="1"/>
      <c r="R724" s="1"/>
      <c r="S724" s="1"/>
      <c r="T724" s="1"/>
      <c r="U724" s="1"/>
      <c r="Y724" s="1"/>
    </row>
    <row r="725" ht="12.75" customHeight="1">
      <c r="A725" s="8"/>
      <c r="B725" s="8"/>
      <c r="C725" s="8"/>
      <c r="D725" s="8"/>
      <c r="E725" s="8"/>
      <c r="F725" s="8"/>
      <c r="G725" s="334"/>
      <c r="H725" s="1"/>
      <c r="I725" s="212"/>
      <c r="J725" s="212"/>
      <c r="K725" s="335"/>
      <c r="L725" s="335"/>
      <c r="M725" s="335"/>
      <c r="N725" s="335"/>
      <c r="O725" s="335"/>
      <c r="P725" s="335"/>
      <c r="Q725" s="1"/>
      <c r="R725" s="1"/>
      <c r="S725" s="1"/>
      <c r="T725" s="1"/>
      <c r="U725" s="1"/>
      <c r="Y725" s="1"/>
    </row>
    <row r="726" ht="12.75" customHeight="1">
      <c r="A726" s="8"/>
      <c r="B726" s="8"/>
      <c r="C726" s="8"/>
      <c r="D726" s="8"/>
      <c r="E726" s="8"/>
      <c r="F726" s="8"/>
      <c r="G726" s="334"/>
      <c r="H726" s="1"/>
      <c r="I726" s="212"/>
      <c r="J726" s="212"/>
      <c r="K726" s="335"/>
      <c r="L726" s="335"/>
      <c r="M726" s="335"/>
      <c r="N726" s="335"/>
      <c r="O726" s="335"/>
      <c r="P726" s="335"/>
      <c r="Q726" s="1"/>
      <c r="R726" s="1"/>
      <c r="S726" s="1"/>
      <c r="T726" s="1"/>
      <c r="U726" s="1"/>
      <c r="Y726" s="1"/>
    </row>
    <row r="727" ht="12.75" customHeight="1">
      <c r="A727" s="8"/>
      <c r="B727" s="8"/>
      <c r="C727" s="8"/>
      <c r="D727" s="8"/>
      <c r="E727" s="8"/>
      <c r="F727" s="8"/>
      <c r="G727" s="334"/>
      <c r="H727" s="1"/>
      <c r="I727" s="212"/>
      <c r="J727" s="212"/>
      <c r="K727" s="335"/>
      <c r="L727" s="335"/>
      <c r="M727" s="335"/>
      <c r="N727" s="335"/>
      <c r="O727" s="335"/>
      <c r="P727" s="335"/>
      <c r="Q727" s="1"/>
      <c r="R727" s="1"/>
      <c r="S727" s="1"/>
      <c r="T727" s="1"/>
      <c r="U727" s="1"/>
      <c r="Y727" s="1"/>
    </row>
    <row r="728" ht="12.75" customHeight="1">
      <c r="A728" s="8"/>
      <c r="B728" s="8"/>
      <c r="C728" s="8"/>
      <c r="D728" s="8"/>
      <c r="E728" s="8"/>
      <c r="F728" s="8"/>
      <c r="G728" s="334"/>
      <c r="H728" s="1"/>
      <c r="I728" s="212"/>
      <c r="J728" s="212"/>
      <c r="K728" s="335"/>
      <c r="L728" s="335"/>
      <c r="M728" s="335"/>
      <c r="N728" s="335"/>
      <c r="O728" s="335"/>
      <c r="P728" s="335"/>
      <c r="Q728" s="1"/>
      <c r="R728" s="1"/>
      <c r="S728" s="1"/>
      <c r="T728" s="1"/>
      <c r="U728" s="1"/>
      <c r="Y728" s="1"/>
    </row>
    <row r="729" ht="12.75" customHeight="1">
      <c r="A729" s="8"/>
      <c r="B729" s="8"/>
      <c r="C729" s="8"/>
      <c r="D729" s="8"/>
      <c r="E729" s="8"/>
      <c r="F729" s="8"/>
      <c r="G729" s="334"/>
      <c r="H729" s="1"/>
      <c r="I729" s="212"/>
      <c r="J729" s="212"/>
      <c r="K729" s="335"/>
      <c r="L729" s="335"/>
      <c r="M729" s="335"/>
      <c r="N729" s="335"/>
      <c r="O729" s="335"/>
      <c r="P729" s="335"/>
      <c r="Q729" s="1"/>
      <c r="R729" s="1"/>
      <c r="S729" s="1"/>
      <c r="T729" s="1"/>
      <c r="U729" s="1"/>
      <c r="Y729" s="1"/>
    </row>
    <row r="730" ht="12.75" customHeight="1">
      <c r="A730" s="8"/>
      <c r="B730" s="8"/>
      <c r="C730" s="8"/>
      <c r="D730" s="8"/>
      <c r="E730" s="8"/>
      <c r="F730" s="8"/>
      <c r="G730" s="334"/>
      <c r="H730" s="1"/>
      <c r="I730" s="212"/>
      <c r="J730" s="212"/>
      <c r="K730" s="335"/>
      <c r="L730" s="335"/>
      <c r="M730" s="335"/>
      <c r="N730" s="335"/>
      <c r="O730" s="335"/>
      <c r="P730" s="335"/>
      <c r="Q730" s="1"/>
      <c r="R730" s="1"/>
      <c r="S730" s="1"/>
      <c r="T730" s="1"/>
      <c r="U730" s="1"/>
      <c r="Y730" s="1"/>
    </row>
    <row r="731" ht="12.75" customHeight="1">
      <c r="A731" s="8"/>
      <c r="B731" s="8"/>
      <c r="C731" s="8"/>
      <c r="D731" s="8"/>
      <c r="E731" s="8"/>
      <c r="F731" s="8"/>
      <c r="G731" s="334"/>
      <c r="H731" s="1"/>
      <c r="I731" s="212"/>
      <c r="J731" s="212"/>
      <c r="K731" s="335"/>
      <c r="L731" s="335"/>
      <c r="M731" s="335"/>
      <c r="N731" s="335"/>
      <c r="O731" s="335"/>
      <c r="P731" s="335"/>
      <c r="Q731" s="1"/>
      <c r="R731" s="1"/>
      <c r="S731" s="1"/>
      <c r="T731" s="1"/>
      <c r="U731" s="1"/>
      <c r="Y731" s="1"/>
    </row>
    <row r="732" ht="12.75" customHeight="1">
      <c r="A732" s="8"/>
      <c r="B732" s="8"/>
      <c r="C732" s="8"/>
      <c r="D732" s="8"/>
      <c r="E732" s="8"/>
      <c r="F732" s="8"/>
      <c r="G732" s="334"/>
      <c r="H732" s="1"/>
      <c r="I732" s="212"/>
      <c r="J732" s="212"/>
      <c r="K732" s="335"/>
      <c r="L732" s="335"/>
      <c r="M732" s="335"/>
      <c r="N732" s="335"/>
      <c r="O732" s="335"/>
      <c r="P732" s="335"/>
      <c r="Q732" s="1"/>
      <c r="R732" s="1"/>
      <c r="S732" s="1"/>
      <c r="T732" s="1"/>
      <c r="U732" s="1"/>
      <c r="Y732" s="1"/>
    </row>
    <row r="733" ht="12.75" customHeight="1">
      <c r="A733" s="8"/>
      <c r="B733" s="8"/>
      <c r="C733" s="8"/>
      <c r="D733" s="8"/>
      <c r="E733" s="8"/>
      <c r="F733" s="8"/>
      <c r="G733" s="334"/>
      <c r="H733" s="1"/>
      <c r="I733" s="212"/>
      <c r="J733" s="212"/>
      <c r="K733" s="335"/>
      <c r="L733" s="335"/>
      <c r="M733" s="335"/>
      <c r="N733" s="335"/>
      <c r="O733" s="335"/>
      <c r="P733" s="335"/>
      <c r="Q733" s="1"/>
      <c r="R733" s="1"/>
      <c r="S733" s="1"/>
      <c r="T733" s="1"/>
      <c r="U733" s="1"/>
      <c r="Y733" s="1"/>
    </row>
    <row r="734" ht="12.75" customHeight="1">
      <c r="A734" s="8"/>
      <c r="B734" s="8"/>
      <c r="C734" s="8"/>
      <c r="D734" s="8"/>
      <c r="E734" s="8"/>
      <c r="F734" s="8"/>
      <c r="G734" s="334"/>
      <c r="H734" s="1"/>
      <c r="I734" s="212"/>
      <c r="J734" s="212"/>
      <c r="K734" s="335"/>
      <c r="L734" s="335"/>
      <c r="M734" s="335"/>
      <c r="N734" s="335"/>
      <c r="O734" s="335"/>
      <c r="P734" s="335"/>
      <c r="Q734" s="1"/>
      <c r="R734" s="1"/>
      <c r="S734" s="1"/>
      <c r="T734" s="1"/>
      <c r="U734" s="1"/>
      <c r="Y734" s="1"/>
    </row>
    <row r="735" ht="12.75" customHeight="1">
      <c r="A735" s="8"/>
      <c r="B735" s="8"/>
      <c r="C735" s="8"/>
      <c r="D735" s="8"/>
      <c r="E735" s="8"/>
      <c r="F735" s="8"/>
      <c r="G735" s="334"/>
      <c r="H735" s="1"/>
      <c r="I735" s="212"/>
      <c r="J735" s="212"/>
      <c r="K735" s="335"/>
      <c r="L735" s="335"/>
      <c r="M735" s="335"/>
      <c r="N735" s="335"/>
      <c r="O735" s="335"/>
      <c r="P735" s="335"/>
      <c r="Q735" s="1"/>
      <c r="R735" s="1"/>
      <c r="S735" s="1"/>
      <c r="T735" s="1"/>
      <c r="U735" s="1"/>
      <c r="Y735" s="1"/>
    </row>
    <row r="736" ht="12.75" customHeight="1">
      <c r="A736" s="8"/>
      <c r="B736" s="8"/>
      <c r="C736" s="8"/>
      <c r="D736" s="8"/>
      <c r="E736" s="8"/>
      <c r="F736" s="8"/>
      <c r="G736" s="334"/>
      <c r="H736" s="1"/>
      <c r="I736" s="212"/>
      <c r="J736" s="212"/>
      <c r="K736" s="335"/>
      <c r="L736" s="335"/>
      <c r="M736" s="335"/>
      <c r="N736" s="335"/>
      <c r="O736" s="335"/>
      <c r="P736" s="335"/>
      <c r="Q736" s="1"/>
      <c r="R736" s="1"/>
      <c r="S736" s="1"/>
      <c r="T736" s="1"/>
      <c r="U736" s="1"/>
      <c r="Y736" s="1"/>
    </row>
    <row r="737" ht="12.75" customHeight="1">
      <c r="A737" s="8"/>
      <c r="B737" s="8"/>
      <c r="C737" s="8"/>
      <c r="D737" s="8"/>
      <c r="E737" s="8"/>
      <c r="F737" s="8"/>
      <c r="G737" s="334"/>
      <c r="H737" s="1"/>
      <c r="I737" s="212"/>
      <c r="J737" s="212"/>
      <c r="K737" s="335"/>
      <c r="L737" s="335"/>
      <c r="M737" s="335"/>
      <c r="N737" s="335"/>
      <c r="O737" s="335"/>
      <c r="P737" s="335"/>
      <c r="Q737" s="1"/>
      <c r="R737" s="1"/>
      <c r="S737" s="1"/>
      <c r="T737" s="1"/>
      <c r="U737" s="1"/>
      <c r="Y737" s="1"/>
    </row>
    <row r="738" ht="12.75" customHeight="1">
      <c r="A738" s="8"/>
      <c r="B738" s="8"/>
      <c r="C738" s="8"/>
      <c r="D738" s="8"/>
      <c r="E738" s="8"/>
      <c r="F738" s="8"/>
      <c r="G738" s="334"/>
      <c r="H738" s="1"/>
      <c r="I738" s="212"/>
      <c r="J738" s="212"/>
      <c r="K738" s="335"/>
      <c r="L738" s="335"/>
      <c r="M738" s="335"/>
      <c r="N738" s="335"/>
      <c r="O738" s="335"/>
      <c r="P738" s="335"/>
      <c r="Q738" s="1"/>
      <c r="R738" s="1"/>
      <c r="S738" s="1"/>
      <c r="T738" s="1"/>
      <c r="U738" s="1"/>
      <c r="Y738" s="1"/>
    </row>
    <row r="739" ht="12.75" customHeight="1">
      <c r="A739" s="8"/>
      <c r="B739" s="8"/>
      <c r="C739" s="8"/>
      <c r="D739" s="8"/>
      <c r="E739" s="8"/>
      <c r="F739" s="8"/>
      <c r="G739" s="334"/>
      <c r="H739" s="1"/>
      <c r="I739" s="212"/>
      <c r="J739" s="212"/>
      <c r="K739" s="335"/>
      <c r="L739" s="335"/>
      <c r="M739" s="335"/>
      <c r="N739" s="335"/>
      <c r="O739" s="335"/>
      <c r="P739" s="335"/>
      <c r="Q739" s="1"/>
      <c r="R739" s="1"/>
      <c r="S739" s="1"/>
      <c r="T739" s="1"/>
      <c r="U739" s="1"/>
      <c r="Y739" s="1"/>
    </row>
    <row r="740" ht="12.75" customHeight="1">
      <c r="A740" s="8"/>
      <c r="B740" s="8"/>
      <c r="C740" s="8"/>
      <c r="D740" s="8"/>
      <c r="E740" s="8"/>
      <c r="F740" s="8"/>
      <c r="G740" s="334"/>
      <c r="H740" s="1"/>
      <c r="I740" s="212"/>
      <c r="J740" s="212"/>
      <c r="K740" s="335"/>
      <c r="L740" s="335"/>
      <c r="M740" s="335"/>
      <c r="N740" s="335"/>
      <c r="O740" s="335"/>
      <c r="P740" s="335"/>
      <c r="Q740" s="1"/>
      <c r="R740" s="1"/>
      <c r="S740" s="1"/>
      <c r="T740" s="1"/>
      <c r="U740" s="1"/>
      <c r="Y740" s="1"/>
    </row>
    <row r="741" ht="12.75" customHeight="1">
      <c r="A741" s="8"/>
      <c r="B741" s="8"/>
      <c r="C741" s="8"/>
      <c r="D741" s="8"/>
      <c r="E741" s="8"/>
      <c r="F741" s="8"/>
      <c r="G741" s="334"/>
      <c r="H741" s="1"/>
      <c r="I741" s="212"/>
      <c r="J741" s="212"/>
      <c r="K741" s="335"/>
      <c r="L741" s="335"/>
      <c r="M741" s="335"/>
      <c r="N741" s="335"/>
      <c r="O741" s="335"/>
      <c r="P741" s="335"/>
      <c r="Q741" s="1"/>
      <c r="R741" s="1"/>
      <c r="S741" s="1"/>
      <c r="T741" s="1"/>
      <c r="U741" s="1"/>
      <c r="Y741" s="1"/>
    </row>
    <row r="742" ht="12.75" customHeight="1">
      <c r="A742" s="8"/>
      <c r="B742" s="8"/>
      <c r="C742" s="8"/>
      <c r="D742" s="8"/>
      <c r="E742" s="8"/>
      <c r="F742" s="8"/>
      <c r="G742" s="334"/>
      <c r="H742" s="1"/>
      <c r="I742" s="212"/>
      <c r="J742" s="212"/>
      <c r="K742" s="335"/>
      <c r="L742" s="335"/>
      <c r="M742" s="335"/>
      <c r="N742" s="335"/>
      <c r="O742" s="335"/>
      <c r="P742" s="335"/>
      <c r="Q742" s="1"/>
      <c r="R742" s="1"/>
      <c r="S742" s="1"/>
      <c r="T742" s="1"/>
      <c r="U742" s="1"/>
      <c r="Y742" s="1"/>
    </row>
    <row r="743" ht="12.75" customHeight="1">
      <c r="A743" s="8"/>
      <c r="B743" s="8"/>
      <c r="C743" s="8"/>
      <c r="D743" s="8"/>
      <c r="E743" s="8"/>
      <c r="F743" s="8"/>
      <c r="G743" s="334"/>
      <c r="H743" s="1"/>
      <c r="I743" s="212"/>
      <c r="J743" s="212"/>
      <c r="K743" s="335"/>
      <c r="L743" s="335"/>
      <c r="M743" s="335"/>
      <c r="N743" s="335"/>
      <c r="O743" s="335"/>
      <c r="P743" s="335"/>
      <c r="Q743" s="1"/>
      <c r="R743" s="1"/>
      <c r="S743" s="1"/>
      <c r="T743" s="1"/>
      <c r="U743" s="1"/>
      <c r="Y743" s="1"/>
    </row>
    <row r="744" ht="12.75" customHeight="1">
      <c r="A744" s="8"/>
      <c r="B744" s="8"/>
      <c r="C744" s="8"/>
      <c r="D744" s="8"/>
      <c r="E744" s="8"/>
      <c r="F744" s="8"/>
      <c r="G744" s="334"/>
      <c r="H744" s="1"/>
      <c r="I744" s="212"/>
      <c r="J744" s="212"/>
      <c r="K744" s="335"/>
      <c r="L744" s="335"/>
      <c r="M744" s="335"/>
      <c r="N744" s="335"/>
      <c r="O744" s="335"/>
      <c r="P744" s="335"/>
      <c r="Q744" s="1"/>
      <c r="R744" s="1"/>
      <c r="S744" s="1"/>
      <c r="T744" s="1"/>
      <c r="U744" s="1"/>
      <c r="Y744" s="1"/>
    </row>
    <row r="745" ht="12.75" customHeight="1">
      <c r="A745" s="8"/>
      <c r="B745" s="8"/>
      <c r="C745" s="8"/>
      <c r="D745" s="8"/>
      <c r="E745" s="8"/>
      <c r="F745" s="8"/>
      <c r="G745" s="334"/>
      <c r="H745" s="1"/>
      <c r="I745" s="212"/>
      <c r="J745" s="212"/>
      <c r="K745" s="335"/>
      <c r="L745" s="335"/>
      <c r="M745" s="335"/>
      <c r="N745" s="335"/>
      <c r="O745" s="335"/>
      <c r="P745" s="335"/>
      <c r="Q745" s="1"/>
      <c r="R745" s="1"/>
      <c r="S745" s="1"/>
      <c r="T745" s="1"/>
      <c r="U745" s="1"/>
      <c r="Y745" s="1"/>
    </row>
    <row r="746" ht="12.75" customHeight="1">
      <c r="A746" s="8"/>
      <c r="B746" s="8"/>
      <c r="C746" s="8"/>
      <c r="D746" s="8"/>
      <c r="E746" s="8"/>
      <c r="F746" s="8"/>
      <c r="G746" s="334"/>
      <c r="H746" s="1"/>
      <c r="I746" s="212"/>
      <c r="J746" s="212"/>
      <c r="K746" s="335"/>
      <c r="L746" s="335"/>
      <c r="M746" s="335"/>
      <c r="N746" s="335"/>
      <c r="O746" s="335"/>
      <c r="P746" s="335"/>
      <c r="Q746" s="1"/>
      <c r="R746" s="1"/>
      <c r="S746" s="1"/>
      <c r="T746" s="1"/>
      <c r="U746" s="1"/>
      <c r="Y746" s="1"/>
    </row>
    <row r="747" ht="12.75" customHeight="1">
      <c r="A747" s="8"/>
      <c r="B747" s="8"/>
      <c r="C747" s="8"/>
      <c r="D747" s="8"/>
      <c r="E747" s="8"/>
      <c r="F747" s="8"/>
      <c r="G747" s="334"/>
      <c r="H747" s="1"/>
      <c r="I747" s="212"/>
      <c r="J747" s="212"/>
      <c r="K747" s="335"/>
      <c r="L747" s="335"/>
      <c r="M747" s="335"/>
      <c r="N747" s="335"/>
      <c r="O747" s="335"/>
      <c r="P747" s="335"/>
      <c r="Q747" s="1"/>
      <c r="R747" s="1"/>
      <c r="S747" s="1"/>
      <c r="T747" s="1"/>
      <c r="U747" s="1"/>
      <c r="Y747" s="1"/>
    </row>
    <row r="748" ht="12.75" customHeight="1">
      <c r="A748" s="8"/>
      <c r="B748" s="8"/>
      <c r="C748" s="8"/>
      <c r="D748" s="8"/>
      <c r="E748" s="8"/>
      <c r="F748" s="8"/>
      <c r="G748" s="334"/>
      <c r="H748" s="1"/>
      <c r="I748" s="212"/>
      <c r="J748" s="212"/>
      <c r="K748" s="335"/>
      <c r="L748" s="335"/>
      <c r="M748" s="335"/>
      <c r="N748" s="335"/>
      <c r="O748" s="335"/>
      <c r="P748" s="335"/>
      <c r="Q748" s="1"/>
      <c r="R748" s="1"/>
      <c r="S748" s="1"/>
      <c r="T748" s="1"/>
      <c r="U748" s="1"/>
      <c r="Y748" s="1"/>
    </row>
    <row r="749" ht="12.75" customHeight="1">
      <c r="A749" s="8"/>
      <c r="B749" s="8"/>
      <c r="C749" s="8"/>
      <c r="D749" s="8"/>
      <c r="E749" s="8"/>
      <c r="F749" s="8"/>
      <c r="G749" s="334"/>
      <c r="H749" s="1"/>
      <c r="I749" s="212"/>
      <c r="J749" s="212"/>
      <c r="K749" s="335"/>
      <c r="L749" s="335"/>
      <c r="M749" s="335"/>
      <c r="N749" s="335"/>
      <c r="O749" s="335"/>
      <c r="P749" s="335"/>
      <c r="Q749" s="1"/>
      <c r="R749" s="1"/>
      <c r="S749" s="1"/>
      <c r="T749" s="1"/>
      <c r="U749" s="1"/>
      <c r="Y749" s="1"/>
    </row>
    <row r="750" ht="12.75" customHeight="1">
      <c r="A750" s="8"/>
      <c r="B750" s="8"/>
      <c r="C750" s="8"/>
      <c r="D750" s="8"/>
      <c r="E750" s="8"/>
      <c r="F750" s="8"/>
      <c r="G750" s="334"/>
      <c r="H750" s="1"/>
      <c r="I750" s="212"/>
      <c r="J750" s="212"/>
      <c r="K750" s="335"/>
      <c r="L750" s="335"/>
      <c r="M750" s="335"/>
      <c r="N750" s="335"/>
      <c r="O750" s="335"/>
      <c r="P750" s="335"/>
      <c r="Q750" s="1"/>
      <c r="R750" s="1"/>
      <c r="S750" s="1"/>
      <c r="T750" s="1"/>
      <c r="U750" s="1"/>
      <c r="Y750" s="1"/>
    </row>
    <row r="751" ht="12.75" customHeight="1">
      <c r="A751" s="8"/>
      <c r="B751" s="8"/>
      <c r="C751" s="8"/>
      <c r="D751" s="8"/>
      <c r="E751" s="8"/>
      <c r="F751" s="8"/>
      <c r="G751" s="334"/>
      <c r="H751" s="1"/>
      <c r="I751" s="212"/>
      <c r="J751" s="212"/>
      <c r="K751" s="335"/>
      <c r="L751" s="335"/>
      <c r="M751" s="335"/>
      <c r="N751" s="335"/>
      <c r="O751" s="335"/>
      <c r="P751" s="335"/>
      <c r="Q751" s="1"/>
      <c r="R751" s="1"/>
      <c r="S751" s="1"/>
      <c r="T751" s="1"/>
      <c r="U751" s="1"/>
      <c r="Y751" s="1"/>
    </row>
    <row r="752" ht="12.75" customHeight="1">
      <c r="A752" s="8"/>
      <c r="B752" s="8"/>
      <c r="C752" s="8"/>
      <c r="D752" s="8"/>
      <c r="E752" s="8"/>
      <c r="F752" s="8"/>
      <c r="G752" s="334"/>
      <c r="H752" s="1"/>
      <c r="I752" s="212"/>
      <c r="J752" s="212"/>
      <c r="K752" s="335"/>
      <c r="L752" s="335"/>
      <c r="M752" s="335"/>
      <c r="N752" s="335"/>
      <c r="O752" s="335"/>
      <c r="P752" s="335"/>
      <c r="Q752" s="1"/>
      <c r="R752" s="1"/>
      <c r="S752" s="1"/>
      <c r="T752" s="1"/>
      <c r="U752" s="1"/>
      <c r="Y752" s="1"/>
    </row>
    <row r="753" ht="12.75" customHeight="1">
      <c r="A753" s="8"/>
      <c r="B753" s="8"/>
      <c r="C753" s="8"/>
      <c r="D753" s="8"/>
      <c r="E753" s="8"/>
      <c r="F753" s="8"/>
      <c r="G753" s="334"/>
      <c r="H753" s="1"/>
      <c r="I753" s="212"/>
      <c r="J753" s="212"/>
      <c r="K753" s="335"/>
      <c r="L753" s="335"/>
      <c r="M753" s="335"/>
      <c r="N753" s="335"/>
      <c r="O753" s="335"/>
      <c r="P753" s="335"/>
      <c r="Q753" s="1"/>
      <c r="R753" s="1"/>
      <c r="S753" s="1"/>
      <c r="T753" s="1"/>
      <c r="U753" s="1"/>
      <c r="Y753" s="1"/>
    </row>
    <row r="754" ht="12.75" customHeight="1">
      <c r="A754" s="8"/>
      <c r="B754" s="8"/>
      <c r="C754" s="8"/>
      <c r="D754" s="8"/>
      <c r="E754" s="8"/>
      <c r="F754" s="8"/>
      <c r="G754" s="334"/>
      <c r="H754" s="1"/>
      <c r="I754" s="212"/>
      <c r="J754" s="212"/>
      <c r="K754" s="335"/>
      <c r="L754" s="335"/>
      <c r="M754" s="335"/>
      <c r="N754" s="335"/>
      <c r="O754" s="335"/>
      <c r="P754" s="335"/>
      <c r="Q754" s="1"/>
      <c r="R754" s="1"/>
      <c r="S754" s="1"/>
      <c r="T754" s="1"/>
      <c r="U754" s="1"/>
      <c r="Y754" s="1"/>
    </row>
    <row r="755" ht="12.75" customHeight="1">
      <c r="A755" s="8"/>
      <c r="B755" s="8"/>
      <c r="C755" s="8"/>
      <c r="D755" s="8"/>
      <c r="E755" s="8"/>
      <c r="F755" s="8"/>
      <c r="G755" s="334"/>
      <c r="H755" s="1"/>
      <c r="I755" s="212"/>
      <c r="J755" s="212"/>
      <c r="K755" s="335"/>
      <c r="L755" s="335"/>
      <c r="M755" s="335"/>
      <c r="N755" s="335"/>
      <c r="O755" s="335"/>
      <c r="P755" s="335"/>
      <c r="Q755" s="1"/>
      <c r="R755" s="1"/>
      <c r="S755" s="1"/>
      <c r="T755" s="1"/>
      <c r="U755" s="1"/>
      <c r="Y755" s="1"/>
    </row>
    <row r="756" ht="12.75" customHeight="1">
      <c r="A756" s="8"/>
      <c r="B756" s="8"/>
      <c r="C756" s="8"/>
      <c r="D756" s="8"/>
      <c r="E756" s="8"/>
      <c r="F756" s="8"/>
      <c r="G756" s="334"/>
      <c r="H756" s="1"/>
      <c r="I756" s="212"/>
      <c r="J756" s="212"/>
      <c r="K756" s="335"/>
      <c r="L756" s="335"/>
      <c r="M756" s="335"/>
      <c r="N756" s="335"/>
      <c r="O756" s="335"/>
      <c r="P756" s="335"/>
      <c r="Q756" s="1"/>
      <c r="R756" s="1"/>
      <c r="S756" s="1"/>
      <c r="T756" s="1"/>
      <c r="U756" s="1"/>
      <c r="Y756" s="1"/>
    </row>
    <row r="757" ht="12.75" customHeight="1">
      <c r="A757" s="8"/>
      <c r="B757" s="8"/>
      <c r="C757" s="8"/>
      <c r="D757" s="8"/>
      <c r="E757" s="8"/>
      <c r="F757" s="8"/>
      <c r="G757" s="334"/>
      <c r="H757" s="1"/>
      <c r="I757" s="212"/>
      <c r="J757" s="212"/>
      <c r="K757" s="335"/>
      <c r="L757" s="335"/>
      <c r="M757" s="335"/>
      <c r="N757" s="335"/>
      <c r="O757" s="335"/>
      <c r="P757" s="335"/>
      <c r="Q757" s="1"/>
      <c r="R757" s="1"/>
      <c r="S757" s="1"/>
      <c r="T757" s="1"/>
      <c r="U757" s="1"/>
      <c r="Y757" s="1"/>
    </row>
    <row r="758" ht="12.75" customHeight="1">
      <c r="A758" s="8"/>
      <c r="B758" s="8"/>
      <c r="C758" s="8"/>
      <c r="D758" s="8"/>
      <c r="E758" s="8"/>
      <c r="F758" s="8"/>
      <c r="G758" s="334"/>
      <c r="H758" s="1"/>
      <c r="I758" s="212"/>
      <c r="J758" s="212"/>
      <c r="K758" s="335"/>
      <c r="L758" s="335"/>
      <c r="M758" s="335"/>
      <c r="N758" s="335"/>
      <c r="O758" s="335"/>
      <c r="P758" s="335"/>
      <c r="Q758" s="1"/>
      <c r="R758" s="1"/>
      <c r="S758" s="1"/>
      <c r="T758" s="1"/>
      <c r="U758" s="1"/>
      <c r="Y758" s="1"/>
    </row>
    <row r="759" ht="12.75" customHeight="1">
      <c r="A759" s="8"/>
      <c r="B759" s="8"/>
      <c r="C759" s="8"/>
      <c r="D759" s="8"/>
      <c r="E759" s="8"/>
      <c r="F759" s="8"/>
      <c r="G759" s="334"/>
      <c r="H759" s="1"/>
      <c r="I759" s="212"/>
      <c r="J759" s="212"/>
      <c r="K759" s="335"/>
      <c r="L759" s="335"/>
      <c r="M759" s="335"/>
      <c r="N759" s="335"/>
      <c r="O759" s="335"/>
      <c r="P759" s="335"/>
      <c r="Q759" s="1"/>
      <c r="R759" s="1"/>
      <c r="S759" s="1"/>
      <c r="T759" s="1"/>
      <c r="U759" s="1"/>
      <c r="Y759" s="1"/>
    </row>
    <row r="760" ht="12.75" customHeight="1">
      <c r="A760" s="8"/>
      <c r="B760" s="8"/>
      <c r="C760" s="8"/>
      <c r="D760" s="8"/>
      <c r="E760" s="8"/>
      <c r="F760" s="8"/>
      <c r="G760" s="334"/>
      <c r="H760" s="1"/>
      <c r="I760" s="212"/>
      <c r="J760" s="212"/>
      <c r="K760" s="335"/>
      <c r="L760" s="335"/>
      <c r="M760" s="335"/>
      <c r="N760" s="335"/>
      <c r="O760" s="335"/>
      <c r="P760" s="335"/>
      <c r="Q760" s="1"/>
      <c r="R760" s="1"/>
      <c r="S760" s="1"/>
      <c r="T760" s="1"/>
      <c r="U760" s="1"/>
      <c r="Y760" s="1"/>
    </row>
    <row r="761" ht="12.75" customHeight="1">
      <c r="A761" s="8"/>
      <c r="B761" s="8"/>
      <c r="C761" s="8"/>
      <c r="D761" s="8"/>
      <c r="E761" s="8"/>
      <c r="F761" s="8"/>
      <c r="G761" s="334"/>
      <c r="H761" s="1"/>
      <c r="I761" s="212"/>
      <c r="J761" s="212"/>
      <c r="K761" s="335"/>
      <c r="L761" s="335"/>
      <c r="M761" s="335"/>
      <c r="N761" s="335"/>
      <c r="O761" s="335"/>
      <c r="P761" s="335"/>
      <c r="Q761" s="1"/>
      <c r="R761" s="1"/>
      <c r="S761" s="1"/>
      <c r="T761" s="1"/>
      <c r="U761" s="1"/>
      <c r="Y761" s="1"/>
    </row>
    <row r="762" ht="12.75" customHeight="1">
      <c r="A762" s="8"/>
      <c r="B762" s="8"/>
      <c r="C762" s="8"/>
      <c r="D762" s="8"/>
      <c r="E762" s="8"/>
      <c r="F762" s="8"/>
      <c r="G762" s="334"/>
      <c r="H762" s="1"/>
      <c r="I762" s="212"/>
      <c r="J762" s="212"/>
      <c r="K762" s="335"/>
      <c r="L762" s="335"/>
      <c r="M762" s="335"/>
      <c r="N762" s="335"/>
      <c r="O762" s="335"/>
      <c r="P762" s="335"/>
      <c r="Q762" s="1"/>
      <c r="R762" s="1"/>
      <c r="S762" s="1"/>
      <c r="T762" s="1"/>
      <c r="U762" s="1"/>
      <c r="Y762" s="1"/>
    </row>
    <row r="763" ht="12.75" customHeight="1">
      <c r="A763" s="8"/>
      <c r="B763" s="8"/>
      <c r="C763" s="8"/>
      <c r="D763" s="8"/>
      <c r="E763" s="8"/>
      <c r="F763" s="8"/>
      <c r="G763" s="334"/>
      <c r="H763" s="1"/>
      <c r="I763" s="212"/>
      <c r="J763" s="212"/>
      <c r="K763" s="335"/>
      <c r="L763" s="335"/>
      <c r="M763" s="335"/>
      <c r="N763" s="335"/>
      <c r="O763" s="335"/>
      <c r="P763" s="335"/>
      <c r="Q763" s="1"/>
      <c r="R763" s="1"/>
      <c r="S763" s="1"/>
      <c r="T763" s="1"/>
      <c r="U763" s="1"/>
      <c r="Y763" s="1"/>
    </row>
    <row r="764" ht="12.75" customHeight="1">
      <c r="A764" s="8"/>
      <c r="B764" s="8"/>
      <c r="C764" s="8"/>
      <c r="D764" s="8"/>
      <c r="E764" s="8"/>
      <c r="F764" s="8"/>
      <c r="G764" s="334"/>
      <c r="H764" s="1"/>
      <c r="I764" s="212"/>
      <c r="J764" s="212"/>
      <c r="K764" s="335"/>
      <c r="L764" s="335"/>
      <c r="M764" s="335"/>
      <c r="N764" s="335"/>
      <c r="O764" s="335"/>
      <c r="P764" s="335"/>
      <c r="Q764" s="1"/>
      <c r="R764" s="1"/>
      <c r="S764" s="1"/>
      <c r="T764" s="1"/>
      <c r="U764" s="1"/>
      <c r="Y764" s="1"/>
    </row>
    <row r="765" ht="12.75" customHeight="1">
      <c r="A765" s="8"/>
      <c r="B765" s="8"/>
      <c r="C765" s="8"/>
      <c r="D765" s="8"/>
      <c r="E765" s="8"/>
      <c r="F765" s="8"/>
      <c r="G765" s="334"/>
      <c r="H765" s="1"/>
      <c r="I765" s="212"/>
      <c r="J765" s="212"/>
      <c r="K765" s="335"/>
      <c r="L765" s="335"/>
      <c r="M765" s="335"/>
      <c r="N765" s="335"/>
      <c r="O765" s="335"/>
      <c r="P765" s="335"/>
      <c r="Q765" s="1"/>
      <c r="R765" s="1"/>
      <c r="S765" s="1"/>
      <c r="T765" s="1"/>
      <c r="U765" s="1"/>
      <c r="Y765" s="1"/>
    </row>
    <row r="766" ht="12.75" customHeight="1">
      <c r="A766" s="8"/>
      <c r="B766" s="8"/>
      <c r="C766" s="8"/>
      <c r="D766" s="8"/>
      <c r="E766" s="8"/>
      <c r="F766" s="8"/>
      <c r="G766" s="334"/>
      <c r="H766" s="1"/>
      <c r="I766" s="212"/>
      <c r="J766" s="212"/>
      <c r="K766" s="335"/>
      <c r="L766" s="335"/>
      <c r="M766" s="335"/>
      <c r="N766" s="335"/>
      <c r="O766" s="335"/>
      <c r="P766" s="335"/>
      <c r="Q766" s="1"/>
      <c r="R766" s="1"/>
      <c r="S766" s="1"/>
      <c r="T766" s="1"/>
      <c r="U766" s="1"/>
      <c r="Y766" s="1"/>
    </row>
    <row r="767" ht="12.75" customHeight="1">
      <c r="A767" s="8"/>
      <c r="B767" s="8"/>
      <c r="C767" s="8"/>
      <c r="D767" s="8"/>
      <c r="E767" s="8"/>
      <c r="F767" s="8"/>
      <c r="G767" s="334"/>
      <c r="H767" s="1"/>
      <c r="I767" s="212"/>
      <c r="J767" s="212"/>
      <c r="K767" s="335"/>
      <c r="L767" s="335"/>
      <c r="M767" s="335"/>
      <c r="N767" s="335"/>
      <c r="O767" s="335"/>
      <c r="P767" s="335"/>
      <c r="Q767" s="1"/>
      <c r="R767" s="1"/>
      <c r="S767" s="1"/>
      <c r="T767" s="1"/>
      <c r="U767" s="1"/>
      <c r="Y767" s="1"/>
    </row>
    <row r="768" ht="12.75" customHeight="1">
      <c r="A768" s="8"/>
      <c r="B768" s="8"/>
      <c r="C768" s="8"/>
      <c r="D768" s="8"/>
      <c r="E768" s="8"/>
      <c r="F768" s="8"/>
      <c r="G768" s="334"/>
      <c r="H768" s="1"/>
      <c r="I768" s="212"/>
      <c r="J768" s="212"/>
      <c r="K768" s="335"/>
      <c r="L768" s="335"/>
      <c r="M768" s="335"/>
      <c r="N768" s="335"/>
      <c r="O768" s="335"/>
      <c r="P768" s="335"/>
      <c r="Q768" s="1"/>
      <c r="R768" s="1"/>
      <c r="S768" s="1"/>
      <c r="T768" s="1"/>
      <c r="U768" s="1"/>
      <c r="Y768" s="1"/>
    </row>
    <row r="769" ht="12.75" customHeight="1">
      <c r="A769" s="8"/>
      <c r="B769" s="8"/>
      <c r="C769" s="8"/>
      <c r="D769" s="8"/>
      <c r="E769" s="8"/>
      <c r="F769" s="8"/>
      <c r="G769" s="334"/>
      <c r="H769" s="1"/>
      <c r="I769" s="212"/>
      <c r="J769" s="212"/>
      <c r="K769" s="335"/>
      <c r="L769" s="335"/>
      <c r="M769" s="335"/>
      <c r="N769" s="335"/>
      <c r="O769" s="335"/>
      <c r="P769" s="335"/>
      <c r="Q769" s="1"/>
      <c r="R769" s="1"/>
      <c r="S769" s="1"/>
      <c r="T769" s="1"/>
      <c r="U769" s="1"/>
      <c r="Y769" s="1"/>
    </row>
    <row r="770" ht="12.75" customHeight="1">
      <c r="A770" s="8"/>
      <c r="B770" s="8"/>
      <c r="C770" s="8"/>
      <c r="D770" s="8"/>
      <c r="E770" s="8"/>
      <c r="F770" s="8"/>
      <c r="G770" s="334"/>
      <c r="H770" s="1"/>
      <c r="I770" s="212"/>
      <c r="J770" s="212"/>
      <c r="K770" s="335"/>
      <c r="L770" s="335"/>
      <c r="M770" s="335"/>
      <c r="N770" s="335"/>
      <c r="O770" s="335"/>
      <c r="P770" s="335"/>
      <c r="Q770" s="1"/>
      <c r="R770" s="1"/>
      <c r="S770" s="1"/>
      <c r="T770" s="1"/>
      <c r="U770" s="1"/>
      <c r="Y770" s="1"/>
    </row>
    <row r="771" ht="12.75" customHeight="1">
      <c r="A771" s="8"/>
      <c r="B771" s="8"/>
      <c r="C771" s="8"/>
      <c r="D771" s="8"/>
      <c r="E771" s="8"/>
      <c r="F771" s="8"/>
      <c r="G771" s="334"/>
      <c r="H771" s="1"/>
      <c r="I771" s="212"/>
      <c r="J771" s="212"/>
      <c r="K771" s="335"/>
      <c r="L771" s="335"/>
      <c r="M771" s="335"/>
      <c r="N771" s="335"/>
      <c r="O771" s="335"/>
      <c r="P771" s="335"/>
      <c r="Q771" s="1"/>
      <c r="R771" s="1"/>
      <c r="S771" s="1"/>
      <c r="T771" s="1"/>
      <c r="U771" s="1"/>
      <c r="Y771" s="1"/>
    </row>
    <row r="772" ht="12.75" customHeight="1">
      <c r="A772" s="8"/>
      <c r="B772" s="8"/>
      <c r="C772" s="8"/>
      <c r="D772" s="8"/>
      <c r="E772" s="8"/>
      <c r="F772" s="8"/>
      <c r="G772" s="334"/>
      <c r="H772" s="1"/>
      <c r="I772" s="212"/>
      <c r="J772" s="212"/>
      <c r="K772" s="335"/>
      <c r="L772" s="335"/>
      <c r="M772" s="335"/>
      <c r="N772" s="335"/>
      <c r="O772" s="335"/>
      <c r="P772" s="335"/>
      <c r="Q772" s="1"/>
      <c r="R772" s="1"/>
      <c r="S772" s="1"/>
      <c r="T772" s="1"/>
      <c r="U772" s="1"/>
      <c r="Y772" s="1"/>
    </row>
    <row r="773" ht="12.75" customHeight="1">
      <c r="A773" s="8"/>
      <c r="B773" s="8"/>
      <c r="C773" s="8"/>
      <c r="D773" s="8"/>
      <c r="E773" s="8"/>
      <c r="F773" s="8"/>
      <c r="G773" s="334"/>
      <c r="H773" s="1"/>
      <c r="I773" s="212"/>
      <c r="J773" s="212"/>
      <c r="K773" s="335"/>
      <c r="L773" s="335"/>
      <c r="M773" s="335"/>
      <c r="N773" s="335"/>
      <c r="O773" s="335"/>
      <c r="P773" s="335"/>
      <c r="Q773" s="1"/>
      <c r="R773" s="1"/>
      <c r="S773" s="1"/>
      <c r="T773" s="1"/>
      <c r="U773" s="1"/>
      <c r="Y773" s="1"/>
    </row>
    <row r="774" ht="12.75" customHeight="1">
      <c r="A774" s="8"/>
      <c r="B774" s="8"/>
      <c r="C774" s="8"/>
      <c r="D774" s="8"/>
      <c r="E774" s="8"/>
      <c r="F774" s="8"/>
      <c r="G774" s="334"/>
      <c r="H774" s="1"/>
      <c r="I774" s="212"/>
      <c r="J774" s="212"/>
      <c r="K774" s="335"/>
      <c r="L774" s="335"/>
      <c r="M774" s="335"/>
      <c r="N774" s="335"/>
      <c r="O774" s="335"/>
      <c r="P774" s="335"/>
      <c r="Q774" s="1"/>
      <c r="R774" s="1"/>
      <c r="S774" s="1"/>
      <c r="T774" s="1"/>
      <c r="U774" s="1"/>
      <c r="Y774" s="1"/>
    </row>
    <row r="775" ht="12.75" customHeight="1">
      <c r="A775" s="8"/>
      <c r="B775" s="8"/>
      <c r="C775" s="8"/>
      <c r="D775" s="8"/>
      <c r="E775" s="8"/>
      <c r="F775" s="8"/>
      <c r="G775" s="334"/>
      <c r="H775" s="1"/>
      <c r="I775" s="212"/>
      <c r="J775" s="212"/>
      <c r="K775" s="335"/>
      <c r="L775" s="335"/>
      <c r="M775" s="335"/>
      <c r="N775" s="335"/>
      <c r="O775" s="335"/>
      <c r="P775" s="335"/>
      <c r="Q775" s="1"/>
      <c r="R775" s="1"/>
      <c r="S775" s="1"/>
      <c r="T775" s="1"/>
      <c r="U775" s="1"/>
      <c r="Y775" s="1"/>
    </row>
    <row r="776" ht="12.75" customHeight="1">
      <c r="A776" s="8"/>
      <c r="B776" s="8"/>
      <c r="C776" s="8"/>
      <c r="D776" s="8"/>
      <c r="E776" s="8"/>
      <c r="F776" s="8"/>
      <c r="G776" s="334"/>
      <c r="H776" s="1"/>
      <c r="I776" s="212"/>
      <c r="J776" s="212"/>
      <c r="K776" s="335"/>
      <c r="L776" s="335"/>
      <c r="M776" s="335"/>
      <c r="N776" s="335"/>
      <c r="O776" s="335"/>
      <c r="P776" s="335"/>
      <c r="Q776" s="1"/>
      <c r="R776" s="1"/>
      <c r="S776" s="1"/>
      <c r="T776" s="1"/>
      <c r="U776" s="1"/>
      <c r="Y776" s="1"/>
    </row>
    <row r="777" ht="12.75" customHeight="1">
      <c r="A777" s="8"/>
      <c r="B777" s="8"/>
      <c r="C777" s="8"/>
      <c r="D777" s="8"/>
      <c r="E777" s="8"/>
      <c r="F777" s="8"/>
      <c r="G777" s="334"/>
      <c r="H777" s="1"/>
      <c r="I777" s="212"/>
      <c r="J777" s="212"/>
      <c r="K777" s="335"/>
      <c r="L777" s="335"/>
      <c r="M777" s="335"/>
      <c r="N777" s="335"/>
      <c r="O777" s="335"/>
      <c r="P777" s="335"/>
      <c r="Q777" s="1"/>
      <c r="R777" s="1"/>
      <c r="S777" s="1"/>
      <c r="T777" s="1"/>
      <c r="U777" s="1"/>
      <c r="Y777" s="1"/>
    </row>
    <row r="778" ht="12.75" customHeight="1">
      <c r="A778" s="8"/>
      <c r="B778" s="8"/>
      <c r="C778" s="8"/>
      <c r="D778" s="8"/>
      <c r="E778" s="8"/>
      <c r="F778" s="8"/>
      <c r="G778" s="334"/>
      <c r="H778" s="1"/>
      <c r="I778" s="212"/>
      <c r="J778" s="212"/>
      <c r="K778" s="335"/>
      <c r="L778" s="335"/>
      <c r="M778" s="335"/>
      <c r="N778" s="335"/>
      <c r="O778" s="335"/>
      <c r="P778" s="335"/>
      <c r="Q778" s="1"/>
      <c r="R778" s="1"/>
      <c r="S778" s="1"/>
      <c r="T778" s="1"/>
      <c r="U778" s="1"/>
      <c r="Y778" s="1"/>
    </row>
    <row r="779" ht="12.75" customHeight="1">
      <c r="A779" s="8"/>
      <c r="B779" s="8"/>
      <c r="C779" s="8"/>
      <c r="D779" s="8"/>
      <c r="E779" s="8"/>
      <c r="F779" s="8"/>
      <c r="G779" s="334"/>
      <c r="H779" s="1"/>
      <c r="I779" s="212"/>
      <c r="J779" s="212"/>
      <c r="K779" s="335"/>
      <c r="L779" s="335"/>
      <c r="M779" s="335"/>
      <c r="N779" s="335"/>
      <c r="O779" s="335"/>
      <c r="P779" s="335"/>
      <c r="Q779" s="1"/>
      <c r="R779" s="1"/>
      <c r="S779" s="1"/>
      <c r="T779" s="1"/>
      <c r="U779" s="1"/>
      <c r="Y779" s="1"/>
    </row>
    <row r="780" ht="12.75" customHeight="1">
      <c r="A780" s="8"/>
      <c r="B780" s="8"/>
      <c r="C780" s="8"/>
      <c r="D780" s="8"/>
      <c r="E780" s="8"/>
      <c r="F780" s="8"/>
      <c r="G780" s="334"/>
      <c r="H780" s="1"/>
      <c r="I780" s="212"/>
      <c r="J780" s="212"/>
      <c r="K780" s="335"/>
      <c r="L780" s="335"/>
      <c r="M780" s="335"/>
      <c r="N780" s="335"/>
      <c r="O780" s="335"/>
      <c r="P780" s="335"/>
      <c r="Q780" s="1"/>
      <c r="R780" s="1"/>
      <c r="S780" s="1"/>
      <c r="T780" s="1"/>
      <c r="U780" s="1"/>
      <c r="Y780" s="1"/>
    </row>
    <row r="781" ht="12.75" customHeight="1">
      <c r="A781" s="8"/>
      <c r="B781" s="8"/>
      <c r="C781" s="8"/>
      <c r="D781" s="8"/>
      <c r="E781" s="8"/>
      <c r="F781" s="8"/>
      <c r="G781" s="334"/>
      <c r="H781" s="1"/>
      <c r="I781" s="212"/>
      <c r="J781" s="212"/>
      <c r="K781" s="335"/>
      <c r="L781" s="335"/>
      <c r="M781" s="335"/>
      <c r="N781" s="335"/>
      <c r="O781" s="335"/>
      <c r="P781" s="335"/>
      <c r="Q781" s="1"/>
      <c r="R781" s="1"/>
      <c r="S781" s="1"/>
      <c r="T781" s="1"/>
      <c r="U781" s="1"/>
      <c r="Y781" s="1"/>
    </row>
    <row r="782" ht="12.75" customHeight="1">
      <c r="A782" s="8"/>
      <c r="B782" s="8"/>
      <c r="C782" s="8"/>
      <c r="D782" s="8"/>
      <c r="E782" s="8"/>
      <c r="F782" s="8"/>
      <c r="G782" s="334"/>
      <c r="H782" s="1"/>
      <c r="I782" s="212"/>
      <c r="J782" s="212"/>
      <c r="K782" s="335"/>
      <c r="L782" s="335"/>
      <c r="M782" s="335"/>
      <c r="N782" s="335"/>
      <c r="O782" s="335"/>
      <c r="P782" s="335"/>
      <c r="Q782" s="1"/>
      <c r="R782" s="1"/>
      <c r="S782" s="1"/>
      <c r="T782" s="1"/>
      <c r="U782" s="1"/>
      <c r="Y782" s="1"/>
    </row>
    <row r="783" ht="12.75" customHeight="1">
      <c r="A783" s="8"/>
      <c r="B783" s="8"/>
      <c r="C783" s="8"/>
      <c r="D783" s="8"/>
      <c r="E783" s="8"/>
      <c r="F783" s="8"/>
      <c r="G783" s="334"/>
      <c r="H783" s="1"/>
      <c r="I783" s="212"/>
      <c r="J783" s="212"/>
      <c r="K783" s="335"/>
      <c r="L783" s="335"/>
      <c r="M783" s="335"/>
      <c r="N783" s="335"/>
      <c r="O783" s="335"/>
      <c r="P783" s="335"/>
      <c r="Q783" s="1"/>
      <c r="R783" s="1"/>
      <c r="S783" s="1"/>
      <c r="T783" s="1"/>
      <c r="U783" s="1"/>
      <c r="Y783" s="1"/>
    </row>
    <row r="784" ht="12.75" customHeight="1">
      <c r="A784" s="8"/>
      <c r="B784" s="8"/>
      <c r="C784" s="8"/>
      <c r="D784" s="8"/>
      <c r="E784" s="8"/>
      <c r="F784" s="8"/>
      <c r="G784" s="334"/>
      <c r="H784" s="1"/>
      <c r="I784" s="212"/>
      <c r="J784" s="212"/>
      <c r="K784" s="335"/>
      <c r="L784" s="335"/>
      <c r="M784" s="335"/>
      <c r="N784" s="335"/>
      <c r="O784" s="335"/>
      <c r="P784" s="335"/>
      <c r="Q784" s="1"/>
      <c r="R784" s="1"/>
      <c r="S784" s="1"/>
      <c r="T784" s="1"/>
      <c r="U784" s="1"/>
      <c r="Y784" s="1"/>
    </row>
    <row r="785" ht="12.75" customHeight="1">
      <c r="A785" s="8"/>
      <c r="B785" s="8"/>
      <c r="C785" s="8"/>
      <c r="D785" s="8"/>
      <c r="E785" s="8"/>
      <c r="F785" s="8"/>
      <c r="G785" s="334"/>
      <c r="H785" s="1"/>
      <c r="I785" s="212"/>
      <c r="J785" s="212"/>
      <c r="K785" s="335"/>
      <c r="L785" s="335"/>
      <c r="M785" s="335"/>
      <c r="N785" s="335"/>
      <c r="O785" s="335"/>
      <c r="P785" s="335"/>
      <c r="Q785" s="1"/>
      <c r="R785" s="1"/>
      <c r="S785" s="1"/>
      <c r="T785" s="1"/>
      <c r="U785" s="1"/>
      <c r="Y785" s="1"/>
    </row>
    <row r="786" ht="12.75" customHeight="1">
      <c r="A786" s="8"/>
      <c r="B786" s="8"/>
      <c r="C786" s="8"/>
      <c r="D786" s="8"/>
      <c r="E786" s="8"/>
      <c r="F786" s="8"/>
      <c r="G786" s="334"/>
      <c r="H786" s="1"/>
      <c r="I786" s="212"/>
      <c r="J786" s="212"/>
      <c r="K786" s="335"/>
      <c r="L786" s="335"/>
      <c r="M786" s="335"/>
      <c r="N786" s="335"/>
      <c r="O786" s="335"/>
      <c r="P786" s="335"/>
      <c r="Q786" s="1"/>
      <c r="R786" s="1"/>
      <c r="S786" s="1"/>
      <c r="T786" s="1"/>
      <c r="U786" s="1"/>
      <c r="Y786" s="1"/>
    </row>
    <row r="787" ht="12.75" customHeight="1">
      <c r="A787" s="8"/>
      <c r="B787" s="8"/>
      <c r="C787" s="8"/>
      <c r="D787" s="8"/>
      <c r="E787" s="8"/>
      <c r="F787" s="8"/>
      <c r="G787" s="334"/>
      <c r="H787" s="1"/>
      <c r="I787" s="212"/>
      <c r="J787" s="212"/>
      <c r="K787" s="335"/>
      <c r="L787" s="335"/>
      <c r="M787" s="335"/>
      <c r="N787" s="335"/>
      <c r="O787" s="335"/>
      <c r="P787" s="335"/>
      <c r="Q787" s="1"/>
      <c r="R787" s="1"/>
      <c r="S787" s="1"/>
      <c r="T787" s="1"/>
      <c r="U787" s="1"/>
      <c r="Y787" s="1"/>
    </row>
    <row r="788" ht="12.75" customHeight="1">
      <c r="A788" s="8"/>
      <c r="B788" s="8"/>
      <c r="C788" s="8"/>
      <c r="D788" s="8"/>
      <c r="E788" s="8"/>
      <c r="F788" s="8"/>
      <c r="G788" s="334"/>
      <c r="H788" s="1"/>
      <c r="I788" s="212"/>
      <c r="J788" s="212"/>
      <c r="K788" s="335"/>
      <c r="L788" s="335"/>
      <c r="M788" s="335"/>
      <c r="N788" s="335"/>
      <c r="O788" s="335"/>
      <c r="P788" s="335"/>
      <c r="Q788" s="1"/>
      <c r="R788" s="1"/>
      <c r="S788" s="1"/>
      <c r="T788" s="1"/>
      <c r="U788" s="1"/>
      <c r="Y788" s="1"/>
    </row>
    <row r="789" ht="12.75" customHeight="1">
      <c r="A789" s="8"/>
      <c r="B789" s="8"/>
      <c r="C789" s="8"/>
      <c r="D789" s="8"/>
      <c r="E789" s="8"/>
      <c r="F789" s="8"/>
      <c r="G789" s="334"/>
      <c r="H789" s="1"/>
      <c r="I789" s="212"/>
      <c r="J789" s="212"/>
      <c r="K789" s="335"/>
      <c r="L789" s="335"/>
      <c r="M789" s="335"/>
      <c r="N789" s="335"/>
      <c r="O789" s="335"/>
      <c r="P789" s="335"/>
      <c r="Q789" s="1"/>
      <c r="R789" s="1"/>
      <c r="S789" s="1"/>
      <c r="T789" s="1"/>
      <c r="U789" s="1"/>
      <c r="Y789" s="1"/>
    </row>
    <row r="790" ht="12.75" customHeight="1">
      <c r="A790" s="8"/>
      <c r="B790" s="8"/>
      <c r="C790" s="8"/>
      <c r="D790" s="8"/>
      <c r="E790" s="8"/>
      <c r="F790" s="8"/>
      <c r="G790" s="334"/>
      <c r="H790" s="1"/>
      <c r="I790" s="212"/>
      <c r="J790" s="212"/>
      <c r="K790" s="335"/>
      <c r="L790" s="335"/>
      <c r="M790" s="335"/>
      <c r="N790" s="335"/>
      <c r="O790" s="335"/>
      <c r="P790" s="335"/>
      <c r="Q790" s="1"/>
      <c r="R790" s="1"/>
      <c r="S790" s="1"/>
      <c r="T790" s="1"/>
      <c r="U790" s="1"/>
      <c r="Y790" s="1"/>
    </row>
    <row r="791" ht="12.75" customHeight="1">
      <c r="A791" s="8"/>
      <c r="B791" s="8"/>
      <c r="C791" s="8"/>
      <c r="D791" s="8"/>
      <c r="E791" s="8"/>
      <c r="F791" s="8"/>
      <c r="G791" s="334"/>
      <c r="H791" s="1"/>
      <c r="I791" s="212"/>
      <c r="J791" s="212"/>
      <c r="K791" s="335"/>
      <c r="L791" s="335"/>
      <c r="M791" s="335"/>
      <c r="N791" s="335"/>
      <c r="O791" s="335"/>
      <c r="P791" s="335"/>
      <c r="Q791" s="1"/>
      <c r="R791" s="1"/>
      <c r="S791" s="1"/>
      <c r="T791" s="1"/>
      <c r="U791" s="1"/>
      <c r="Y791" s="1"/>
    </row>
    <row r="792" ht="12.75" customHeight="1">
      <c r="A792" s="8"/>
      <c r="B792" s="8"/>
      <c r="C792" s="8"/>
      <c r="D792" s="8"/>
      <c r="E792" s="8"/>
      <c r="F792" s="8"/>
      <c r="G792" s="334"/>
      <c r="H792" s="1"/>
      <c r="I792" s="212"/>
      <c r="J792" s="212"/>
      <c r="K792" s="335"/>
      <c r="L792" s="335"/>
      <c r="M792" s="335"/>
      <c r="N792" s="335"/>
      <c r="O792" s="335"/>
      <c r="P792" s="335"/>
      <c r="Q792" s="1"/>
      <c r="R792" s="1"/>
      <c r="S792" s="1"/>
      <c r="T792" s="1"/>
      <c r="U792" s="1"/>
      <c r="Y792" s="1"/>
    </row>
    <row r="793" ht="12.75" customHeight="1">
      <c r="A793" s="8"/>
      <c r="B793" s="8"/>
      <c r="C793" s="8"/>
      <c r="D793" s="8"/>
      <c r="E793" s="8"/>
      <c r="F793" s="8"/>
      <c r="G793" s="334"/>
      <c r="H793" s="1"/>
      <c r="I793" s="212"/>
      <c r="J793" s="212"/>
      <c r="K793" s="335"/>
      <c r="L793" s="335"/>
      <c r="M793" s="335"/>
      <c r="N793" s="335"/>
      <c r="O793" s="335"/>
      <c r="P793" s="335"/>
      <c r="Q793" s="1"/>
      <c r="R793" s="1"/>
      <c r="S793" s="1"/>
      <c r="T793" s="1"/>
      <c r="U793" s="1"/>
      <c r="Y793" s="1"/>
    </row>
    <row r="794" ht="12.75" customHeight="1">
      <c r="A794" s="8"/>
      <c r="B794" s="8"/>
      <c r="C794" s="8"/>
      <c r="D794" s="8"/>
      <c r="E794" s="8"/>
      <c r="F794" s="8"/>
      <c r="G794" s="334"/>
      <c r="H794" s="1"/>
      <c r="I794" s="212"/>
      <c r="J794" s="212"/>
      <c r="K794" s="335"/>
      <c r="L794" s="335"/>
      <c r="M794" s="335"/>
      <c r="N794" s="335"/>
      <c r="O794" s="335"/>
      <c r="P794" s="335"/>
      <c r="Q794" s="1"/>
      <c r="R794" s="1"/>
      <c r="S794" s="1"/>
      <c r="T794" s="1"/>
      <c r="U794" s="1"/>
      <c r="Y794" s="1"/>
    </row>
    <row r="795" ht="12.75" customHeight="1">
      <c r="A795" s="8"/>
      <c r="B795" s="8"/>
      <c r="C795" s="8"/>
      <c r="D795" s="8"/>
      <c r="E795" s="8"/>
      <c r="F795" s="8"/>
      <c r="G795" s="334"/>
      <c r="H795" s="1"/>
      <c r="I795" s="212"/>
      <c r="J795" s="212"/>
      <c r="K795" s="335"/>
      <c r="L795" s="335"/>
      <c r="M795" s="335"/>
      <c r="N795" s="335"/>
      <c r="O795" s="335"/>
      <c r="P795" s="335"/>
      <c r="Q795" s="1"/>
      <c r="R795" s="1"/>
      <c r="S795" s="1"/>
      <c r="T795" s="1"/>
      <c r="U795" s="1"/>
      <c r="Y795" s="1"/>
    </row>
    <row r="796" ht="12.75" customHeight="1">
      <c r="A796" s="8"/>
      <c r="B796" s="8"/>
      <c r="C796" s="8"/>
      <c r="D796" s="8"/>
      <c r="E796" s="8"/>
      <c r="F796" s="8"/>
      <c r="G796" s="334"/>
      <c r="H796" s="1"/>
      <c r="I796" s="212"/>
      <c r="J796" s="212"/>
      <c r="K796" s="335"/>
      <c r="L796" s="335"/>
      <c r="M796" s="335"/>
      <c r="N796" s="335"/>
      <c r="O796" s="335"/>
      <c r="P796" s="335"/>
      <c r="Q796" s="1"/>
      <c r="R796" s="1"/>
      <c r="S796" s="1"/>
      <c r="T796" s="1"/>
      <c r="U796" s="1"/>
      <c r="Y796" s="1"/>
    </row>
    <row r="797" ht="12.75" customHeight="1">
      <c r="A797" s="8"/>
      <c r="B797" s="8"/>
      <c r="C797" s="8"/>
      <c r="D797" s="8"/>
      <c r="E797" s="8"/>
      <c r="F797" s="8"/>
      <c r="G797" s="334"/>
      <c r="H797" s="1"/>
      <c r="I797" s="212"/>
      <c r="J797" s="212"/>
      <c r="K797" s="335"/>
      <c r="L797" s="335"/>
      <c r="M797" s="335"/>
      <c r="N797" s="335"/>
      <c r="O797" s="335"/>
      <c r="P797" s="335"/>
      <c r="Q797" s="1"/>
      <c r="R797" s="1"/>
      <c r="S797" s="1"/>
      <c r="T797" s="1"/>
      <c r="U797" s="1"/>
      <c r="Y797" s="1"/>
    </row>
    <row r="798" ht="12.75" customHeight="1">
      <c r="A798" s="8"/>
      <c r="B798" s="8"/>
      <c r="C798" s="8"/>
      <c r="D798" s="8"/>
      <c r="E798" s="8"/>
      <c r="F798" s="8"/>
      <c r="G798" s="334"/>
      <c r="H798" s="1"/>
      <c r="I798" s="212"/>
      <c r="J798" s="212"/>
      <c r="K798" s="335"/>
      <c r="L798" s="335"/>
      <c r="M798" s="335"/>
      <c r="N798" s="335"/>
      <c r="O798" s="335"/>
      <c r="P798" s="335"/>
      <c r="Q798" s="1"/>
      <c r="R798" s="1"/>
      <c r="S798" s="1"/>
      <c r="T798" s="1"/>
      <c r="U798" s="1"/>
      <c r="Y798" s="1"/>
    </row>
    <row r="799" ht="12.75" customHeight="1">
      <c r="A799" s="8"/>
      <c r="B799" s="8"/>
      <c r="C799" s="8"/>
      <c r="D799" s="8"/>
      <c r="E799" s="8"/>
      <c r="F799" s="8"/>
      <c r="G799" s="334"/>
      <c r="H799" s="1"/>
      <c r="I799" s="212"/>
      <c r="J799" s="212"/>
      <c r="K799" s="335"/>
      <c r="L799" s="335"/>
      <c r="M799" s="335"/>
      <c r="N799" s="335"/>
      <c r="O799" s="335"/>
      <c r="P799" s="335"/>
      <c r="Q799" s="1"/>
      <c r="R799" s="1"/>
      <c r="S799" s="1"/>
      <c r="T799" s="1"/>
      <c r="U799" s="1"/>
      <c r="Y799" s="1"/>
    </row>
    <row r="800" ht="12.75" customHeight="1">
      <c r="A800" s="8"/>
      <c r="B800" s="8"/>
      <c r="C800" s="8"/>
      <c r="D800" s="8"/>
      <c r="E800" s="8"/>
      <c r="F800" s="8"/>
      <c r="G800" s="334"/>
      <c r="H800" s="1"/>
      <c r="I800" s="212"/>
      <c r="J800" s="212"/>
      <c r="K800" s="335"/>
      <c r="L800" s="335"/>
      <c r="M800" s="335"/>
      <c r="N800" s="335"/>
      <c r="O800" s="335"/>
      <c r="P800" s="335"/>
      <c r="Q800" s="1"/>
      <c r="R800" s="1"/>
      <c r="S800" s="1"/>
      <c r="T800" s="1"/>
      <c r="U800" s="1"/>
      <c r="Y800" s="1"/>
    </row>
    <row r="801" ht="12.75" customHeight="1">
      <c r="A801" s="8"/>
      <c r="B801" s="8"/>
      <c r="C801" s="8"/>
      <c r="D801" s="8"/>
      <c r="E801" s="8"/>
      <c r="F801" s="8"/>
      <c r="G801" s="334"/>
      <c r="H801" s="1"/>
      <c r="I801" s="212"/>
      <c r="J801" s="212"/>
      <c r="K801" s="335"/>
      <c r="L801" s="335"/>
      <c r="M801" s="335"/>
      <c r="N801" s="335"/>
      <c r="O801" s="335"/>
      <c r="P801" s="335"/>
      <c r="Q801" s="1"/>
      <c r="R801" s="1"/>
      <c r="S801" s="1"/>
      <c r="T801" s="1"/>
      <c r="U801" s="1"/>
      <c r="Y801" s="1"/>
    </row>
    <row r="802" ht="12.75" customHeight="1">
      <c r="A802" s="8"/>
      <c r="B802" s="8"/>
      <c r="C802" s="8"/>
      <c r="D802" s="8"/>
      <c r="E802" s="8"/>
      <c r="F802" s="8"/>
      <c r="G802" s="334"/>
      <c r="H802" s="1"/>
      <c r="I802" s="212"/>
      <c r="J802" s="212"/>
      <c r="K802" s="335"/>
      <c r="L802" s="335"/>
      <c r="M802" s="335"/>
      <c r="N802" s="335"/>
      <c r="O802" s="335"/>
      <c r="P802" s="335"/>
      <c r="Q802" s="1"/>
      <c r="R802" s="1"/>
      <c r="S802" s="1"/>
      <c r="T802" s="1"/>
      <c r="U802" s="1"/>
      <c r="Y802" s="1"/>
    </row>
    <row r="803" ht="12.75" customHeight="1">
      <c r="A803" s="8"/>
      <c r="B803" s="8"/>
      <c r="C803" s="8"/>
      <c r="D803" s="8"/>
      <c r="E803" s="8"/>
      <c r="F803" s="8"/>
      <c r="G803" s="334"/>
      <c r="H803" s="1"/>
      <c r="I803" s="212"/>
      <c r="J803" s="212"/>
      <c r="K803" s="335"/>
      <c r="L803" s="335"/>
      <c r="M803" s="335"/>
      <c r="N803" s="335"/>
      <c r="O803" s="335"/>
      <c r="P803" s="335"/>
      <c r="Q803" s="1"/>
      <c r="R803" s="1"/>
      <c r="S803" s="1"/>
      <c r="T803" s="1"/>
      <c r="U803" s="1"/>
      <c r="Y803" s="1"/>
    </row>
    <row r="804" ht="12.75" customHeight="1">
      <c r="A804" s="8"/>
      <c r="B804" s="8"/>
      <c r="C804" s="8"/>
      <c r="D804" s="8"/>
      <c r="E804" s="8"/>
      <c r="F804" s="8"/>
      <c r="G804" s="334"/>
      <c r="H804" s="1"/>
      <c r="I804" s="212"/>
      <c r="J804" s="212"/>
      <c r="K804" s="335"/>
      <c r="L804" s="335"/>
      <c r="M804" s="335"/>
      <c r="N804" s="335"/>
      <c r="O804" s="335"/>
      <c r="P804" s="335"/>
      <c r="Q804" s="1"/>
      <c r="R804" s="1"/>
      <c r="S804" s="1"/>
      <c r="T804" s="1"/>
      <c r="U804" s="1"/>
      <c r="Y804" s="1"/>
    </row>
    <row r="805" ht="12.75" customHeight="1">
      <c r="A805" s="8"/>
      <c r="B805" s="8"/>
      <c r="C805" s="8"/>
      <c r="D805" s="8"/>
      <c r="E805" s="8"/>
      <c r="F805" s="8"/>
      <c r="G805" s="334"/>
      <c r="H805" s="1"/>
      <c r="I805" s="212"/>
      <c r="J805" s="212"/>
      <c r="K805" s="335"/>
      <c r="L805" s="335"/>
      <c r="M805" s="335"/>
      <c r="N805" s="335"/>
      <c r="O805" s="335"/>
      <c r="P805" s="335"/>
      <c r="Q805" s="1"/>
      <c r="R805" s="1"/>
      <c r="S805" s="1"/>
      <c r="T805" s="1"/>
      <c r="U805" s="1"/>
      <c r="Y805" s="1"/>
    </row>
    <row r="806" ht="12.75" customHeight="1">
      <c r="A806" s="8"/>
      <c r="B806" s="8"/>
      <c r="C806" s="8"/>
      <c r="D806" s="8"/>
      <c r="E806" s="8"/>
      <c r="F806" s="8"/>
      <c r="G806" s="334"/>
      <c r="H806" s="1"/>
      <c r="I806" s="212"/>
      <c r="J806" s="212"/>
      <c r="K806" s="335"/>
      <c r="L806" s="335"/>
      <c r="M806" s="335"/>
      <c r="N806" s="335"/>
      <c r="O806" s="335"/>
      <c r="P806" s="335"/>
      <c r="Q806" s="1"/>
      <c r="R806" s="1"/>
      <c r="S806" s="1"/>
      <c r="T806" s="1"/>
      <c r="U806" s="1"/>
      <c r="Y806" s="1"/>
    </row>
    <row r="807" ht="12.75" customHeight="1">
      <c r="A807" s="8"/>
      <c r="B807" s="8"/>
      <c r="C807" s="8"/>
      <c r="D807" s="8"/>
      <c r="E807" s="8"/>
      <c r="F807" s="8"/>
      <c r="G807" s="334"/>
      <c r="H807" s="1"/>
      <c r="I807" s="212"/>
      <c r="J807" s="212"/>
      <c r="K807" s="335"/>
      <c r="L807" s="335"/>
      <c r="M807" s="335"/>
      <c r="N807" s="335"/>
      <c r="O807" s="335"/>
      <c r="P807" s="335"/>
      <c r="Q807" s="1"/>
      <c r="R807" s="1"/>
      <c r="S807" s="1"/>
      <c r="T807" s="1"/>
      <c r="U807" s="1"/>
      <c r="Y807" s="1"/>
    </row>
    <row r="808" ht="12.75" customHeight="1">
      <c r="A808" s="8"/>
      <c r="B808" s="8"/>
      <c r="C808" s="8"/>
      <c r="D808" s="8"/>
      <c r="E808" s="8"/>
      <c r="F808" s="8"/>
      <c r="G808" s="334"/>
      <c r="H808" s="1"/>
      <c r="I808" s="212"/>
      <c r="J808" s="212"/>
      <c r="K808" s="335"/>
      <c r="L808" s="335"/>
      <c r="M808" s="335"/>
      <c r="N808" s="335"/>
      <c r="O808" s="335"/>
      <c r="P808" s="335"/>
      <c r="Q808" s="1"/>
      <c r="R808" s="1"/>
      <c r="S808" s="1"/>
      <c r="T808" s="1"/>
      <c r="U808" s="1"/>
      <c r="Y808" s="1"/>
    </row>
    <row r="809" ht="12.75" customHeight="1">
      <c r="A809" s="8"/>
      <c r="B809" s="8"/>
      <c r="C809" s="8"/>
      <c r="D809" s="8"/>
      <c r="E809" s="8"/>
      <c r="F809" s="8"/>
      <c r="G809" s="334"/>
      <c r="H809" s="1"/>
      <c r="I809" s="212"/>
      <c r="J809" s="212"/>
      <c r="K809" s="335"/>
      <c r="L809" s="335"/>
      <c r="M809" s="335"/>
      <c r="N809" s="335"/>
      <c r="O809" s="335"/>
      <c r="P809" s="335"/>
      <c r="Q809" s="1"/>
      <c r="R809" s="1"/>
      <c r="S809" s="1"/>
      <c r="T809" s="1"/>
      <c r="U809" s="1"/>
      <c r="Y809" s="1"/>
    </row>
    <row r="810" ht="12.75" customHeight="1">
      <c r="A810" s="8"/>
      <c r="B810" s="8"/>
      <c r="C810" s="8"/>
      <c r="D810" s="8"/>
      <c r="E810" s="8"/>
      <c r="F810" s="8"/>
      <c r="G810" s="334"/>
      <c r="H810" s="1"/>
      <c r="I810" s="212"/>
      <c r="J810" s="212"/>
      <c r="K810" s="335"/>
      <c r="L810" s="335"/>
      <c r="M810" s="335"/>
      <c r="N810" s="335"/>
      <c r="O810" s="335"/>
      <c r="P810" s="335"/>
      <c r="Q810" s="1"/>
      <c r="R810" s="1"/>
      <c r="S810" s="1"/>
      <c r="T810" s="1"/>
      <c r="U810" s="1"/>
      <c r="Y810" s="1"/>
    </row>
    <row r="811" ht="12.75" customHeight="1">
      <c r="A811" s="8"/>
      <c r="B811" s="8"/>
      <c r="C811" s="8"/>
      <c r="D811" s="8"/>
      <c r="E811" s="8"/>
      <c r="F811" s="8"/>
      <c r="G811" s="334"/>
      <c r="H811" s="1"/>
      <c r="I811" s="212"/>
      <c r="J811" s="212"/>
      <c r="K811" s="335"/>
      <c r="L811" s="335"/>
      <c r="M811" s="335"/>
      <c r="N811" s="335"/>
      <c r="O811" s="335"/>
      <c r="P811" s="335"/>
      <c r="Q811" s="1"/>
      <c r="R811" s="1"/>
      <c r="S811" s="1"/>
      <c r="T811" s="1"/>
      <c r="U811" s="1"/>
      <c r="Y811" s="1"/>
    </row>
    <row r="812" ht="12.75" customHeight="1">
      <c r="A812" s="8"/>
      <c r="B812" s="8"/>
      <c r="C812" s="8"/>
      <c r="D812" s="8"/>
      <c r="E812" s="8"/>
      <c r="F812" s="8"/>
      <c r="G812" s="334"/>
      <c r="H812" s="1"/>
      <c r="I812" s="212"/>
      <c r="J812" s="212"/>
      <c r="K812" s="335"/>
      <c r="L812" s="335"/>
      <c r="M812" s="335"/>
      <c r="N812" s="335"/>
      <c r="O812" s="335"/>
      <c r="P812" s="335"/>
      <c r="Q812" s="1"/>
      <c r="R812" s="1"/>
      <c r="S812" s="1"/>
      <c r="T812" s="1"/>
      <c r="U812" s="1"/>
      <c r="Y812" s="1"/>
    </row>
    <row r="813" ht="12.75" customHeight="1">
      <c r="A813" s="8"/>
      <c r="B813" s="8"/>
      <c r="C813" s="8"/>
      <c r="D813" s="8"/>
      <c r="E813" s="8"/>
      <c r="F813" s="8"/>
      <c r="G813" s="334"/>
      <c r="H813" s="1"/>
      <c r="I813" s="212"/>
      <c r="J813" s="212"/>
      <c r="K813" s="335"/>
      <c r="L813" s="335"/>
      <c r="M813" s="335"/>
      <c r="N813" s="335"/>
      <c r="O813" s="335"/>
      <c r="P813" s="335"/>
      <c r="Q813" s="1"/>
      <c r="R813" s="1"/>
      <c r="S813" s="1"/>
      <c r="T813" s="1"/>
      <c r="U813" s="1"/>
      <c r="Y813" s="1"/>
    </row>
    <row r="814" ht="12.75" customHeight="1">
      <c r="A814" s="8"/>
      <c r="B814" s="8"/>
      <c r="C814" s="8"/>
      <c r="D814" s="8"/>
      <c r="E814" s="8"/>
      <c r="F814" s="8"/>
      <c r="G814" s="334"/>
      <c r="H814" s="1"/>
      <c r="I814" s="212"/>
      <c r="J814" s="212"/>
      <c r="K814" s="335"/>
      <c r="L814" s="335"/>
      <c r="M814" s="335"/>
      <c r="N814" s="335"/>
      <c r="O814" s="335"/>
      <c r="P814" s="335"/>
      <c r="Q814" s="1"/>
      <c r="R814" s="1"/>
      <c r="S814" s="1"/>
      <c r="T814" s="1"/>
      <c r="U814" s="1"/>
      <c r="Y814" s="1"/>
    </row>
    <row r="815" ht="12.75" customHeight="1">
      <c r="A815" s="8"/>
      <c r="B815" s="8"/>
      <c r="C815" s="8"/>
      <c r="D815" s="8"/>
      <c r="E815" s="8"/>
      <c r="F815" s="8"/>
      <c r="G815" s="334"/>
      <c r="H815" s="1"/>
      <c r="I815" s="212"/>
      <c r="J815" s="212"/>
      <c r="K815" s="335"/>
      <c r="L815" s="335"/>
      <c r="M815" s="335"/>
      <c r="N815" s="335"/>
      <c r="O815" s="335"/>
      <c r="P815" s="335"/>
      <c r="Q815" s="1"/>
      <c r="R815" s="1"/>
      <c r="S815" s="1"/>
      <c r="T815" s="1"/>
      <c r="U815" s="1"/>
      <c r="Y815" s="1"/>
    </row>
    <row r="816" ht="12.75" customHeight="1">
      <c r="A816" s="8"/>
      <c r="B816" s="8"/>
      <c r="C816" s="8"/>
      <c r="D816" s="8"/>
      <c r="E816" s="8"/>
      <c r="F816" s="8"/>
      <c r="G816" s="334"/>
      <c r="H816" s="1"/>
      <c r="I816" s="212"/>
      <c r="J816" s="212"/>
      <c r="K816" s="335"/>
      <c r="L816" s="335"/>
      <c r="M816" s="335"/>
      <c r="N816" s="335"/>
      <c r="O816" s="335"/>
      <c r="P816" s="335"/>
      <c r="Q816" s="1"/>
      <c r="R816" s="1"/>
      <c r="S816" s="1"/>
      <c r="T816" s="1"/>
      <c r="U816" s="1"/>
      <c r="Y816" s="1"/>
    </row>
    <row r="817" ht="12.75" customHeight="1">
      <c r="A817" s="8"/>
      <c r="B817" s="8"/>
      <c r="C817" s="8"/>
      <c r="D817" s="8"/>
      <c r="E817" s="8"/>
      <c r="F817" s="8"/>
      <c r="G817" s="334"/>
      <c r="H817" s="1"/>
      <c r="I817" s="212"/>
      <c r="J817" s="212"/>
      <c r="K817" s="335"/>
      <c r="L817" s="335"/>
      <c r="M817" s="335"/>
      <c r="N817" s="335"/>
      <c r="O817" s="335"/>
      <c r="P817" s="335"/>
      <c r="Q817" s="1"/>
      <c r="R817" s="1"/>
      <c r="S817" s="1"/>
      <c r="T817" s="1"/>
      <c r="U817" s="1"/>
      <c r="Y817" s="1"/>
    </row>
    <row r="818" ht="12.75" customHeight="1">
      <c r="A818" s="8"/>
      <c r="B818" s="8"/>
      <c r="C818" s="8"/>
      <c r="D818" s="8"/>
      <c r="E818" s="8"/>
      <c r="F818" s="8"/>
      <c r="G818" s="334"/>
      <c r="H818" s="1"/>
      <c r="I818" s="212"/>
      <c r="J818" s="212"/>
      <c r="K818" s="335"/>
      <c r="L818" s="335"/>
      <c r="M818" s="335"/>
      <c r="N818" s="335"/>
      <c r="O818" s="335"/>
      <c r="P818" s="335"/>
      <c r="Q818" s="1"/>
      <c r="R818" s="1"/>
      <c r="S818" s="1"/>
      <c r="T818" s="1"/>
      <c r="U818" s="1"/>
      <c r="Y818" s="1"/>
    </row>
    <row r="819" ht="12.75" customHeight="1">
      <c r="A819" s="8"/>
      <c r="B819" s="8"/>
      <c r="C819" s="8"/>
      <c r="D819" s="8"/>
      <c r="E819" s="8"/>
      <c r="F819" s="8"/>
      <c r="G819" s="334"/>
      <c r="H819" s="1"/>
      <c r="I819" s="212"/>
      <c r="J819" s="212"/>
      <c r="K819" s="335"/>
      <c r="L819" s="335"/>
      <c r="M819" s="335"/>
      <c r="N819" s="335"/>
      <c r="O819" s="335"/>
      <c r="P819" s="335"/>
      <c r="Q819" s="1"/>
      <c r="R819" s="1"/>
      <c r="S819" s="1"/>
      <c r="T819" s="1"/>
      <c r="U819" s="1"/>
      <c r="Y819" s="1"/>
    </row>
    <row r="820" ht="12.75" customHeight="1">
      <c r="A820" s="8"/>
      <c r="B820" s="8"/>
      <c r="C820" s="8"/>
      <c r="D820" s="8"/>
      <c r="E820" s="8"/>
      <c r="F820" s="8"/>
      <c r="G820" s="334"/>
      <c r="H820" s="1"/>
      <c r="I820" s="212"/>
      <c r="J820" s="212"/>
      <c r="K820" s="335"/>
      <c r="L820" s="335"/>
      <c r="M820" s="335"/>
      <c r="N820" s="335"/>
      <c r="O820" s="335"/>
      <c r="P820" s="335"/>
      <c r="Q820" s="1"/>
      <c r="R820" s="1"/>
      <c r="S820" s="1"/>
      <c r="T820" s="1"/>
      <c r="U820" s="1"/>
      <c r="Y820" s="1"/>
    </row>
    <row r="821" ht="12.75" customHeight="1">
      <c r="A821" s="8"/>
      <c r="B821" s="8"/>
      <c r="C821" s="8"/>
      <c r="D821" s="8"/>
      <c r="E821" s="8"/>
      <c r="F821" s="8"/>
      <c r="G821" s="334"/>
      <c r="H821" s="1"/>
      <c r="I821" s="212"/>
      <c r="J821" s="212"/>
      <c r="K821" s="335"/>
      <c r="L821" s="335"/>
      <c r="M821" s="335"/>
      <c r="N821" s="335"/>
      <c r="O821" s="335"/>
      <c r="P821" s="335"/>
      <c r="Q821" s="1"/>
      <c r="R821" s="1"/>
      <c r="S821" s="1"/>
      <c r="T821" s="1"/>
      <c r="U821" s="1"/>
      <c r="Y821" s="1"/>
    </row>
    <row r="822" ht="12.75" customHeight="1">
      <c r="A822" s="8"/>
      <c r="B822" s="8"/>
      <c r="C822" s="8"/>
      <c r="D822" s="8"/>
      <c r="E822" s="8"/>
      <c r="F822" s="8"/>
      <c r="G822" s="334"/>
      <c r="H822" s="1"/>
      <c r="I822" s="212"/>
      <c r="J822" s="212"/>
      <c r="K822" s="335"/>
      <c r="L822" s="335"/>
      <c r="M822" s="335"/>
      <c r="N822" s="335"/>
      <c r="O822" s="335"/>
      <c r="P822" s="335"/>
      <c r="Q822" s="1"/>
      <c r="R822" s="1"/>
      <c r="S822" s="1"/>
      <c r="T822" s="1"/>
      <c r="U822" s="1"/>
      <c r="Y822" s="1"/>
    </row>
    <row r="823" ht="12.75" customHeight="1">
      <c r="A823" s="8"/>
      <c r="B823" s="8"/>
      <c r="C823" s="8"/>
      <c r="D823" s="8"/>
      <c r="E823" s="8"/>
      <c r="F823" s="8"/>
      <c r="G823" s="334"/>
      <c r="H823" s="1"/>
      <c r="I823" s="212"/>
      <c r="J823" s="212"/>
      <c r="K823" s="335"/>
      <c r="L823" s="335"/>
      <c r="M823" s="335"/>
      <c r="N823" s="335"/>
      <c r="O823" s="335"/>
      <c r="P823" s="335"/>
      <c r="Q823" s="1"/>
      <c r="R823" s="1"/>
      <c r="S823" s="1"/>
      <c r="T823" s="1"/>
      <c r="U823" s="1"/>
      <c r="Y823" s="1"/>
    </row>
    <row r="824" ht="12.75" customHeight="1">
      <c r="A824" s="8"/>
      <c r="B824" s="8"/>
      <c r="C824" s="8"/>
      <c r="D824" s="8"/>
      <c r="E824" s="8"/>
      <c r="F824" s="8"/>
      <c r="G824" s="334"/>
      <c r="H824" s="1"/>
      <c r="I824" s="212"/>
      <c r="J824" s="212"/>
      <c r="K824" s="335"/>
      <c r="L824" s="335"/>
      <c r="M824" s="335"/>
      <c r="N824" s="335"/>
      <c r="O824" s="335"/>
      <c r="P824" s="335"/>
      <c r="Q824" s="1"/>
      <c r="R824" s="1"/>
      <c r="S824" s="1"/>
      <c r="T824" s="1"/>
      <c r="U824" s="1"/>
      <c r="Y824" s="1"/>
    </row>
    <row r="825" ht="12.75" customHeight="1">
      <c r="A825" s="8"/>
      <c r="B825" s="8"/>
      <c r="C825" s="8"/>
      <c r="D825" s="8"/>
      <c r="E825" s="8"/>
      <c r="F825" s="8"/>
      <c r="G825" s="334"/>
      <c r="H825" s="1"/>
      <c r="I825" s="212"/>
      <c r="J825" s="212"/>
      <c r="K825" s="335"/>
      <c r="L825" s="335"/>
      <c r="M825" s="335"/>
      <c r="N825" s="335"/>
      <c r="O825" s="335"/>
      <c r="P825" s="335"/>
      <c r="Q825" s="1"/>
      <c r="R825" s="1"/>
      <c r="S825" s="1"/>
      <c r="T825" s="1"/>
      <c r="U825" s="1"/>
      <c r="Y825" s="1"/>
    </row>
    <row r="826" ht="12.75" customHeight="1">
      <c r="A826" s="8"/>
      <c r="B826" s="8"/>
      <c r="C826" s="8"/>
      <c r="D826" s="8"/>
      <c r="E826" s="8"/>
      <c r="F826" s="8"/>
      <c r="G826" s="334"/>
      <c r="H826" s="1"/>
      <c r="I826" s="212"/>
      <c r="J826" s="212"/>
      <c r="K826" s="335"/>
      <c r="L826" s="335"/>
      <c r="M826" s="335"/>
      <c r="N826" s="335"/>
      <c r="O826" s="335"/>
      <c r="P826" s="335"/>
      <c r="Q826" s="1"/>
      <c r="R826" s="1"/>
      <c r="S826" s="1"/>
      <c r="T826" s="1"/>
      <c r="U826" s="1"/>
      <c r="Y826" s="1"/>
    </row>
    <row r="827" ht="12.75" customHeight="1">
      <c r="A827" s="8"/>
      <c r="B827" s="8"/>
      <c r="C827" s="8"/>
      <c r="D827" s="8"/>
      <c r="E827" s="8"/>
      <c r="F827" s="8"/>
      <c r="G827" s="334"/>
      <c r="H827" s="1"/>
      <c r="I827" s="212"/>
      <c r="J827" s="212"/>
      <c r="K827" s="335"/>
      <c r="L827" s="335"/>
      <c r="M827" s="335"/>
      <c r="N827" s="335"/>
      <c r="O827" s="335"/>
      <c r="P827" s="335"/>
      <c r="Q827" s="1"/>
      <c r="R827" s="1"/>
      <c r="S827" s="1"/>
      <c r="T827" s="1"/>
      <c r="U827" s="1"/>
      <c r="Y827" s="1"/>
    </row>
    <row r="828" ht="12.75" customHeight="1">
      <c r="A828" s="8"/>
      <c r="B828" s="8"/>
      <c r="C828" s="8"/>
      <c r="D828" s="8"/>
      <c r="E828" s="8"/>
      <c r="F828" s="8"/>
      <c r="G828" s="334"/>
      <c r="H828" s="1"/>
      <c r="I828" s="212"/>
      <c r="J828" s="212"/>
      <c r="K828" s="335"/>
      <c r="L828" s="335"/>
      <c r="M828" s="335"/>
      <c r="N828" s="335"/>
      <c r="O828" s="335"/>
      <c r="P828" s="335"/>
      <c r="Q828" s="1"/>
      <c r="R828" s="1"/>
      <c r="S828" s="1"/>
      <c r="T828" s="1"/>
      <c r="U828" s="1"/>
      <c r="Y828" s="1"/>
    </row>
    <row r="829" ht="12.75" customHeight="1">
      <c r="A829" s="8"/>
      <c r="B829" s="8"/>
      <c r="C829" s="8"/>
      <c r="D829" s="8"/>
      <c r="E829" s="8"/>
      <c r="F829" s="8"/>
      <c r="G829" s="334"/>
      <c r="H829" s="1"/>
      <c r="I829" s="212"/>
      <c r="J829" s="212"/>
      <c r="K829" s="335"/>
      <c r="L829" s="335"/>
      <c r="M829" s="335"/>
      <c r="N829" s="335"/>
      <c r="O829" s="335"/>
      <c r="P829" s="335"/>
      <c r="Q829" s="1"/>
      <c r="R829" s="1"/>
      <c r="S829" s="1"/>
      <c r="T829" s="1"/>
      <c r="U829" s="1"/>
      <c r="Y829" s="1"/>
    </row>
    <row r="830" ht="12.75" customHeight="1">
      <c r="A830" s="8"/>
      <c r="B830" s="8"/>
      <c r="C830" s="8"/>
      <c r="D830" s="8"/>
      <c r="E830" s="8"/>
      <c r="F830" s="8"/>
      <c r="G830" s="334"/>
      <c r="H830" s="1"/>
      <c r="I830" s="212"/>
      <c r="J830" s="212"/>
      <c r="K830" s="335"/>
      <c r="L830" s="335"/>
      <c r="M830" s="335"/>
      <c r="N830" s="335"/>
      <c r="O830" s="335"/>
      <c r="P830" s="335"/>
      <c r="Q830" s="1"/>
      <c r="R830" s="1"/>
      <c r="S830" s="1"/>
      <c r="T830" s="1"/>
      <c r="U830" s="1"/>
      <c r="Y830" s="1"/>
    </row>
    <row r="831" ht="12.75" customHeight="1">
      <c r="A831" s="8"/>
      <c r="B831" s="8"/>
      <c r="C831" s="8"/>
      <c r="D831" s="8"/>
      <c r="E831" s="8"/>
      <c r="F831" s="8"/>
      <c r="G831" s="334"/>
      <c r="H831" s="1"/>
      <c r="I831" s="212"/>
      <c r="J831" s="212"/>
      <c r="K831" s="335"/>
      <c r="L831" s="335"/>
      <c r="M831" s="335"/>
      <c r="N831" s="335"/>
      <c r="O831" s="335"/>
      <c r="P831" s="335"/>
      <c r="Q831" s="1"/>
      <c r="R831" s="1"/>
      <c r="S831" s="1"/>
      <c r="T831" s="1"/>
      <c r="U831" s="1"/>
      <c r="Y831" s="1"/>
    </row>
    <row r="832" ht="12.75" customHeight="1">
      <c r="A832" s="8"/>
      <c r="B832" s="8"/>
      <c r="C832" s="8"/>
      <c r="D832" s="8"/>
      <c r="E832" s="8"/>
      <c r="F832" s="8"/>
      <c r="G832" s="334"/>
      <c r="H832" s="1"/>
      <c r="I832" s="212"/>
      <c r="J832" s="212"/>
      <c r="K832" s="335"/>
      <c r="L832" s="335"/>
      <c r="M832" s="335"/>
      <c r="N832" s="335"/>
      <c r="O832" s="335"/>
      <c r="P832" s="335"/>
      <c r="Q832" s="1"/>
      <c r="R832" s="1"/>
      <c r="S832" s="1"/>
      <c r="T832" s="1"/>
      <c r="U832" s="1"/>
      <c r="Y832" s="1"/>
    </row>
    <row r="833" ht="12.75" customHeight="1">
      <c r="A833" s="8"/>
      <c r="B833" s="8"/>
      <c r="C833" s="8"/>
      <c r="D833" s="8"/>
      <c r="E833" s="8"/>
      <c r="F833" s="8"/>
      <c r="G833" s="334"/>
      <c r="H833" s="1"/>
      <c r="I833" s="212"/>
      <c r="J833" s="212"/>
      <c r="K833" s="335"/>
      <c r="L833" s="335"/>
      <c r="M833" s="335"/>
      <c r="N833" s="335"/>
      <c r="O833" s="335"/>
      <c r="P833" s="335"/>
      <c r="Q833" s="1"/>
      <c r="R833" s="1"/>
      <c r="S833" s="1"/>
      <c r="T833" s="1"/>
      <c r="U833" s="1"/>
      <c r="Y833" s="1"/>
    </row>
    <row r="834" ht="12.75" customHeight="1">
      <c r="A834" s="8"/>
      <c r="B834" s="8"/>
      <c r="C834" s="8"/>
      <c r="D834" s="8"/>
      <c r="E834" s="8"/>
      <c r="F834" s="8"/>
      <c r="G834" s="334"/>
      <c r="H834" s="1"/>
      <c r="I834" s="212"/>
      <c r="J834" s="212"/>
      <c r="K834" s="335"/>
      <c r="L834" s="335"/>
      <c r="M834" s="335"/>
      <c r="N834" s="335"/>
      <c r="O834" s="335"/>
      <c r="P834" s="335"/>
      <c r="Q834" s="1"/>
      <c r="R834" s="1"/>
      <c r="S834" s="1"/>
      <c r="T834" s="1"/>
      <c r="U834" s="1"/>
      <c r="Y834" s="1"/>
    </row>
    <row r="835" ht="12.75" customHeight="1">
      <c r="A835" s="8"/>
      <c r="B835" s="8"/>
      <c r="C835" s="8"/>
      <c r="D835" s="8"/>
      <c r="E835" s="8"/>
      <c r="F835" s="8"/>
      <c r="G835" s="334"/>
      <c r="H835" s="1"/>
      <c r="I835" s="212"/>
      <c r="J835" s="212"/>
      <c r="K835" s="335"/>
      <c r="L835" s="335"/>
      <c r="M835" s="335"/>
      <c r="N835" s="335"/>
      <c r="O835" s="335"/>
      <c r="P835" s="335"/>
      <c r="Q835" s="1"/>
      <c r="R835" s="1"/>
      <c r="S835" s="1"/>
      <c r="T835" s="1"/>
      <c r="U835" s="1"/>
      <c r="Y835" s="1"/>
    </row>
    <row r="836" ht="12.75" customHeight="1">
      <c r="A836" s="8"/>
      <c r="B836" s="8"/>
      <c r="C836" s="8"/>
      <c r="D836" s="8"/>
      <c r="E836" s="8"/>
      <c r="F836" s="8"/>
      <c r="G836" s="334"/>
      <c r="H836" s="1"/>
      <c r="I836" s="212"/>
      <c r="J836" s="212"/>
      <c r="K836" s="335"/>
      <c r="L836" s="335"/>
      <c r="M836" s="335"/>
      <c r="N836" s="335"/>
      <c r="O836" s="335"/>
      <c r="P836" s="335"/>
      <c r="Q836" s="1"/>
      <c r="R836" s="1"/>
      <c r="S836" s="1"/>
      <c r="T836" s="1"/>
      <c r="U836" s="1"/>
      <c r="Y836" s="1"/>
    </row>
    <row r="837" ht="12.75" customHeight="1">
      <c r="A837" s="8"/>
      <c r="B837" s="8"/>
      <c r="C837" s="8"/>
      <c r="D837" s="8"/>
      <c r="E837" s="8"/>
      <c r="F837" s="8"/>
      <c r="G837" s="334"/>
      <c r="H837" s="1"/>
      <c r="I837" s="212"/>
      <c r="J837" s="212"/>
      <c r="K837" s="335"/>
      <c r="L837" s="335"/>
      <c r="M837" s="335"/>
      <c r="N837" s="335"/>
      <c r="O837" s="335"/>
      <c r="P837" s="335"/>
      <c r="Q837" s="1"/>
      <c r="R837" s="1"/>
      <c r="S837" s="1"/>
      <c r="T837" s="1"/>
      <c r="U837" s="1"/>
      <c r="Y837" s="1"/>
    </row>
    <row r="838" ht="12.75" customHeight="1">
      <c r="A838" s="8"/>
      <c r="B838" s="8"/>
      <c r="C838" s="8"/>
      <c r="D838" s="8"/>
      <c r="E838" s="8"/>
      <c r="F838" s="8"/>
      <c r="G838" s="334"/>
      <c r="H838" s="1"/>
      <c r="I838" s="212"/>
      <c r="J838" s="212"/>
      <c r="K838" s="335"/>
      <c r="L838" s="335"/>
      <c r="M838" s="335"/>
      <c r="N838" s="335"/>
      <c r="O838" s="335"/>
      <c r="P838" s="335"/>
      <c r="Q838" s="1"/>
      <c r="R838" s="1"/>
      <c r="S838" s="1"/>
      <c r="T838" s="1"/>
      <c r="U838" s="1"/>
      <c r="Y838" s="1"/>
    </row>
    <row r="839" ht="12.75" customHeight="1">
      <c r="A839" s="8"/>
      <c r="B839" s="8"/>
      <c r="C839" s="8"/>
      <c r="D839" s="8"/>
      <c r="E839" s="8"/>
      <c r="F839" s="8"/>
      <c r="G839" s="334"/>
      <c r="H839" s="1"/>
      <c r="I839" s="212"/>
      <c r="J839" s="212"/>
      <c r="K839" s="335"/>
      <c r="L839" s="335"/>
      <c r="M839" s="335"/>
      <c r="N839" s="335"/>
      <c r="O839" s="335"/>
      <c r="P839" s="335"/>
      <c r="Q839" s="1"/>
      <c r="R839" s="1"/>
      <c r="S839" s="1"/>
      <c r="T839" s="1"/>
      <c r="U839" s="1"/>
      <c r="Y839" s="1"/>
    </row>
    <row r="840" ht="12.75" customHeight="1">
      <c r="A840" s="8"/>
      <c r="B840" s="8"/>
      <c r="C840" s="8"/>
      <c r="D840" s="8"/>
      <c r="E840" s="8"/>
      <c r="F840" s="8"/>
      <c r="G840" s="334"/>
      <c r="H840" s="1"/>
      <c r="I840" s="212"/>
      <c r="J840" s="212"/>
      <c r="K840" s="335"/>
      <c r="L840" s="335"/>
      <c r="M840" s="335"/>
      <c r="N840" s="335"/>
      <c r="O840" s="335"/>
      <c r="P840" s="335"/>
      <c r="Q840" s="1"/>
      <c r="R840" s="1"/>
      <c r="S840" s="1"/>
      <c r="T840" s="1"/>
      <c r="U840" s="1"/>
      <c r="Y840" s="1"/>
    </row>
    <row r="841" ht="12.75" customHeight="1">
      <c r="A841" s="8"/>
      <c r="B841" s="8"/>
      <c r="C841" s="8"/>
      <c r="D841" s="8"/>
      <c r="E841" s="8"/>
      <c r="F841" s="8"/>
      <c r="G841" s="334"/>
      <c r="H841" s="1"/>
      <c r="I841" s="212"/>
      <c r="J841" s="212"/>
      <c r="K841" s="335"/>
      <c r="L841" s="335"/>
      <c r="M841" s="335"/>
      <c r="N841" s="335"/>
      <c r="O841" s="335"/>
      <c r="P841" s="335"/>
      <c r="Q841" s="1"/>
      <c r="R841" s="1"/>
      <c r="S841" s="1"/>
      <c r="T841" s="1"/>
      <c r="U841" s="1"/>
      <c r="Y841" s="1"/>
    </row>
    <row r="842" ht="12.75" customHeight="1">
      <c r="A842" s="8"/>
      <c r="B842" s="8"/>
      <c r="C842" s="8"/>
      <c r="D842" s="8"/>
      <c r="E842" s="8"/>
      <c r="F842" s="8"/>
      <c r="G842" s="334"/>
      <c r="H842" s="1"/>
      <c r="I842" s="212"/>
      <c r="J842" s="212"/>
      <c r="K842" s="335"/>
      <c r="L842" s="335"/>
      <c r="M842" s="335"/>
      <c r="N842" s="335"/>
      <c r="O842" s="335"/>
      <c r="P842" s="335"/>
      <c r="Q842" s="1"/>
      <c r="R842" s="1"/>
      <c r="S842" s="1"/>
      <c r="T842" s="1"/>
      <c r="U842" s="1"/>
      <c r="Y842" s="1"/>
    </row>
    <row r="843" ht="12.75" customHeight="1">
      <c r="A843" s="8"/>
      <c r="B843" s="8"/>
      <c r="C843" s="8"/>
      <c r="D843" s="8"/>
      <c r="E843" s="8"/>
      <c r="F843" s="8"/>
      <c r="G843" s="334"/>
      <c r="H843" s="1"/>
      <c r="I843" s="212"/>
      <c r="J843" s="212"/>
      <c r="K843" s="335"/>
      <c r="L843" s="335"/>
      <c r="M843" s="335"/>
      <c r="N843" s="335"/>
      <c r="O843" s="335"/>
      <c r="P843" s="335"/>
      <c r="Q843" s="1"/>
      <c r="R843" s="1"/>
      <c r="S843" s="1"/>
      <c r="T843" s="1"/>
      <c r="U843" s="1"/>
      <c r="Y843" s="1"/>
    </row>
    <row r="844" ht="12.75" customHeight="1">
      <c r="A844" s="8"/>
      <c r="B844" s="8"/>
      <c r="C844" s="8"/>
      <c r="D844" s="8"/>
      <c r="E844" s="8"/>
      <c r="F844" s="8"/>
      <c r="G844" s="334"/>
      <c r="H844" s="1"/>
      <c r="I844" s="212"/>
      <c r="J844" s="212"/>
      <c r="K844" s="335"/>
      <c r="L844" s="335"/>
      <c r="M844" s="335"/>
      <c r="N844" s="335"/>
      <c r="O844" s="335"/>
      <c r="P844" s="335"/>
      <c r="Q844" s="1"/>
      <c r="R844" s="1"/>
      <c r="S844" s="1"/>
      <c r="T844" s="1"/>
      <c r="U844" s="1"/>
      <c r="Y844" s="1"/>
    </row>
    <row r="845" ht="12.75" customHeight="1">
      <c r="A845" s="8"/>
      <c r="B845" s="8"/>
      <c r="C845" s="8"/>
      <c r="D845" s="8"/>
      <c r="E845" s="8"/>
      <c r="F845" s="8"/>
      <c r="G845" s="334"/>
      <c r="H845" s="1"/>
      <c r="I845" s="212"/>
      <c r="J845" s="212"/>
      <c r="K845" s="335"/>
      <c r="L845" s="335"/>
      <c r="M845" s="335"/>
      <c r="N845" s="335"/>
      <c r="O845" s="335"/>
      <c r="P845" s="335"/>
      <c r="Q845" s="1"/>
      <c r="R845" s="1"/>
      <c r="S845" s="1"/>
      <c r="T845" s="1"/>
      <c r="U845" s="1"/>
      <c r="Y845" s="1"/>
    </row>
    <row r="846" ht="12.75" customHeight="1">
      <c r="A846" s="8"/>
      <c r="B846" s="8"/>
      <c r="C846" s="8"/>
      <c r="D846" s="8"/>
      <c r="E846" s="8"/>
      <c r="F846" s="8"/>
      <c r="G846" s="334"/>
      <c r="H846" s="1"/>
      <c r="I846" s="212"/>
      <c r="J846" s="212"/>
      <c r="K846" s="335"/>
      <c r="L846" s="335"/>
      <c r="M846" s="335"/>
      <c r="N846" s="335"/>
      <c r="O846" s="335"/>
      <c r="P846" s="335"/>
      <c r="Q846" s="1"/>
      <c r="R846" s="1"/>
      <c r="S846" s="1"/>
      <c r="T846" s="1"/>
      <c r="U846" s="1"/>
      <c r="Y846" s="1"/>
    </row>
    <row r="847" ht="12.75" customHeight="1">
      <c r="A847" s="8"/>
      <c r="B847" s="8"/>
      <c r="C847" s="8"/>
      <c r="D847" s="8"/>
      <c r="E847" s="8"/>
      <c r="F847" s="8"/>
      <c r="G847" s="334"/>
      <c r="H847" s="1"/>
      <c r="I847" s="212"/>
      <c r="J847" s="212"/>
      <c r="K847" s="335"/>
      <c r="L847" s="335"/>
      <c r="M847" s="335"/>
      <c r="N847" s="335"/>
      <c r="O847" s="335"/>
      <c r="P847" s="335"/>
      <c r="Q847" s="1"/>
      <c r="R847" s="1"/>
      <c r="S847" s="1"/>
      <c r="T847" s="1"/>
      <c r="U847" s="1"/>
      <c r="Y847" s="1"/>
    </row>
    <row r="848" ht="12.75" customHeight="1">
      <c r="A848" s="8"/>
      <c r="B848" s="8"/>
      <c r="C848" s="8"/>
      <c r="D848" s="8"/>
      <c r="E848" s="8"/>
      <c r="F848" s="8"/>
      <c r="G848" s="334"/>
      <c r="H848" s="1"/>
      <c r="I848" s="212"/>
      <c r="J848" s="212"/>
      <c r="K848" s="335"/>
      <c r="L848" s="335"/>
      <c r="M848" s="335"/>
      <c r="N848" s="335"/>
      <c r="O848" s="335"/>
      <c r="P848" s="335"/>
      <c r="Q848" s="1"/>
      <c r="R848" s="1"/>
      <c r="S848" s="1"/>
      <c r="T848" s="1"/>
      <c r="U848" s="1"/>
      <c r="Y848" s="1"/>
    </row>
    <row r="849" ht="12.75" customHeight="1">
      <c r="A849" s="8"/>
      <c r="B849" s="8"/>
      <c r="C849" s="8"/>
      <c r="D849" s="8"/>
      <c r="E849" s="8"/>
      <c r="F849" s="8"/>
      <c r="G849" s="334"/>
      <c r="H849" s="1"/>
      <c r="I849" s="212"/>
      <c r="J849" s="212"/>
      <c r="K849" s="335"/>
      <c r="L849" s="335"/>
      <c r="M849" s="335"/>
      <c r="N849" s="335"/>
      <c r="O849" s="335"/>
      <c r="P849" s="335"/>
      <c r="Q849" s="1"/>
      <c r="R849" s="1"/>
      <c r="S849" s="1"/>
      <c r="T849" s="1"/>
      <c r="U849" s="1"/>
      <c r="Y849" s="1"/>
    </row>
    <row r="850" ht="12.75" customHeight="1">
      <c r="A850" s="8"/>
      <c r="B850" s="8"/>
      <c r="C850" s="8"/>
      <c r="D850" s="8"/>
      <c r="E850" s="8"/>
      <c r="F850" s="8"/>
      <c r="G850" s="334"/>
      <c r="H850" s="1"/>
      <c r="I850" s="212"/>
      <c r="J850" s="212"/>
      <c r="K850" s="335"/>
      <c r="L850" s="335"/>
      <c r="M850" s="335"/>
      <c r="N850" s="335"/>
      <c r="O850" s="335"/>
      <c r="P850" s="335"/>
      <c r="Q850" s="1"/>
      <c r="R850" s="1"/>
      <c r="S850" s="1"/>
      <c r="T850" s="1"/>
      <c r="U850" s="1"/>
      <c r="Y850" s="1"/>
    </row>
    <row r="851" ht="12.75" customHeight="1">
      <c r="A851" s="8"/>
      <c r="B851" s="8"/>
      <c r="C851" s="8"/>
      <c r="D851" s="8"/>
      <c r="E851" s="8"/>
      <c r="F851" s="8"/>
      <c r="G851" s="334"/>
      <c r="H851" s="1"/>
      <c r="I851" s="212"/>
      <c r="J851" s="212"/>
      <c r="K851" s="335"/>
      <c r="L851" s="335"/>
      <c r="M851" s="335"/>
      <c r="N851" s="335"/>
      <c r="O851" s="335"/>
      <c r="P851" s="335"/>
      <c r="Q851" s="1"/>
      <c r="R851" s="1"/>
      <c r="S851" s="1"/>
      <c r="T851" s="1"/>
      <c r="U851" s="1"/>
      <c r="Y851" s="1"/>
    </row>
    <row r="852" ht="12.75" customHeight="1">
      <c r="A852" s="8"/>
      <c r="B852" s="8"/>
      <c r="C852" s="8"/>
      <c r="D852" s="8"/>
      <c r="E852" s="8"/>
      <c r="F852" s="8"/>
      <c r="G852" s="334"/>
      <c r="H852" s="1"/>
      <c r="I852" s="212"/>
      <c r="J852" s="212"/>
      <c r="K852" s="335"/>
      <c r="L852" s="335"/>
      <c r="M852" s="335"/>
      <c r="N852" s="335"/>
      <c r="O852" s="335"/>
      <c r="P852" s="335"/>
      <c r="Q852" s="1"/>
      <c r="R852" s="1"/>
      <c r="S852" s="1"/>
      <c r="T852" s="1"/>
      <c r="U852" s="1"/>
      <c r="Y852" s="1"/>
    </row>
    <row r="853" ht="12.75" customHeight="1">
      <c r="A853" s="8"/>
      <c r="B853" s="8"/>
      <c r="C853" s="8"/>
      <c r="D853" s="8"/>
      <c r="E853" s="8"/>
      <c r="F853" s="8"/>
      <c r="G853" s="334"/>
      <c r="H853" s="1"/>
      <c r="I853" s="212"/>
      <c r="J853" s="212"/>
      <c r="K853" s="335"/>
      <c r="L853" s="335"/>
      <c r="M853" s="335"/>
      <c r="N853" s="335"/>
      <c r="O853" s="335"/>
      <c r="P853" s="335"/>
      <c r="Q853" s="1"/>
      <c r="R853" s="1"/>
      <c r="S853" s="1"/>
      <c r="T853" s="1"/>
      <c r="U853" s="1"/>
      <c r="Y853" s="1"/>
    </row>
    <row r="854" ht="12.75" customHeight="1">
      <c r="A854" s="8"/>
      <c r="B854" s="8"/>
      <c r="C854" s="8"/>
      <c r="D854" s="8"/>
      <c r="E854" s="8"/>
      <c r="F854" s="8"/>
      <c r="G854" s="334"/>
      <c r="H854" s="1"/>
      <c r="I854" s="212"/>
      <c r="J854" s="212"/>
      <c r="K854" s="335"/>
      <c r="L854" s="335"/>
      <c r="M854" s="335"/>
      <c r="N854" s="335"/>
      <c r="O854" s="335"/>
      <c r="P854" s="335"/>
      <c r="Q854" s="1"/>
      <c r="R854" s="1"/>
      <c r="S854" s="1"/>
      <c r="T854" s="1"/>
      <c r="U854" s="1"/>
      <c r="Y854" s="1"/>
    </row>
    <row r="855" ht="12.75" customHeight="1">
      <c r="A855" s="8"/>
      <c r="B855" s="8"/>
      <c r="C855" s="8"/>
      <c r="D855" s="8"/>
      <c r="E855" s="8"/>
      <c r="F855" s="8"/>
      <c r="G855" s="334"/>
      <c r="H855" s="1"/>
      <c r="I855" s="212"/>
      <c r="J855" s="212"/>
      <c r="K855" s="335"/>
      <c r="L855" s="335"/>
      <c r="M855" s="335"/>
      <c r="N855" s="335"/>
      <c r="O855" s="335"/>
      <c r="P855" s="335"/>
      <c r="Q855" s="1"/>
      <c r="R855" s="1"/>
      <c r="S855" s="1"/>
      <c r="T855" s="1"/>
      <c r="U855" s="1"/>
      <c r="Y855" s="1"/>
    </row>
    <row r="856" ht="12.75" customHeight="1">
      <c r="A856" s="8"/>
      <c r="B856" s="8"/>
      <c r="C856" s="8"/>
      <c r="D856" s="8"/>
      <c r="E856" s="8"/>
      <c r="F856" s="8"/>
      <c r="G856" s="334"/>
      <c r="H856" s="1"/>
      <c r="I856" s="212"/>
      <c r="J856" s="212"/>
      <c r="K856" s="335"/>
      <c r="L856" s="335"/>
      <c r="M856" s="335"/>
      <c r="N856" s="335"/>
      <c r="O856" s="335"/>
      <c r="P856" s="335"/>
      <c r="Q856" s="1"/>
      <c r="R856" s="1"/>
      <c r="S856" s="1"/>
      <c r="T856" s="1"/>
      <c r="U856" s="1"/>
      <c r="Y856" s="1"/>
    </row>
    <row r="857" ht="12.75" customHeight="1">
      <c r="A857" s="8"/>
      <c r="B857" s="8"/>
      <c r="C857" s="8"/>
      <c r="D857" s="8"/>
      <c r="E857" s="8"/>
      <c r="F857" s="8"/>
      <c r="G857" s="334"/>
      <c r="H857" s="1"/>
      <c r="I857" s="212"/>
      <c r="J857" s="212"/>
      <c r="K857" s="335"/>
      <c r="L857" s="335"/>
      <c r="M857" s="335"/>
      <c r="N857" s="335"/>
      <c r="O857" s="335"/>
      <c r="P857" s="335"/>
      <c r="Q857" s="1"/>
      <c r="R857" s="1"/>
      <c r="S857" s="1"/>
      <c r="T857" s="1"/>
      <c r="U857" s="1"/>
      <c r="Y857" s="1"/>
    </row>
    <row r="858" ht="12.75" customHeight="1">
      <c r="A858" s="8"/>
      <c r="B858" s="8"/>
      <c r="C858" s="8"/>
      <c r="D858" s="8"/>
      <c r="E858" s="8"/>
      <c r="F858" s="8"/>
      <c r="G858" s="334"/>
      <c r="H858" s="1"/>
      <c r="I858" s="212"/>
      <c r="J858" s="212"/>
      <c r="K858" s="335"/>
      <c r="L858" s="335"/>
      <c r="M858" s="335"/>
      <c r="N858" s="335"/>
      <c r="O858" s="335"/>
      <c r="P858" s="335"/>
      <c r="Q858" s="1"/>
      <c r="R858" s="1"/>
      <c r="S858" s="1"/>
      <c r="T858" s="1"/>
      <c r="U858" s="1"/>
      <c r="Y858" s="1"/>
    </row>
    <row r="859" ht="12.75" customHeight="1">
      <c r="A859" s="8"/>
      <c r="B859" s="8"/>
      <c r="C859" s="8"/>
      <c r="D859" s="8"/>
      <c r="E859" s="8"/>
      <c r="F859" s="8"/>
      <c r="G859" s="334"/>
      <c r="H859" s="1"/>
      <c r="I859" s="212"/>
      <c r="J859" s="212"/>
      <c r="K859" s="335"/>
      <c r="L859" s="335"/>
      <c r="M859" s="335"/>
      <c r="N859" s="335"/>
      <c r="O859" s="335"/>
      <c r="P859" s="335"/>
      <c r="Q859" s="1"/>
      <c r="R859" s="1"/>
      <c r="S859" s="1"/>
      <c r="T859" s="1"/>
      <c r="U859" s="1"/>
      <c r="Y859" s="1"/>
    </row>
    <row r="860" ht="12.75" customHeight="1">
      <c r="A860" s="8"/>
      <c r="B860" s="8"/>
      <c r="C860" s="8"/>
      <c r="D860" s="8"/>
      <c r="E860" s="8"/>
      <c r="F860" s="8"/>
      <c r="G860" s="334"/>
      <c r="H860" s="1"/>
      <c r="I860" s="212"/>
      <c r="J860" s="212"/>
      <c r="K860" s="335"/>
      <c r="L860" s="335"/>
      <c r="M860" s="335"/>
      <c r="N860" s="335"/>
      <c r="O860" s="335"/>
      <c r="P860" s="335"/>
      <c r="Q860" s="1"/>
      <c r="R860" s="1"/>
      <c r="S860" s="1"/>
      <c r="T860" s="1"/>
      <c r="U860" s="1"/>
      <c r="Y860" s="1"/>
    </row>
    <row r="861" ht="12.75" customHeight="1">
      <c r="A861" s="8"/>
      <c r="B861" s="8"/>
      <c r="C861" s="8"/>
      <c r="D861" s="8"/>
      <c r="E861" s="8"/>
      <c r="F861" s="8"/>
      <c r="G861" s="334"/>
      <c r="H861" s="1"/>
      <c r="I861" s="212"/>
      <c r="J861" s="212"/>
      <c r="K861" s="335"/>
      <c r="L861" s="335"/>
      <c r="M861" s="335"/>
      <c r="N861" s="335"/>
      <c r="O861" s="335"/>
      <c r="P861" s="335"/>
      <c r="Q861" s="1"/>
      <c r="R861" s="1"/>
      <c r="S861" s="1"/>
      <c r="T861" s="1"/>
      <c r="U861" s="1"/>
      <c r="Y861" s="1"/>
    </row>
    <row r="862" ht="12.75" customHeight="1">
      <c r="A862" s="8"/>
      <c r="B862" s="8"/>
      <c r="C862" s="8"/>
      <c r="D862" s="8"/>
      <c r="E862" s="8"/>
      <c r="F862" s="8"/>
      <c r="G862" s="334"/>
      <c r="H862" s="1"/>
      <c r="I862" s="212"/>
      <c r="J862" s="212"/>
      <c r="K862" s="335"/>
      <c r="L862" s="335"/>
      <c r="M862" s="335"/>
      <c r="N862" s="335"/>
      <c r="O862" s="335"/>
      <c r="P862" s="335"/>
      <c r="Q862" s="1"/>
      <c r="R862" s="1"/>
      <c r="S862" s="1"/>
      <c r="T862" s="1"/>
      <c r="U862" s="1"/>
      <c r="Y862" s="1"/>
    </row>
    <row r="863" ht="12.75" customHeight="1">
      <c r="A863" s="8"/>
      <c r="B863" s="8"/>
      <c r="C863" s="8"/>
      <c r="D863" s="8"/>
      <c r="E863" s="8"/>
      <c r="F863" s="8"/>
      <c r="G863" s="334"/>
      <c r="H863" s="1"/>
      <c r="I863" s="212"/>
      <c r="J863" s="212"/>
      <c r="K863" s="335"/>
      <c r="L863" s="335"/>
      <c r="M863" s="335"/>
      <c r="N863" s="335"/>
      <c r="O863" s="335"/>
      <c r="P863" s="335"/>
      <c r="Q863" s="1"/>
      <c r="R863" s="1"/>
      <c r="S863" s="1"/>
      <c r="T863" s="1"/>
      <c r="U863" s="1"/>
      <c r="Y863" s="1"/>
    </row>
    <row r="864" ht="12.75" customHeight="1">
      <c r="A864" s="8"/>
      <c r="B864" s="8"/>
      <c r="C864" s="8"/>
      <c r="D864" s="8"/>
      <c r="E864" s="8"/>
      <c r="F864" s="8"/>
      <c r="G864" s="334"/>
      <c r="H864" s="1"/>
      <c r="I864" s="212"/>
      <c r="J864" s="212"/>
      <c r="K864" s="335"/>
      <c r="L864" s="335"/>
      <c r="M864" s="335"/>
      <c r="N864" s="335"/>
      <c r="O864" s="335"/>
      <c r="P864" s="335"/>
      <c r="Q864" s="1"/>
      <c r="R864" s="1"/>
      <c r="S864" s="1"/>
      <c r="T864" s="1"/>
      <c r="U864" s="1"/>
      <c r="Y864" s="1"/>
    </row>
    <row r="865" ht="12.75" customHeight="1">
      <c r="A865" s="8"/>
      <c r="B865" s="8"/>
      <c r="C865" s="8"/>
      <c r="D865" s="8"/>
      <c r="E865" s="8"/>
      <c r="F865" s="8"/>
      <c r="G865" s="334"/>
      <c r="H865" s="1"/>
      <c r="I865" s="212"/>
      <c r="J865" s="212"/>
      <c r="K865" s="335"/>
      <c r="L865" s="335"/>
      <c r="M865" s="335"/>
      <c r="N865" s="335"/>
      <c r="O865" s="335"/>
      <c r="P865" s="335"/>
      <c r="Q865" s="1"/>
      <c r="R865" s="1"/>
      <c r="S865" s="1"/>
      <c r="T865" s="1"/>
      <c r="U865" s="1"/>
      <c r="Y865" s="1"/>
    </row>
    <row r="866" ht="12.75" customHeight="1">
      <c r="A866" s="8"/>
      <c r="B866" s="8"/>
      <c r="C866" s="8"/>
      <c r="D866" s="8"/>
      <c r="E866" s="8"/>
      <c r="F866" s="8"/>
      <c r="G866" s="334"/>
      <c r="H866" s="1"/>
      <c r="I866" s="212"/>
      <c r="J866" s="212"/>
      <c r="K866" s="335"/>
      <c r="L866" s="335"/>
      <c r="M866" s="335"/>
      <c r="N866" s="335"/>
      <c r="O866" s="335"/>
      <c r="P866" s="335"/>
      <c r="Q866" s="1"/>
      <c r="R866" s="1"/>
      <c r="S866" s="1"/>
      <c r="T866" s="1"/>
      <c r="U866" s="1"/>
      <c r="Y866" s="1"/>
    </row>
    <row r="867" ht="12.75" customHeight="1">
      <c r="A867" s="8"/>
      <c r="B867" s="8"/>
      <c r="C867" s="8"/>
      <c r="D867" s="8"/>
      <c r="E867" s="8"/>
      <c r="F867" s="8"/>
      <c r="G867" s="334"/>
      <c r="H867" s="1"/>
      <c r="I867" s="212"/>
      <c r="J867" s="212"/>
      <c r="K867" s="335"/>
      <c r="L867" s="335"/>
      <c r="M867" s="335"/>
      <c r="N867" s="335"/>
      <c r="O867" s="335"/>
      <c r="P867" s="335"/>
      <c r="Q867" s="1"/>
      <c r="R867" s="1"/>
      <c r="S867" s="1"/>
      <c r="T867" s="1"/>
      <c r="U867" s="1"/>
      <c r="Y867" s="1"/>
    </row>
    <row r="868" ht="12.75" customHeight="1">
      <c r="A868" s="8"/>
      <c r="B868" s="8"/>
      <c r="C868" s="8"/>
      <c r="D868" s="8"/>
      <c r="E868" s="8"/>
      <c r="F868" s="8"/>
      <c r="G868" s="334"/>
      <c r="H868" s="1"/>
      <c r="I868" s="212"/>
      <c r="J868" s="212"/>
      <c r="K868" s="335"/>
      <c r="L868" s="335"/>
      <c r="M868" s="335"/>
      <c r="N868" s="335"/>
      <c r="O868" s="335"/>
      <c r="P868" s="335"/>
      <c r="Q868" s="1"/>
      <c r="R868" s="1"/>
      <c r="S868" s="1"/>
      <c r="T868" s="1"/>
      <c r="U868" s="1"/>
      <c r="Y868" s="1"/>
    </row>
    <row r="869" ht="12.75" customHeight="1">
      <c r="A869" s="8"/>
      <c r="B869" s="8"/>
      <c r="C869" s="8"/>
      <c r="D869" s="8"/>
      <c r="E869" s="8"/>
      <c r="F869" s="8"/>
      <c r="G869" s="334"/>
      <c r="H869" s="1"/>
      <c r="I869" s="212"/>
      <c r="J869" s="212"/>
      <c r="K869" s="335"/>
      <c r="L869" s="335"/>
      <c r="M869" s="335"/>
      <c r="N869" s="335"/>
      <c r="O869" s="335"/>
      <c r="P869" s="335"/>
      <c r="Q869" s="1"/>
      <c r="R869" s="1"/>
      <c r="S869" s="1"/>
      <c r="T869" s="1"/>
      <c r="U869" s="1"/>
      <c r="Y869" s="1"/>
    </row>
    <row r="870" ht="12.75" customHeight="1">
      <c r="A870" s="8"/>
      <c r="B870" s="8"/>
      <c r="C870" s="8"/>
      <c r="D870" s="8"/>
      <c r="E870" s="8"/>
      <c r="F870" s="8"/>
      <c r="G870" s="334"/>
      <c r="H870" s="1"/>
      <c r="I870" s="212"/>
      <c r="J870" s="212"/>
      <c r="K870" s="335"/>
      <c r="L870" s="335"/>
      <c r="M870" s="335"/>
      <c r="N870" s="335"/>
      <c r="O870" s="335"/>
      <c r="P870" s="335"/>
      <c r="Q870" s="1"/>
      <c r="R870" s="1"/>
      <c r="S870" s="1"/>
      <c r="T870" s="1"/>
      <c r="U870" s="1"/>
      <c r="Y870" s="1"/>
    </row>
    <row r="871" ht="12.75" customHeight="1">
      <c r="A871" s="8"/>
      <c r="B871" s="8"/>
      <c r="C871" s="8"/>
      <c r="D871" s="8"/>
      <c r="E871" s="8"/>
      <c r="F871" s="8"/>
      <c r="G871" s="334"/>
      <c r="H871" s="1"/>
      <c r="I871" s="212"/>
      <c r="J871" s="212"/>
      <c r="K871" s="335"/>
      <c r="L871" s="335"/>
      <c r="M871" s="335"/>
      <c r="N871" s="335"/>
      <c r="O871" s="335"/>
      <c r="P871" s="335"/>
      <c r="Q871" s="1"/>
      <c r="R871" s="1"/>
      <c r="S871" s="1"/>
      <c r="T871" s="1"/>
      <c r="U871" s="1"/>
      <c r="Y871" s="1"/>
    </row>
    <row r="872" ht="12.75" customHeight="1">
      <c r="A872" s="8"/>
      <c r="B872" s="8"/>
      <c r="C872" s="8"/>
      <c r="D872" s="8"/>
      <c r="E872" s="8"/>
      <c r="F872" s="8"/>
      <c r="G872" s="334"/>
      <c r="H872" s="1"/>
      <c r="I872" s="212"/>
      <c r="J872" s="212"/>
      <c r="K872" s="335"/>
      <c r="L872" s="335"/>
      <c r="M872" s="335"/>
      <c r="N872" s="335"/>
      <c r="O872" s="335"/>
      <c r="P872" s="335"/>
      <c r="Q872" s="1"/>
      <c r="R872" s="1"/>
      <c r="S872" s="1"/>
      <c r="T872" s="1"/>
      <c r="U872" s="1"/>
      <c r="Y872" s="1"/>
    </row>
    <row r="873" ht="12.75" customHeight="1">
      <c r="A873" s="8"/>
      <c r="B873" s="8"/>
      <c r="C873" s="8"/>
      <c r="D873" s="8"/>
      <c r="E873" s="8"/>
      <c r="F873" s="8"/>
      <c r="G873" s="334"/>
      <c r="H873" s="1"/>
      <c r="I873" s="212"/>
      <c r="J873" s="212"/>
      <c r="K873" s="335"/>
      <c r="L873" s="335"/>
      <c r="M873" s="335"/>
      <c r="N873" s="335"/>
      <c r="O873" s="335"/>
      <c r="P873" s="335"/>
      <c r="Q873" s="1"/>
      <c r="R873" s="1"/>
      <c r="S873" s="1"/>
      <c r="T873" s="1"/>
      <c r="U873" s="1"/>
      <c r="Y873" s="1"/>
    </row>
    <row r="874" ht="12.75" customHeight="1">
      <c r="A874" s="8"/>
      <c r="B874" s="8"/>
      <c r="C874" s="8"/>
      <c r="D874" s="8"/>
      <c r="E874" s="8"/>
      <c r="F874" s="8"/>
      <c r="G874" s="334"/>
      <c r="H874" s="1"/>
      <c r="I874" s="212"/>
      <c r="J874" s="212"/>
      <c r="K874" s="335"/>
      <c r="L874" s="335"/>
      <c r="M874" s="335"/>
      <c r="N874" s="335"/>
      <c r="O874" s="335"/>
      <c r="P874" s="335"/>
      <c r="Q874" s="1"/>
      <c r="R874" s="1"/>
      <c r="S874" s="1"/>
      <c r="T874" s="1"/>
      <c r="U874" s="1"/>
      <c r="Y874" s="1"/>
    </row>
    <row r="875" ht="12.75" customHeight="1">
      <c r="A875" s="8"/>
      <c r="B875" s="8"/>
      <c r="C875" s="8"/>
      <c r="D875" s="8"/>
      <c r="E875" s="8"/>
      <c r="F875" s="8"/>
      <c r="G875" s="334"/>
      <c r="H875" s="1"/>
      <c r="I875" s="212"/>
      <c r="J875" s="212"/>
      <c r="K875" s="335"/>
      <c r="L875" s="335"/>
      <c r="M875" s="335"/>
      <c r="N875" s="335"/>
      <c r="O875" s="335"/>
      <c r="P875" s="335"/>
      <c r="Q875" s="1"/>
      <c r="R875" s="1"/>
      <c r="S875" s="1"/>
      <c r="T875" s="1"/>
      <c r="U875" s="1"/>
      <c r="Y875" s="1"/>
    </row>
    <row r="876" ht="12.75" customHeight="1">
      <c r="A876" s="8"/>
      <c r="B876" s="8"/>
      <c r="C876" s="8"/>
      <c r="D876" s="8"/>
      <c r="E876" s="8"/>
      <c r="F876" s="8"/>
      <c r="G876" s="334"/>
      <c r="H876" s="1"/>
      <c r="I876" s="212"/>
      <c r="J876" s="212"/>
      <c r="K876" s="335"/>
      <c r="L876" s="335"/>
      <c r="M876" s="335"/>
      <c r="N876" s="335"/>
      <c r="O876" s="335"/>
      <c r="P876" s="335"/>
      <c r="Q876" s="1"/>
      <c r="R876" s="1"/>
      <c r="S876" s="1"/>
      <c r="T876" s="1"/>
      <c r="U876" s="1"/>
      <c r="Y876" s="1"/>
    </row>
    <row r="877" ht="12.75" customHeight="1">
      <c r="A877" s="8"/>
      <c r="B877" s="8"/>
      <c r="C877" s="8"/>
      <c r="D877" s="8"/>
      <c r="E877" s="8"/>
      <c r="F877" s="8"/>
      <c r="G877" s="334"/>
      <c r="H877" s="1"/>
      <c r="I877" s="212"/>
      <c r="J877" s="212"/>
      <c r="K877" s="335"/>
      <c r="L877" s="335"/>
      <c r="M877" s="335"/>
      <c r="N877" s="335"/>
      <c r="O877" s="335"/>
      <c r="P877" s="335"/>
      <c r="Q877" s="1"/>
      <c r="R877" s="1"/>
      <c r="S877" s="1"/>
      <c r="T877" s="1"/>
      <c r="U877" s="1"/>
      <c r="Y877" s="1"/>
    </row>
    <row r="878" ht="12.75" customHeight="1">
      <c r="A878" s="8"/>
      <c r="B878" s="8"/>
      <c r="C878" s="8"/>
      <c r="D878" s="8"/>
      <c r="E878" s="8"/>
      <c r="F878" s="8"/>
      <c r="G878" s="334"/>
      <c r="H878" s="1"/>
      <c r="I878" s="212"/>
      <c r="J878" s="212"/>
      <c r="K878" s="335"/>
      <c r="L878" s="335"/>
      <c r="M878" s="335"/>
      <c r="N878" s="335"/>
      <c r="O878" s="335"/>
      <c r="P878" s="335"/>
      <c r="Q878" s="1"/>
      <c r="R878" s="1"/>
      <c r="S878" s="1"/>
      <c r="T878" s="1"/>
      <c r="U878" s="1"/>
      <c r="Y878" s="1"/>
    </row>
    <row r="879" ht="12.75" customHeight="1">
      <c r="A879" s="8"/>
      <c r="B879" s="8"/>
      <c r="C879" s="8"/>
      <c r="D879" s="8"/>
      <c r="E879" s="8"/>
      <c r="F879" s="8"/>
      <c r="G879" s="334"/>
      <c r="H879" s="1"/>
      <c r="I879" s="212"/>
      <c r="J879" s="212"/>
      <c r="K879" s="335"/>
      <c r="L879" s="335"/>
      <c r="M879" s="335"/>
      <c r="N879" s="335"/>
      <c r="O879" s="335"/>
      <c r="P879" s="335"/>
      <c r="Q879" s="1"/>
      <c r="R879" s="1"/>
      <c r="S879" s="1"/>
      <c r="T879" s="1"/>
      <c r="U879" s="1"/>
      <c r="Y879" s="1"/>
    </row>
    <row r="880" ht="12.75" customHeight="1">
      <c r="A880" s="8"/>
      <c r="B880" s="8"/>
      <c r="C880" s="8"/>
      <c r="D880" s="8"/>
      <c r="E880" s="8"/>
      <c r="F880" s="8"/>
      <c r="G880" s="334"/>
      <c r="H880" s="1"/>
      <c r="I880" s="212"/>
      <c r="J880" s="212"/>
      <c r="K880" s="335"/>
      <c r="L880" s="335"/>
      <c r="M880" s="335"/>
      <c r="N880" s="335"/>
      <c r="O880" s="335"/>
      <c r="P880" s="335"/>
      <c r="Q880" s="1"/>
      <c r="R880" s="1"/>
      <c r="S880" s="1"/>
      <c r="T880" s="1"/>
      <c r="U880" s="1"/>
      <c r="Y880" s="1"/>
    </row>
    <row r="881" ht="12.75" customHeight="1">
      <c r="A881" s="8"/>
      <c r="B881" s="8"/>
      <c r="C881" s="8"/>
      <c r="D881" s="8"/>
      <c r="E881" s="8"/>
      <c r="F881" s="8"/>
      <c r="G881" s="334"/>
      <c r="H881" s="1"/>
      <c r="I881" s="212"/>
      <c r="J881" s="212"/>
      <c r="K881" s="335"/>
      <c r="L881" s="335"/>
      <c r="M881" s="335"/>
      <c r="N881" s="335"/>
      <c r="O881" s="335"/>
      <c r="P881" s="335"/>
      <c r="Q881" s="1"/>
      <c r="R881" s="1"/>
      <c r="S881" s="1"/>
      <c r="T881" s="1"/>
      <c r="U881" s="1"/>
      <c r="Y881" s="1"/>
    </row>
    <row r="882" ht="12.75" customHeight="1">
      <c r="A882" s="8"/>
      <c r="B882" s="8"/>
      <c r="C882" s="8"/>
      <c r="D882" s="8"/>
      <c r="E882" s="8"/>
      <c r="F882" s="8"/>
      <c r="G882" s="334"/>
      <c r="H882" s="1"/>
      <c r="I882" s="212"/>
      <c r="J882" s="212"/>
      <c r="K882" s="335"/>
      <c r="L882" s="335"/>
      <c r="M882" s="335"/>
      <c r="N882" s="335"/>
      <c r="O882" s="335"/>
      <c r="P882" s="335"/>
      <c r="Q882" s="1"/>
      <c r="R882" s="1"/>
      <c r="S882" s="1"/>
      <c r="T882" s="1"/>
      <c r="U882" s="1"/>
      <c r="Y882" s="1"/>
    </row>
    <row r="883" ht="12.75" customHeight="1">
      <c r="A883" s="8"/>
      <c r="B883" s="8"/>
      <c r="C883" s="8"/>
      <c r="D883" s="8"/>
      <c r="E883" s="8"/>
      <c r="F883" s="8"/>
      <c r="G883" s="334"/>
      <c r="H883" s="1"/>
      <c r="I883" s="212"/>
      <c r="J883" s="212"/>
      <c r="K883" s="335"/>
      <c r="L883" s="335"/>
      <c r="M883" s="335"/>
      <c r="N883" s="335"/>
      <c r="O883" s="335"/>
      <c r="P883" s="335"/>
      <c r="Q883" s="1"/>
      <c r="R883" s="1"/>
      <c r="S883" s="1"/>
      <c r="T883" s="1"/>
      <c r="U883" s="1"/>
      <c r="Y883" s="1"/>
    </row>
    <row r="884" ht="12.75" customHeight="1">
      <c r="A884" s="8"/>
      <c r="B884" s="8"/>
      <c r="C884" s="8"/>
      <c r="D884" s="8"/>
      <c r="E884" s="8"/>
      <c r="F884" s="8"/>
      <c r="G884" s="334"/>
      <c r="H884" s="1"/>
      <c r="I884" s="212"/>
      <c r="J884" s="212"/>
      <c r="K884" s="335"/>
      <c r="L884" s="335"/>
      <c r="M884" s="335"/>
      <c r="N884" s="335"/>
      <c r="O884" s="335"/>
      <c r="P884" s="335"/>
      <c r="Q884" s="1"/>
      <c r="R884" s="1"/>
      <c r="S884" s="1"/>
      <c r="T884" s="1"/>
      <c r="U884" s="1"/>
      <c r="Y884" s="1"/>
    </row>
    <row r="885" ht="12.75" customHeight="1">
      <c r="A885" s="8"/>
      <c r="B885" s="8"/>
      <c r="C885" s="8"/>
      <c r="D885" s="8"/>
      <c r="E885" s="8"/>
      <c r="F885" s="8"/>
      <c r="G885" s="334"/>
      <c r="H885" s="1"/>
      <c r="I885" s="212"/>
      <c r="J885" s="212"/>
      <c r="K885" s="335"/>
      <c r="L885" s="335"/>
      <c r="M885" s="335"/>
      <c r="N885" s="335"/>
      <c r="O885" s="335"/>
      <c r="P885" s="335"/>
      <c r="Q885" s="1"/>
      <c r="R885" s="1"/>
      <c r="S885" s="1"/>
      <c r="T885" s="1"/>
      <c r="U885" s="1"/>
      <c r="Y885" s="1"/>
    </row>
    <row r="886" ht="12.75" customHeight="1">
      <c r="A886" s="8"/>
      <c r="B886" s="8"/>
      <c r="C886" s="8"/>
      <c r="D886" s="8"/>
      <c r="E886" s="8"/>
      <c r="F886" s="8"/>
      <c r="G886" s="334"/>
      <c r="H886" s="1"/>
      <c r="I886" s="212"/>
      <c r="J886" s="212"/>
      <c r="K886" s="335"/>
      <c r="L886" s="335"/>
      <c r="M886" s="335"/>
      <c r="N886" s="335"/>
      <c r="O886" s="335"/>
      <c r="P886" s="335"/>
      <c r="Q886" s="1"/>
      <c r="R886" s="1"/>
      <c r="S886" s="1"/>
      <c r="T886" s="1"/>
      <c r="U886" s="1"/>
      <c r="Y886" s="1"/>
    </row>
    <row r="887" ht="12.75" customHeight="1">
      <c r="A887" s="8"/>
      <c r="B887" s="8"/>
      <c r="C887" s="8"/>
      <c r="D887" s="8"/>
      <c r="E887" s="8"/>
      <c r="F887" s="8"/>
      <c r="G887" s="334"/>
      <c r="H887" s="1"/>
      <c r="I887" s="212"/>
      <c r="J887" s="212"/>
      <c r="K887" s="335"/>
      <c r="L887" s="335"/>
      <c r="M887" s="335"/>
      <c r="N887" s="335"/>
      <c r="O887" s="335"/>
      <c r="P887" s="335"/>
      <c r="Q887" s="1"/>
      <c r="R887" s="1"/>
      <c r="S887" s="1"/>
      <c r="T887" s="1"/>
      <c r="U887" s="1"/>
      <c r="Y887" s="1"/>
    </row>
    <row r="888" ht="12.75" customHeight="1">
      <c r="A888" s="8"/>
      <c r="B888" s="8"/>
      <c r="C888" s="8"/>
      <c r="D888" s="8"/>
      <c r="E888" s="8"/>
      <c r="F888" s="8"/>
      <c r="G888" s="334"/>
      <c r="H888" s="1"/>
      <c r="I888" s="212"/>
      <c r="J888" s="212"/>
      <c r="K888" s="335"/>
      <c r="L888" s="335"/>
      <c r="M888" s="335"/>
      <c r="N888" s="335"/>
      <c r="O888" s="335"/>
      <c r="P888" s="335"/>
      <c r="Q888" s="1"/>
      <c r="R888" s="1"/>
      <c r="S888" s="1"/>
      <c r="T888" s="1"/>
      <c r="U888" s="1"/>
      <c r="Y888" s="1"/>
    </row>
    <row r="889" ht="12.75" customHeight="1">
      <c r="A889" s="8"/>
      <c r="B889" s="8"/>
      <c r="C889" s="8"/>
      <c r="D889" s="8"/>
      <c r="E889" s="8"/>
      <c r="F889" s="8"/>
      <c r="G889" s="334"/>
      <c r="H889" s="1"/>
      <c r="I889" s="212"/>
      <c r="J889" s="212"/>
      <c r="K889" s="335"/>
      <c r="L889" s="335"/>
      <c r="M889" s="335"/>
      <c r="N889" s="335"/>
      <c r="O889" s="335"/>
      <c r="P889" s="335"/>
      <c r="Q889" s="1"/>
      <c r="R889" s="1"/>
      <c r="S889" s="1"/>
      <c r="T889" s="1"/>
      <c r="U889" s="1"/>
      <c r="Y889" s="1"/>
    </row>
    <row r="890" ht="12.75" customHeight="1">
      <c r="A890" s="8"/>
      <c r="B890" s="8"/>
      <c r="C890" s="8"/>
      <c r="D890" s="8"/>
      <c r="E890" s="8"/>
      <c r="F890" s="8"/>
      <c r="G890" s="334"/>
      <c r="H890" s="1"/>
      <c r="I890" s="212"/>
      <c r="J890" s="212"/>
      <c r="K890" s="335"/>
      <c r="L890" s="335"/>
      <c r="M890" s="335"/>
      <c r="N890" s="335"/>
      <c r="O890" s="335"/>
      <c r="P890" s="335"/>
      <c r="Q890" s="1"/>
      <c r="R890" s="1"/>
      <c r="S890" s="1"/>
      <c r="T890" s="1"/>
      <c r="U890" s="1"/>
      <c r="Y890" s="1"/>
    </row>
    <row r="891" ht="12.75" customHeight="1">
      <c r="A891" s="8"/>
      <c r="B891" s="8"/>
      <c r="C891" s="8"/>
      <c r="D891" s="8"/>
      <c r="E891" s="8"/>
      <c r="F891" s="8"/>
      <c r="G891" s="334"/>
      <c r="H891" s="1"/>
      <c r="I891" s="212"/>
      <c r="J891" s="212"/>
      <c r="K891" s="335"/>
      <c r="L891" s="335"/>
      <c r="M891" s="335"/>
      <c r="N891" s="335"/>
      <c r="O891" s="335"/>
      <c r="P891" s="335"/>
      <c r="Q891" s="1"/>
      <c r="R891" s="1"/>
      <c r="S891" s="1"/>
      <c r="T891" s="1"/>
      <c r="U891" s="1"/>
      <c r="Y891" s="1"/>
    </row>
    <row r="892" ht="12.75" customHeight="1">
      <c r="A892" s="8"/>
      <c r="B892" s="8"/>
      <c r="C892" s="8"/>
      <c r="D892" s="8"/>
      <c r="E892" s="8"/>
      <c r="F892" s="8"/>
      <c r="G892" s="334"/>
      <c r="H892" s="1"/>
      <c r="I892" s="212"/>
      <c r="J892" s="212"/>
      <c r="K892" s="335"/>
      <c r="L892" s="335"/>
      <c r="M892" s="335"/>
      <c r="N892" s="335"/>
      <c r="O892" s="335"/>
      <c r="P892" s="335"/>
      <c r="Q892" s="1"/>
      <c r="R892" s="1"/>
      <c r="S892" s="1"/>
      <c r="T892" s="1"/>
      <c r="U892" s="1"/>
      <c r="Y892" s="1"/>
    </row>
    <row r="893" ht="12.75" customHeight="1">
      <c r="A893" s="8"/>
      <c r="B893" s="8"/>
      <c r="C893" s="8"/>
      <c r="D893" s="8"/>
      <c r="E893" s="8"/>
      <c r="F893" s="8"/>
      <c r="G893" s="334"/>
      <c r="H893" s="1"/>
      <c r="I893" s="212"/>
      <c r="J893" s="212"/>
      <c r="K893" s="335"/>
      <c r="L893" s="335"/>
      <c r="M893" s="335"/>
      <c r="N893" s="335"/>
      <c r="O893" s="335"/>
      <c r="P893" s="335"/>
      <c r="Q893" s="1"/>
      <c r="R893" s="1"/>
      <c r="S893" s="1"/>
      <c r="T893" s="1"/>
      <c r="U893" s="1"/>
      <c r="Y893" s="1"/>
    </row>
    <row r="894" ht="12.75" customHeight="1">
      <c r="A894" s="8"/>
      <c r="B894" s="8"/>
      <c r="C894" s="8"/>
      <c r="D894" s="8"/>
      <c r="E894" s="8"/>
      <c r="F894" s="8"/>
      <c r="G894" s="334"/>
      <c r="H894" s="1"/>
      <c r="I894" s="212"/>
      <c r="J894" s="212"/>
      <c r="K894" s="335"/>
      <c r="L894" s="335"/>
      <c r="M894" s="335"/>
      <c r="N894" s="335"/>
      <c r="O894" s="335"/>
      <c r="P894" s="335"/>
      <c r="Q894" s="1"/>
      <c r="R894" s="1"/>
      <c r="S894" s="1"/>
      <c r="T894" s="1"/>
      <c r="U894" s="1"/>
      <c r="Y894" s="1"/>
    </row>
    <row r="895" ht="12.75" customHeight="1">
      <c r="A895" s="8"/>
      <c r="B895" s="8"/>
      <c r="C895" s="8"/>
      <c r="D895" s="8"/>
      <c r="E895" s="8"/>
      <c r="F895" s="8"/>
      <c r="G895" s="334"/>
      <c r="H895" s="1"/>
      <c r="I895" s="212"/>
      <c r="J895" s="212"/>
      <c r="K895" s="335"/>
      <c r="L895" s="335"/>
      <c r="M895" s="335"/>
      <c r="N895" s="335"/>
      <c r="O895" s="335"/>
      <c r="P895" s="335"/>
      <c r="Q895" s="1"/>
      <c r="R895" s="1"/>
      <c r="S895" s="1"/>
      <c r="T895" s="1"/>
      <c r="U895" s="1"/>
      <c r="Y895" s="1"/>
    </row>
    <row r="896" ht="12.75" customHeight="1">
      <c r="A896" s="8"/>
      <c r="B896" s="8"/>
      <c r="C896" s="8"/>
      <c r="D896" s="8"/>
      <c r="E896" s="8"/>
      <c r="F896" s="8"/>
      <c r="G896" s="334"/>
      <c r="H896" s="1"/>
      <c r="I896" s="212"/>
      <c r="J896" s="212"/>
      <c r="K896" s="335"/>
      <c r="L896" s="335"/>
      <c r="M896" s="335"/>
      <c r="N896" s="335"/>
      <c r="O896" s="335"/>
      <c r="P896" s="335"/>
      <c r="Q896" s="1"/>
      <c r="R896" s="1"/>
      <c r="S896" s="1"/>
      <c r="T896" s="1"/>
      <c r="U896" s="1"/>
      <c r="Y896" s="1"/>
    </row>
    <row r="897" ht="12.75" customHeight="1">
      <c r="A897" s="8"/>
      <c r="B897" s="8"/>
      <c r="C897" s="8"/>
      <c r="D897" s="8"/>
      <c r="E897" s="8"/>
      <c r="F897" s="8"/>
      <c r="G897" s="334"/>
      <c r="H897" s="1"/>
      <c r="I897" s="212"/>
      <c r="J897" s="212"/>
      <c r="K897" s="335"/>
      <c r="L897" s="335"/>
      <c r="M897" s="335"/>
      <c r="N897" s="335"/>
      <c r="O897" s="335"/>
      <c r="P897" s="335"/>
      <c r="Q897" s="1"/>
      <c r="R897" s="1"/>
      <c r="S897" s="1"/>
      <c r="T897" s="1"/>
      <c r="U897" s="1"/>
      <c r="Y897" s="1"/>
    </row>
    <row r="898" ht="12.75" customHeight="1">
      <c r="A898" s="8"/>
      <c r="B898" s="8"/>
      <c r="C898" s="8"/>
      <c r="D898" s="8"/>
      <c r="E898" s="8"/>
      <c r="F898" s="8"/>
      <c r="G898" s="334"/>
      <c r="H898" s="1"/>
      <c r="I898" s="212"/>
      <c r="J898" s="212"/>
      <c r="K898" s="335"/>
      <c r="L898" s="335"/>
      <c r="M898" s="335"/>
      <c r="N898" s="335"/>
      <c r="O898" s="335"/>
      <c r="P898" s="335"/>
      <c r="Q898" s="1"/>
      <c r="R898" s="1"/>
      <c r="S898" s="1"/>
      <c r="T898" s="1"/>
      <c r="U898" s="1"/>
      <c r="Y898" s="1"/>
    </row>
    <row r="899" ht="12.75" customHeight="1">
      <c r="A899" s="8"/>
      <c r="B899" s="8"/>
      <c r="C899" s="8"/>
      <c r="D899" s="8"/>
      <c r="E899" s="8"/>
      <c r="F899" s="8"/>
      <c r="G899" s="334"/>
      <c r="H899" s="1"/>
      <c r="I899" s="212"/>
      <c r="J899" s="212"/>
      <c r="K899" s="335"/>
      <c r="L899" s="335"/>
      <c r="M899" s="335"/>
      <c r="N899" s="335"/>
      <c r="O899" s="335"/>
      <c r="P899" s="335"/>
      <c r="Q899" s="1"/>
      <c r="R899" s="1"/>
      <c r="S899" s="1"/>
      <c r="T899" s="1"/>
      <c r="U899" s="1"/>
      <c r="Y899" s="1"/>
    </row>
    <row r="900" ht="12.75" customHeight="1">
      <c r="A900" s="8"/>
      <c r="B900" s="8"/>
      <c r="C900" s="8"/>
      <c r="D900" s="8"/>
      <c r="E900" s="8"/>
      <c r="F900" s="8"/>
      <c r="G900" s="334"/>
      <c r="H900" s="1"/>
      <c r="I900" s="212"/>
      <c r="J900" s="212"/>
      <c r="K900" s="335"/>
      <c r="L900" s="335"/>
      <c r="M900" s="335"/>
      <c r="N900" s="335"/>
      <c r="O900" s="335"/>
      <c r="P900" s="335"/>
      <c r="Q900" s="1"/>
      <c r="R900" s="1"/>
      <c r="S900" s="1"/>
      <c r="T900" s="1"/>
      <c r="U900" s="1"/>
      <c r="Y900" s="1"/>
    </row>
    <row r="901" ht="12.75" customHeight="1">
      <c r="A901" s="8"/>
      <c r="B901" s="8"/>
      <c r="C901" s="8"/>
      <c r="D901" s="8"/>
      <c r="E901" s="8"/>
      <c r="F901" s="8"/>
      <c r="G901" s="334"/>
      <c r="H901" s="1"/>
      <c r="I901" s="212"/>
      <c r="J901" s="212"/>
      <c r="K901" s="335"/>
      <c r="L901" s="335"/>
      <c r="M901" s="335"/>
      <c r="N901" s="335"/>
      <c r="O901" s="335"/>
      <c r="P901" s="335"/>
      <c r="Q901" s="1"/>
      <c r="R901" s="1"/>
      <c r="S901" s="1"/>
      <c r="T901" s="1"/>
      <c r="U901" s="1"/>
      <c r="Y901" s="1"/>
    </row>
    <row r="902" ht="12.75" customHeight="1">
      <c r="A902" s="8"/>
      <c r="B902" s="8"/>
      <c r="C902" s="8"/>
      <c r="D902" s="8"/>
      <c r="E902" s="8"/>
      <c r="F902" s="8"/>
      <c r="G902" s="334"/>
      <c r="H902" s="1"/>
      <c r="I902" s="212"/>
      <c r="J902" s="212"/>
      <c r="K902" s="335"/>
      <c r="L902" s="335"/>
      <c r="M902" s="335"/>
      <c r="N902" s="335"/>
      <c r="O902" s="335"/>
      <c r="P902" s="335"/>
      <c r="Q902" s="1"/>
      <c r="R902" s="1"/>
      <c r="S902" s="1"/>
      <c r="T902" s="1"/>
      <c r="U902" s="1"/>
      <c r="Y902" s="1"/>
    </row>
    <row r="903" ht="12.75" customHeight="1">
      <c r="A903" s="8"/>
      <c r="B903" s="8"/>
      <c r="C903" s="8"/>
      <c r="D903" s="8"/>
      <c r="E903" s="8"/>
      <c r="F903" s="8"/>
      <c r="G903" s="334"/>
      <c r="H903" s="1"/>
      <c r="I903" s="212"/>
      <c r="J903" s="212"/>
      <c r="K903" s="335"/>
      <c r="L903" s="335"/>
      <c r="M903" s="335"/>
      <c r="N903" s="335"/>
      <c r="O903" s="335"/>
      <c r="P903" s="335"/>
      <c r="Q903" s="1"/>
      <c r="R903" s="1"/>
      <c r="S903" s="1"/>
      <c r="T903" s="1"/>
      <c r="U903" s="1"/>
      <c r="Y903" s="1"/>
    </row>
    <row r="904" ht="12.75" customHeight="1">
      <c r="A904" s="8"/>
      <c r="B904" s="8"/>
      <c r="C904" s="8"/>
      <c r="D904" s="8"/>
      <c r="E904" s="8"/>
      <c r="F904" s="8"/>
      <c r="G904" s="334"/>
      <c r="H904" s="1"/>
      <c r="I904" s="212"/>
      <c r="J904" s="212"/>
      <c r="K904" s="335"/>
      <c r="L904" s="335"/>
      <c r="M904" s="335"/>
      <c r="N904" s="335"/>
      <c r="O904" s="335"/>
      <c r="P904" s="335"/>
      <c r="Q904" s="1"/>
      <c r="R904" s="1"/>
      <c r="S904" s="1"/>
      <c r="T904" s="1"/>
      <c r="U904" s="1"/>
      <c r="Y904" s="1"/>
    </row>
    <row r="905" ht="12.75" customHeight="1">
      <c r="A905" s="8"/>
      <c r="B905" s="8"/>
      <c r="C905" s="8"/>
      <c r="D905" s="8"/>
      <c r="E905" s="8"/>
      <c r="F905" s="8"/>
      <c r="G905" s="334"/>
      <c r="H905" s="1"/>
      <c r="I905" s="212"/>
      <c r="J905" s="212"/>
      <c r="K905" s="335"/>
      <c r="L905" s="335"/>
      <c r="M905" s="335"/>
      <c r="N905" s="335"/>
      <c r="O905" s="335"/>
      <c r="P905" s="335"/>
      <c r="Q905" s="1"/>
      <c r="R905" s="1"/>
      <c r="S905" s="1"/>
      <c r="T905" s="1"/>
      <c r="U905" s="1"/>
      <c r="Y905" s="1"/>
    </row>
    <row r="906" ht="12.75" customHeight="1">
      <c r="A906" s="8"/>
      <c r="B906" s="8"/>
      <c r="C906" s="8"/>
      <c r="D906" s="8"/>
      <c r="E906" s="8"/>
      <c r="F906" s="8"/>
      <c r="G906" s="334"/>
      <c r="H906" s="1"/>
      <c r="I906" s="212"/>
      <c r="J906" s="212"/>
      <c r="K906" s="335"/>
      <c r="L906" s="335"/>
      <c r="M906" s="335"/>
      <c r="N906" s="335"/>
      <c r="O906" s="335"/>
      <c r="P906" s="335"/>
      <c r="Q906" s="1"/>
      <c r="R906" s="1"/>
      <c r="S906" s="1"/>
      <c r="T906" s="1"/>
      <c r="U906" s="1"/>
      <c r="Y906" s="1"/>
    </row>
    <row r="907" ht="12.75" customHeight="1">
      <c r="A907" s="8"/>
      <c r="B907" s="8"/>
      <c r="C907" s="8"/>
      <c r="D907" s="8"/>
      <c r="E907" s="8"/>
      <c r="F907" s="8"/>
      <c r="G907" s="334"/>
      <c r="H907" s="1"/>
      <c r="I907" s="212"/>
      <c r="J907" s="212"/>
      <c r="K907" s="335"/>
      <c r="L907" s="335"/>
      <c r="M907" s="335"/>
      <c r="N907" s="335"/>
      <c r="O907" s="335"/>
      <c r="P907" s="335"/>
      <c r="Q907" s="1"/>
      <c r="R907" s="1"/>
      <c r="S907" s="1"/>
      <c r="T907" s="1"/>
      <c r="U907" s="1"/>
      <c r="Y907" s="1"/>
    </row>
    <row r="908" ht="12.75" customHeight="1">
      <c r="A908" s="8"/>
      <c r="B908" s="8"/>
      <c r="C908" s="8"/>
      <c r="D908" s="8"/>
      <c r="E908" s="8"/>
      <c r="F908" s="8"/>
      <c r="G908" s="334"/>
      <c r="H908" s="1"/>
      <c r="I908" s="212"/>
      <c r="J908" s="212"/>
      <c r="K908" s="335"/>
      <c r="L908" s="335"/>
      <c r="M908" s="335"/>
      <c r="N908" s="335"/>
      <c r="O908" s="335"/>
      <c r="P908" s="335"/>
      <c r="Q908" s="1"/>
      <c r="R908" s="1"/>
      <c r="S908" s="1"/>
      <c r="T908" s="1"/>
      <c r="U908" s="1"/>
      <c r="Y908" s="1"/>
    </row>
    <row r="909" ht="12.75" customHeight="1">
      <c r="A909" s="8"/>
      <c r="B909" s="8"/>
      <c r="C909" s="8"/>
      <c r="D909" s="8"/>
      <c r="E909" s="8"/>
      <c r="F909" s="8"/>
      <c r="G909" s="334"/>
      <c r="H909" s="1"/>
      <c r="I909" s="212"/>
      <c r="J909" s="212"/>
      <c r="K909" s="335"/>
      <c r="L909" s="335"/>
      <c r="M909" s="335"/>
      <c r="N909" s="335"/>
      <c r="O909" s="335"/>
      <c r="P909" s="335"/>
      <c r="Q909" s="1"/>
      <c r="R909" s="1"/>
      <c r="S909" s="1"/>
      <c r="T909" s="1"/>
      <c r="U909" s="1"/>
      <c r="Y909" s="1"/>
    </row>
    <row r="910" ht="12.75" customHeight="1">
      <c r="A910" s="8"/>
      <c r="B910" s="8"/>
      <c r="C910" s="8"/>
      <c r="D910" s="8"/>
      <c r="E910" s="8"/>
      <c r="F910" s="8"/>
      <c r="G910" s="334"/>
      <c r="H910" s="1"/>
      <c r="I910" s="212"/>
      <c r="J910" s="212"/>
      <c r="K910" s="335"/>
      <c r="L910" s="335"/>
      <c r="M910" s="335"/>
      <c r="N910" s="335"/>
      <c r="O910" s="335"/>
      <c r="P910" s="335"/>
      <c r="Q910" s="1"/>
      <c r="R910" s="1"/>
      <c r="S910" s="1"/>
      <c r="T910" s="1"/>
      <c r="U910" s="1"/>
      <c r="Y910" s="1"/>
    </row>
    <row r="911" ht="12.75" customHeight="1">
      <c r="A911" s="8"/>
      <c r="B911" s="8"/>
      <c r="C911" s="8"/>
      <c r="D911" s="8"/>
      <c r="E911" s="8"/>
      <c r="F911" s="8"/>
      <c r="G911" s="334"/>
      <c r="H911" s="1"/>
      <c r="I911" s="212"/>
      <c r="J911" s="212"/>
      <c r="K911" s="335"/>
      <c r="L911" s="335"/>
      <c r="M911" s="335"/>
      <c r="N911" s="335"/>
      <c r="O911" s="335"/>
      <c r="P911" s="335"/>
      <c r="Q911" s="1"/>
      <c r="R911" s="1"/>
      <c r="S911" s="1"/>
      <c r="T911" s="1"/>
      <c r="U911" s="1"/>
      <c r="Y911" s="1"/>
    </row>
    <row r="912" ht="12.75" customHeight="1">
      <c r="A912" s="8"/>
      <c r="B912" s="8"/>
      <c r="C912" s="8"/>
      <c r="D912" s="8"/>
      <c r="E912" s="8"/>
      <c r="F912" s="8"/>
      <c r="G912" s="334"/>
      <c r="H912" s="1"/>
      <c r="I912" s="212"/>
      <c r="J912" s="212"/>
      <c r="K912" s="335"/>
      <c r="L912" s="335"/>
      <c r="M912" s="335"/>
      <c r="N912" s="335"/>
      <c r="O912" s="335"/>
      <c r="P912" s="335"/>
      <c r="Q912" s="1"/>
      <c r="R912" s="1"/>
      <c r="S912" s="1"/>
      <c r="T912" s="1"/>
      <c r="U912" s="1"/>
      <c r="Y912" s="1"/>
    </row>
    <row r="913" ht="12.75" customHeight="1">
      <c r="A913" s="8"/>
      <c r="B913" s="8"/>
      <c r="C913" s="8"/>
      <c r="D913" s="8"/>
      <c r="E913" s="8"/>
      <c r="F913" s="8"/>
      <c r="G913" s="334"/>
      <c r="H913" s="1"/>
      <c r="I913" s="212"/>
      <c r="J913" s="212"/>
      <c r="K913" s="335"/>
      <c r="L913" s="335"/>
      <c r="M913" s="335"/>
      <c r="N913" s="335"/>
      <c r="O913" s="335"/>
      <c r="P913" s="335"/>
      <c r="Q913" s="1"/>
      <c r="R913" s="1"/>
      <c r="S913" s="1"/>
      <c r="T913" s="1"/>
      <c r="U913" s="1"/>
      <c r="Y913" s="1"/>
    </row>
    <row r="914" ht="12.75" customHeight="1">
      <c r="A914" s="8"/>
      <c r="B914" s="8"/>
      <c r="C914" s="8"/>
      <c r="D914" s="8"/>
      <c r="E914" s="8"/>
      <c r="F914" s="8"/>
      <c r="G914" s="334"/>
      <c r="H914" s="1"/>
      <c r="I914" s="212"/>
      <c r="J914" s="212"/>
      <c r="K914" s="335"/>
      <c r="L914" s="335"/>
      <c r="M914" s="335"/>
      <c r="N914" s="335"/>
      <c r="O914" s="335"/>
      <c r="P914" s="335"/>
      <c r="Q914" s="1"/>
      <c r="R914" s="1"/>
      <c r="S914" s="1"/>
      <c r="T914" s="1"/>
      <c r="U914" s="1"/>
      <c r="Y914" s="1"/>
    </row>
    <row r="915" ht="12.75" customHeight="1">
      <c r="A915" s="8"/>
      <c r="B915" s="8"/>
      <c r="C915" s="8"/>
      <c r="D915" s="8"/>
      <c r="E915" s="8"/>
      <c r="F915" s="8"/>
      <c r="G915" s="334"/>
      <c r="H915" s="1"/>
      <c r="I915" s="212"/>
      <c r="J915" s="212"/>
      <c r="K915" s="335"/>
      <c r="L915" s="335"/>
      <c r="M915" s="335"/>
      <c r="N915" s="335"/>
      <c r="O915" s="335"/>
      <c r="P915" s="335"/>
      <c r="Q915" s="1"/>
      <c r="R915" s="1"/>
      <c r="S915" s="1"/>
      <c r="T915" s="1"/>
      <c r="U915" s="1"/>
      <c r="Y915" s="1"/>
    </row>
    <row r="916" ht="12.75" customHeight="1">
      <c r="A916" s="8"/>
      <c r="B916" s="8"/>
      <c r="C916" s="8"/>
      <c r="D916" s="8"/>
      <c r="E916" s="8"/>
      <c r="F916" s="8"/>
      <c r="G916" s="334"/>
      <c r="H916" s="1"/>
      <c r="I916" s="212"/>
      <c r="J916" s="212"/>
      <c r="K916" s="335"/>
      <c r="L916" s="335"/>
      <c r="M916" s="335"/>
      <c r="N916" s="335"/>
      <c r="O916" s="335"/>
      <c r="P916" s="335"/>
      <c r="Q916" s="1"/>
      <c r="R916" s="1"/>
      <c r="S916" s="1"/>
      <c r="T916" s="1"/>
      <c r="U916" s="1"/>
      <c r="Y916" s="1"/>
    </row>
    <row r="917" ht="12.75" customHeight="1">
      <c r="A917" s="8"/>
      <c r="B917" s="8"/>
      <c r="C917" s="8"/>
      <c r="D917" s="8"/>
      <c r="E917" s="8"/>
      <c r="F917" s="8"/>
      <c r="G917" s="334"/>
      <c r="H917" s="1"/>
      <c r="I917" s="212"/>
      <c r="J917" s="212"/>
      <c r="K917" s="335"/>
      <c r="L917" s="335"/>
      <c r="M917" s="335"/>
      <c r="N917" s="335"/>
      <c r="O917" s="335"/>
      <c r="P917" s="335"/>
      <c r="Q917" s="1"/>
      <c r="R917" s="1"/>
      <c r="S917" s="1"/>
      <c r="T917" s="1"/>
      <c r="U917" s="1"/>
      <c r="Y917" s="1"/>
    </row>
    <row r="918" ht="12.75" customHeight="1">
      <c r="A918" s="8"/>
      <c r="B918" s="8"/>
      <c r="C918" s="8"/>
      <c r="D918" s="8"/>
      <c r="E918" s="8"/>
      <c r="F918" s="8"/>
      <c r="G918" s="334"/>
      <c r="H918" s="1"/>
      <c r="I918" s="212"/>
      <c r="J918" s="212"/>
      <c r="K918" s="335"/>
      <c r="L918" s="335"/>
      <c r="M918" s="335"/>
      <c r="N918" s="335"/>
      <c r="O918" s="335"/>
      <c r="P918" s="335"/>
      <c r="Q918" s="1"/>
      <c r="R918" s="1"/>
      <c r="S918" s="1"/>
      <c r="T918" s="1"/>
      <c r="U918" s="1"/>
      <c r="Y918" s="1"/>
    </row>
    <row r="919" ht="12.75" customHeight="1">
      <c r="A919" s="8"/>
      <c r="B919" s="8"/>
      <c r="C919" s="8"/>
      <c r="D919" s="8"/>
      <c r="E919" s="8"/>
      <c r="F919" s="8"/>
      <c r="G919" s="334"/>
      <c r="H919" s="1"/>
      <c r="I919" s="212"/>
      <c r="J919" s="212"/>
      <c r="K919" s="335"/>
      <c r="L919" s="335"/>
      <c r="M919" s="335"/>
      <c r="N919" s="335"/>
      <c r="O919" s="335"/>
      <c r="P919" s="335"/>
      <c r="Q919" s="1"/>
      <c r="R919" s="1"/>
      <c r="S919" s="1"/>
      <c r="T919" s="1"/>
      <c r="U919" s="1"/>
      <c r="Y919" s="1"/>
    </row>
    <row r="920" ht="12.75" customHeight="1">
      <c r="A920" s="8"/>
      <c r="B920" s="8"/>
      <c r="C920" s="8"/>
      <c r="D920" s="8"/>
      <c r="E920" s="8"/>
      <c r="F920" s="8"/>
      <c r="G920" s="334"/>
      <c r="H920" s="1"/>
      <c r="I920" s="212"/>
      <c r="J920" s="212"/>
      <c r="K920" s="335"/>
      <c r="L920" s="335"/>
      <c r="M920" s="335"/>
      <c r="N920" s="335"/>
      <c r="O920" s="335"/>
      <c r="P920" s="335"/>
      <c r="Q920" s="1"/>
      <c r="R920" s="1"/>
      <c r="S920" s="1"/>
      <c r="T920" s="1"/>
      <c r="U920" s="1"/>
      <c r="Y920" s="1"/>
    </row>
    <row r="921" ht="12.75" customHeight="1">
      <c r="A921" s="8"/>
      <c r="B921" s="8"/>
      <c r="C921" s="8"/>
      <c r="D921" s="8"/>
      <c r="E921" s="8"/>
      <c r="F921" s="8"/>
      <c r="G921" s="334"/>
      <c r="H921" s="1"/>
      <c r="I921" s="212"/>
      <c r="J921" s="212"/>
      <c r="K921" s="335"/>
      <c r="L921" s="335"/>
      <c r="M921" s="335"/>
      <c r="N921" s="335"/>
      <c r="O921" s="335"/>
      <c r="P921" s="335"/>
      <c r="Q921" s="1"/>
      <c r="R921" s="1"/>
      <c r="S921" s="1"/>
      <c r="T921" s="1"/>
      <c r="U921" s="1"/>
      <c r="Y921" s="1"/>
    </row>
    <row r="922" ht="12.75" customHeight="1">
      <c r="A922" s="8"/>
      <c r="B922" s="8"/>
      <c r="C922" s="8"/>
      <c r="D922" s="8"/>
      <c r="E922" s="8"/>
      <c r="F922" s="8"/>
      <c r="G922" s="334"/>
      <c r="H922" s="1"/>
      <c r="I922" s="212"/>
      <c r="J922" s="212"/>
      <c r="K922" s="335"/>
      <c r="L922" s="335"/>
      <c r="M922" s="335"/>
      <c r="N922" s="335"/>
      <c r="O922" s="335"/>
      <c r="P922" s="335"/>
      <c r="Q922" s="1"/>
      <c r="R922" s="1"/>
      <c r="S922" s="1"/>
      <c r="T922" s="1"/>
      <c r="U922" s="1"/>
      <c r="Y922" s="1"/>
    </row>
    <row r="923" ht="12.75" customHeight="1">
      <c r="A923" s="8"/>
      <c r="B923" s="8"/>
      <c r="C923" s="8"/>
      <c r="D923" s="8"/>
      <c r="E923" s="8"/>
      <c r="F923" s="8"/>
      <c r="G923" s="334"/>
      <c r="H923" s="1"/>
      <c r="I923" s="212"/>
      <c r="J923" s="212"/>
      <c r="K923" s="335"/>
      <c r="L923" s="335"/>
      <c r="M923" s="335"/>
      <c r="N923" s="335"/>
      <c r="O923" s="335"/>
      <c r="P923" s="335"/>
      <c r="Q923" s="1"/>
      <c r="R923" s="1"/>
      <c r="S923" s="1"/>
      <c r="T923" s="1"/>
      <c r="U923" s="1"/>
      <c r="Y923" s="1"/>
    </row>
    <row r="924" ht="12.75" customHeight="1">
      <c r="A924" s="8"/>
      <c r="B924" s="8"/>
      <c r="C924" s="8"/>
      <c r="D924" s="8"/>
      <c r="E924" s="8"/>
      <c r="F924" s="8"/>
      <c r="G924" s="334"/>
      <c r="H924" s="1"/>
      <c r="I924" s="212"/>
      <c r="J924" s="212"/>
      <c r="K924" s="335"/>
      <c r="L924" s="335"/>
      <c r="M924" s="335"/>
      <c r="N924" s="335"/>
      <c r="O924" s="335"/>
      <c r="P924" s="335"/>
      <c r="Q924" s="1"/>
      <c r="R924" s="1"/>
      <c r="S924" s="1"/>
      <c r="T924" s="1"/>
      <c r="U924" s="1"/>
      <c r="Y924" s="1"/>
    </row>
    <row r="925" ht="12.75" customHeight="1">
      <c r="A925" s="8"/>
      <c r="B925" s="8"/>
      <c r="C925" s="8"/>
      <c r="D925" s="8"/>
      <c r="E925" s="8"/>
      <c r="F925" s="8"/>
      <c r="G925" s="334"/>
      <c r="H925" s="1"/>
      <c r="I925" s="212"/>
      <c r="J925" s="212"/>
      <c r="K925" s="335"/>
      <c r="L925" s="335"/>
      <c r="M925" s="335"/>
      <c r="N925" s="335"/>
      <c r="O925" s="335"/>
      <c r="P925" s="335"/>
      <c r="Q925" s="1"/>
      <c r="R925" s="1"/>
      <c r="S925" s="1"/>
      <c r="T925" s="1"/>
      <c r="U925" s="1"/>
      <c r="Y925" s="1"/>
    </row>
    <row r="926" ht="12.75" customHeight="1">
      <c r="A926" s="8"/>
      <c r="B926" s="8"/>
      <c r="C926" s="8"/>
      <c r="D926" s="8"/>
      <c r="E926" s="8"/>
      <c r="F926" s="8"/>
      <c r="G926" s="334"/>
      <c r="H926" s="1"/>
      <c r="I926" s="212"/>
      <c r="J926" s="212"/>
      <c r="K926" s="335"/>
      <c r="L926" s="335"/>
      <c r="M926" s="335"/>
      <c r="N926" s="335"/>
      <c r="O926" s="335"/>
      <c r="P926" s="335"/>
      <c r="Q926" s="1"/>
      <c r="R926" s="1"/>
      <c r="S926" s="1"/>
      <c r="T926" s="1"/>
      <c r="U926" s="1"/>
      <c r="Y926" s="1"/>
    </row>
    <row r="927" ht="12.75" customHeight="1">
      <c r="A927" s="8"/>
      <c r="B927" s="8"/>
      <c r="C927" s="8"/>
      <c r="D927" s="8"/>
      <c r="E927" s="8"/>
      <c r="F927" s="8"/>
      <c r="G927" s="334"/>
      <c r="H927" s="1"/>
      <c r="I927" s="212"/>
      <c r="J927" s="212"/>
      <c r="K927" s="335"/>
      <c r="L927" s="335"/>
      <c r="M927" s="335"/>
      <c r="N927" s="335"/>
      <c r="O927" s="335"/>
      <c r="P927" s="335"/>
      <c r="Q927" s="1"/>
      <c r="R927" s="1"/>
      <c r="S927" s="1"/>
      <c r="T927" s="1"/>
      <c r="U927" s="1"/>
      <c r="Y927" s="1"/>
    </row>
    <row r="928" ht="12.75" customHeight="1">
      <c r="A928" s="8"/>
      <c r="B928" s="8"/>
      <c r="C928" s="8"/>
      <c r="D928" s="8"/>
      <c r="E928" s="8"/>
      <c r="F928" s="8"/>
      <c r="G928" s="334"/>
      <c r="H928" s="1"/>
      <c r="I928" s="212"/>
      <c r="J928" s="212"/>
      <c r="K928" s="335"/>
      <c r="L928" s="335"/>
      <c r="M928" s="335"/>
      <c r="N928" s="335"/>
      <c r="O928" s="335"/>
      <c r="P928" s="335"/>
      <c r="Q928" s="1"/>
      <c r="R928" s="1"/>
      <c r="S928" s="1"/>
      <c r="T928" s="1"/>
      <c r="U928" s="1"/>
      <c r="Y928" s="1"/>
    </row>
    <row r="929" ht="12.75" customHeight="1">
      <c r="A929" s="8"/>
      <c r="B929" s="8"/>
      <c r="C929" s="8"/>
      <c r="D929" s="8"/>
      <c r="E929" s="8"/>
      <c r="F929" s="8"/>
      <c r="G929" s="334"/>
      <c r="H929" s="1"/>
      <c r="I929" s="212"/>
      <c r="J929" s="212"/>
      <c r="K929" s="335"/>
      <c r="L929" s="335"/>
      <c r="M929" s="335"/>
      <c r="N929" s="335"/>
      <c r="O929" s="335"/>
      <c r="P929" s="335"/>
      <c r="Q929" s="1"/>
      <c r="R929" s="1"/>
      <c r="S929" s="1"/>
      <c r="T929" s="1"/>
      <c r="U929" s="1"/>
      <c r="Y929" s="1"/>
    </row>
    <row r="930" ht="12.75" customHeight="1">
      <c r="A930" s="8"/>
      <c r="B930" s="8"/>
      <c r="C930" s="8"/>
      <c r="D930" s="8"/>
      <c r="E930" s="8"/>
      <c r="F930" s="8"/>
      <c r="G930" s="334"/>
      <c r="H930" s="1"/>
      <c r="I930" s="212"/>
      <c r="J930" s="212"/>
      <c r="K930" s="335"/>
      <c r="L930" s="335"/>
      <c r="M930" s="335"/>
      <c r="N930" s="335"/>
      <c r="O930" s="335"/>
      <c r="P930" s="335"/>
      <c r="Q930" s="1"/>
      <c r="R930" s="1"/>
      <c r="S930" s="1"/>
      <c r="T930" s="1"/>
      <c r="U930" s="1"/>
      <c r="Y930" s="1"/>
    </row>
    <row r="931" ht="12.75" customHeight="1">
      <c r="A931" s="8"/>
      <c r="B931" s="8"/>
      <c r="C931" s="8"/>
      <c r="D931" s="8"/>
      <c r="E931" s="8"/>
      <c r="F931" s="8"/>
      <c r="G931" s="334"/>
      <c r="H931" s="1"/>
      <c r="I931" s="212"/>
      <c r="J931" s="212"/>
      <c r="K931" s="335"/>
      <c r="L931" s="335"/>
      <c r="M931" s="335"/>
      <c r="N931" s="335"/>
      <c r="O931" s="335"/>
      <c r="P931" s="335"/>
      <c r="Q931" s="1"/>
      <c r="R931" s="1"/>
      <c r="S931" s="1"/>
      <c r="T931" s="1"/>
      <c r="U931" s="1"/>
      <c r="Y931" s="1"/>
    </row>
    <row r="932" ht="12.75" customHeight="1">
      <c r="A932" s="8"/>
      <c r="B932" s="8"/>
      <c r="C932" s="8"/>
      <c r="D932" s="8"/>
      <c r="E932" s="8"/>
      <c r="F932" s="8"/>
      <c r="G932" s="334"/>
      <c r="H932" s="1"/>
      <c r="I932" s="212"/>
      <c r="J932" s="212"/>
      <c r="K932" s="335"/>
      <c r="L932" s="335"/>
      <c r="M932" s="335"/>
      <c r="N932" s="335"/>
      <c r="O932" s="335"/>
      <c r="P932" s="335"/>
      <c r="Q932" s="1"/>
      <c r="R932" s="1"/>
      <c r="S932" s="1"/>
      <c r="T932" s="1"/>
      <c r="U932" s="1"/>
      <c r="Y932" s="1"/>
    </row>
    <row r="933" ht="12.75" customHeight="1">
      <c r="A933" s="8"/>
      <c r="B933" s="8"/>
      <c r="C933" s="8"/>
      <c r="D933" s="8"/>
      <c r="E933" s="8"/>
      <c r="F933" s="8"/>
      <c r="G933" s="334"/>
      <c r="H933" s="1"/>
      <c r="I933" s="212"/>
      <c r="J933" s="212"/>
      <c r="K933" s="335"/>
      <c r="L933" s="335"/>
      <c r="M933" s="335"/>
      <c r="N933" s="335"/>
      <c r="O933" s="335"/>
      <c r="P933" s="335"/>
      <c r="Q933" s="1"/>
      <c r="R933" s="1"/>
      <c r="S933" s="1"/>
      <c r="T933" s="1"/>
      <c r="U933" s="1"/>
      <c r="Y933" s="1"/>
    </row>
    <row r="934" ht="12.75" customHeight="1">
      <c r="A934" s="8"/>
      <c r="B934" s="8"/>
      <c r="C934" s="8"/>
      <c r="D934" s="8"/>
      <c r="E934" s="8"/>
      <c r="F934" s="8"/>
      <c r="G934" s="334"/>
      <c r="H934" s="1"/>
      <c r="I934" s="212"/>
      <c r="J934" s="212"/>
      <c r="K934" s="335"/>
      <c r="L934" s="335"/>
      <c r="M934" s="335"/>
      <c r="N934" s="335"/>
      <c r="O934" s="335"/>
      <c r="P934" s="335"/>
      <c r="Q934" s="1"/>
      <c r="R934" s="1"/>
      <c r="S934" s="1"/>
      <c r="T934" s="1"/>
      <c r="U934" s="1"/>
      <c r="Y934" s="1"/>
    </row>
    <row r="935" ht="12.75" customHeight="1">
      <c r="A935" s="8"/>
      <c r="B935" s="8"/>
      <c r="C935" s="8"/>
      <c r="D935" s="8"/>
      <c r="E935" s="8"/>
      <c r="F935" s="8"/>
      <c r="G935" s="334"/>
      <c r="H935" s="1"/>
      <c r="I935" s="212"/>
      <c r="J935" s="212"/>
      <c r="K935" s="335"/>
      <c r="L935" s="335"/>
      <c r="M935" s="335"/>
      <c r="N935" s="335"/>
      <c r="O935" s="335"/>
      <c r="P935" s="335"/>
      <c r="Q935" s="1"/>
      <c r="R935" s="1"/>
      <c r="S935" s="1"/>
      <c r="T935" s="1"/>
      <c r="U935" s="1"/>
      <c r="Y935" s="1"/>
    </row>
    <row r="936" ht="12.75" customHeight="1">
      <c r="A936" s="8"/>
      <c r="B936" s="8"/>
      <c r="C936" s="8"/>
      <c r="D936" s="8"/>
      <c r="E936" s="8"/>
      <c r="F936" s="8"/>
      <c r="G936" s="334"/>
      <c r="H936" s="1"/>
      <c r="I936" s="212"/>
      <c r="J936" s="212"/>
      <c r="K936" s="335"/>
      <c r="L936" s="335"/>
      <c r="M936" s="335"/>
      <c r="N936" s="335"/>
      <c r="O936" s="335"/>
      <c r="P936" s="335"/>
      <c r="Q936" s="1"/>
      <c r="R936" s="1"/>
      <c r="S936" s="1"/>
      <c r="T936" s="1"/>
      <c r="U936" s="1"/>
      <c r="Y936" s="1"/>
    </row>
    <row r="937" ht="12.75" customHeight="1">
      <c r="A937" s="8"/>
      <c r="B937" s="8"/>
      <c r="C937" s="8"/>
      <c r="D937" s="8"/>
      <c r="E937" s="8"/>
      <c r="F937" s="8"/>
      <c r="G937" s="334"/>
      <c r="H937" s="1"/>
      <c r="I937" s="212"/>
      <c r="J937" s="212"/>
      <c r="K937" s="335"/>
      <c r="L937" s="335"/>
      <c r="M937" s="335"/>
      <c r="N937" s="335"/>
      <c r="O937" s="335"/>
      <c r="P937" s="335"/>
      <c r="Q937" s="1"/>
      <c r="R937" s="1"/>
      <c r="S937" s="1"/>
      <c r="T937" s="1"/>
      <c r="U937" s="1"/>
      <c r="Y937" s="1"/>
    </row>
    <row r="938" ht="12.75" customHeight="1">
      <c r="A938" s="8"/>
      <c r="B938" s="8"/>
      <c r="C938" s="8"/>
      <c r="D938" s="8"/>
      <c r="E938" s="8"/>
      <c r="F938" s="8"/>
      <c r="G938" s="334"/>
      <c r="H938" s="1"/>
      <c r="I938" s="212"/>
      <c r="J938" s="212"/>
      <c r="K938" s="335"/>
      <c r="L938" s="335"/>
      <c r="M938" s="335"/>
      <c r="N938" s="335"/>
      <c r="O938" s="335"/>
      <c r="P938" s="335"/>
      <c r="Q938" s="1"/>
      <c r="R938" s="1"/>
      <c r="S938" s="1"/>
      <c r="T938" s="1"/>
      <c r="U938" s="1"/>
      <c r="Y938" s="1"/>
    </row>
    <row r="939" ht="12.75" customHeight="1">
      <c r="A939" s="8"/>
      <c r="B939" s="8"/>
      <c r="C939" s="8"/>
      <c r="D939" s="8"/>
      <c r="E939" s="8"/>
      <c r="F939" s="8"/>
      <c r="G939" s="334"/>
      <c r="H939" s="1"/>
      <c r="I939" s="212"/>
      <c r="J939" s="212"/>
      <c r="K939" s="335"/>
      <c r="L939" s="335"/>
      <c r="M939" s="335"/>
      <c r="N939" s="335"/>
      <c r="O939" s="335"/>
      <c r="P939" s="335"/>
      <c r="Q939" s="1"/>
      <c r="R939" s="1"/>
      <c r="S939" s="1"/>
      <c r="T939" s="1"/>
      <c r="U939" s="1"/>
      <c r="Y939" s="1"/>
    </row>
    <row r="940" ht="12.75" customHeight="1">
      <c r="A940" s="8"/>
      <c r="B940" s="8"/>
      <c r="C940" s="8"/>
      <c r="D940" s="8"/>
      <c r="E940" s="8"/>
      <c r="F940" s="8"/>
      <c r="G940" s="334"/>
      <c r="H940" s="1"/>
      <c r="I940" s="212"/>
      <c r="J940" s="212"/>
      <c r="K940" s="335"/>
      <c r="L940" s="335"/>
      <c r="M940" s="335"/>
      <c r="N940" s="335"/>
      <c r="O940" s="335"/>
      <c r="P940" s="335"/>
      <c r="Q940" s="1"/>
      <c r="R940" s="1"/>
      <c r="S940" s="1"/>
      <c r="T940" s="1"/>
      <c r="U940" s="1"/>
      <c r="Y940" s="1"/>
    </row>
    <row r="941" ht="12.75" customHeight="1">
      <c r="A941" s="8"/>
      <c r="B941" s="8"/>
      <c r="C941" s="8"/>
      <c r="D941" s="8"/>
      <c r="E941" s="8"/>
      <c r="F941" s="8"/>
      <c r="G941" s="334"/>
      <c r="H941" s="1"/>
      <c r="I941" s="212"/>
      <c r="J941" s="212"/>
      <c r="K941" s="335"/>
      <c r="L941" s="335"/>
      <c r="M941" s="335"/>
      <c r="N941" s="335"/>
      <c r="O941" s="335"/>
      <c r="P941" s="335"/>
      <c r="Q941" s="1"/>
      <c r="R941" s="1"/>
      <c r="S941" s="1"/>
      <c r="T941" s="1"/>
      <c r="U941" s="1"/>
      <c r="Y941" s="1"/>
    </row>
    <row r="942" ht="12.75" customHeight="1">
      <c r="A942" s="8"/>
      <c r="B942" s="8"/>
      <c r="C942" s="8"/>
      <c r="D942" s="8"/>
      <c r="E942" s="8"/>
      <c r="F942" s="8"/>
      <c r="G942" s="334"/>
      <c r="H942" s="1"/>
      <c r="I942" s="212"/>
      <c r="J942" s="212"/>
      <c r="K942" s="335"/>
      <c r="L942" s="335"/>
      <c r="M942" s="335"/>
      <c r="N942" s="335"/>
      <c r="O942" s="335"/>
      <c r="P942" s="335"/>
      <c r="Q942" s="1"/>
      <c r="R942" s="1"/>
      <c r="S942" s="1"/>
      <c r="T942" s="1"/>
      <c r="U942" s="1"/>
      <c r="Y942" s="1"/>
    </row>
    <row r="943" ht="12.75" customHeight="1">
      <c r="A943" s="8"/>
      <c r="B943" s="8"/>
      <c r="C943" s="8"/>
      <c r="D943" s="8"/>
      <c r="E943" s="8"/>
      <c r="F943" s="8"/>
      <c r="G943" s="334"/>
      <c r="H943" s="1"/>
      <c r="I943" s="212"/>
      <c r="J943" s="212"/>
      <c r="K943" s="335"/>
      <c r="L943" s="335"/>
      <c r="M943" s="335"/>
      <c r="N943" s="335"/>
      <c r="O943" s="335"/>
      <c r="P943" s="335"/>
      <c r="Q943" s="1"/>
      <c r="R943" s="1"/>
      <c r="S943" s="1"/>
      <c r="T943" s="1"/>
      <c r="U943" s="1"/>
      <c r="Y943" s="1"/>
    </row>
    <row r="944" ht="12.75" customHeight="1">
      <c r="A944" s="8"/>
      <c r="B944" s="8"/>
      <c r="C944" s="8"/>
      <c r="D944" s="8"/>
      <c r="E944" s="8"/>
      <c r="F944" s="8"/>
      <c r="G944" s="334"/>
      <c r="H944" s="1"/>
      <c r="I944" s="212"/>
      <c r="J944" s="212"/>
      <c r="K944" s="335"/>
      <c r="L944" s="335"/>
      <c r="M944" s="335"/>
      <c r="N944" s="335"/>
      <c r="O944" s="335"/>
      <c r="P944" s="335"/>
      <c r="Q944" s="1"/>
      <c r="R944" s="1"/>
      <c r="S944" s="1"/>
      <c r="T944" s="1"/>
      <c r="U944" s="1"/>
      <c r="Y944" s="1"/>
    </row>
    <row r="945" ht="12.75" customHeight="1">
      <c r="A945" s="8"/>
      <c r="B945" s="8"/>
      <c r="C945" s="8"/>
      <c r="D945" s="8"/>
      <c r="E945" s="8"/>
      <c r="F945" s="8"/>
      <c r="G945" s="334"/>
      <c r="H945" s="1"/>
      <c r="I945" s="212"/>
      <c r="J945" s="212"/>
      <c r="K945" s="335"/>
      <c r="L945" s="335"/>
      <c r="M945" s="335"/>
      <c r="N945" s="335"/>
      <c r="O945" s="335"/>
      <c r="P945" s="335"/>
      <c r="Q945" s="1"/>
      <c r="R945" s="1"/>
      <c r="S945" s="1"/>
      <c r="T945" s="1"/>
      <c r="U945" s="1"/>
      <c r="Y945" s="1"/>
    </row>
    <row r="946" ht="12.75" customHeight="1">
      <c r="A946" s="8"/>
      <c r="B946" s="8"/>
      <c r="C946" s="8"/>
      <c r="D946" s="8"/>
      <c r="E946" s="8"/>
      <c r="F946" s="8"/>
      <c r="G946" s="334"/>
      <c r="H946" s="1"/>
      <c r="I946" s="212"/>
      <c r="J946" s="212"/>
      <c r="K946" s="335"/>
      <c r="L946" s="335"/>
      <c r="M946" s="335"/>
      <c r="N946" s="335"/>
      <c r="O946" s="335"/>
      <c r="P946" s="335"/>
      <c r="Q946" s="1"/>
      <c r="R946" s="1"/>
      <c r="S946" s="1"/>
      <c r="T946" s="1"/>
      <c r="U946" s="1"/>
      <c r="Y946" s="1"/>
    </row>
    <row r="947" ht="12.75" customHeight="1">
      <c r="A947" s="8"/>
      <c r="B947" s="8"/>
      <c r="C947" s="8"/>
      <c r="D947" s="8"/>
      <c r="E947" s="8"/>
      <c r="F947" s="8"/>
      <c r="G947" s="334"/>
      <c r="H947" s="1"/>
      <c r="I947" s="212"/>
      <c r="J947" s="212"/>
      <c r="K947" s="335"/>
      <c r="L947" s="335"/>
      <c r="M947" s="335"/>
      <c r="N947" s="335"/>
      <c r="O947" s="335"/>
      <c r="P947" s="335"/>
      <c r="Q947" s="1"/>
      <c r="R947" s="1"/>
      <c r="S947" s="1"/>
      <c r="T947" s="1"/>
      <c r="U947" s="1"/>
      <c r="Y947" s="1"/>
    </row>
    <row r="948" ht="12.75" customHeight="1">
      <c r="A948" s="8"/>
      <c r="B948" s="8"/>
      <c r="C948" s="8"/>
      <c r="D948" s="8"/>
      <c r="E948" s="8"/>
      <c r="F948" s="8"/>
      <c r="G948" s="334"/>
      <c r="H948" s="1"/>
      <c r="I948" s="212"/>
      <c r="J948" s="212"/>
      <c r="K948" s="335"/>
      <c r="L948" s="335"/>
      <c r="M948" s="335"/>
      <c r="N948" s="335"/>
      <c r="O948" s="335"/>
      <c r="P948" s="335"/>
      <c r="Q948" s="1"/>
      <c r="R948" s="1"/>
      <c r="S948" s="1"/>
      <c r="T948" s="1"/>
      <c r="U948" s="1"/>
      <c r="Y948" s="1"/>
    </row>
    <row r="949" ht="12.75" customHeight="1">
      <c r="A949" s="8"/>
      <c r="B949" s="8"/>
      <c r="C949" s="8"/>
      <c r="D949" s="8"/>
      <c r="E949" s="8"/>
      <c r="F949" s="8"/>
      <c r="G949" s="334"/>
      <c r="H949" s="1"/>
      <c r="I949" s="212"/>
      <c r="J949" s="212"/>
      <c r="K949" s="335"/>
      <c r="L949" s="335"/>
      <c r="M949" s="335"/>
      <c r="N949" s="335"/>
      <c r="O949" s="335"/>
      <c r="P949" s="335"/>
      <c r="Q949" s="1"/>
      <c r="R949" s="1"/>
      <c r="S949" s="1"/>
      <c r="T949" s="1"/>
      <c r="U949" s="1"/>
      <c r="Y949" s="1"/>
    </row>
    <row r="950" ht="12.75" customHeight="1">
      <c r="A950" s="8"/>
      <c r="B950" s="8"/>
      <c r="C950" s="8"/>
      <c r="D950" s="8"/>
      <c r="E950" s="8"/>
      <c r="F950" s="8"/>
      <c r="G950" s="334"/>
      <c r="H950" s="1"/>
      <c r="I950" s="212"/>
      <c r="J950" s="212"/>
      <c r="K950" s="335"/>
      <c r="L950" s="335"/>
      <c r="M950" s="335"/>
      <c r="N950" s="335"/>
      <c r="O950" s="335"/>
      <c r="P950" s="335"/>
      <c r="Q950" s="1"/>
      <c r="R950" s="1"/>
      <c r="S950" s="1"/>
      <c r="T950" s="1"/>
      <c r="U950" s="1"/>
      <c r="Y950" s="1"/>
    </row>
    <row r="951" ht="12.75" customHeight="1">
      <c r="A951" s="8"/>
      <c r="B951" s="8"/>
      <c r="C951" s="8"/>
      <c r="D951" s="8"/>
      <c r="E951" s="8"/>
      <c r="F951" s="8"/>
      <c r="G951" s="334"/>
      <c r="H951" s="1"/>
      <c r="I951" s="212"/>
      <c r="J951" s="212"/>
      <c r="K951" s="335"/>
      <c r="L951" s="335"/>
      <c r="M951" s="335"/>
      <c r="N951" s="335"/>
      <c r="O951" s="335"/>
      <c r="P951" s="335"/>
      <c r="Q951" s="1"/>
      <c r="R951" s="1"/>
      <c r="S951" s="1"/>
      <c r="T951" s="1"/>
      <c r="U951" s="1"/>
      <c r="Y951" s="1"/>
    </row>
    <row r="952" ht="12.75" customHeight="1">
      <c r="A952" s="8"/>
      <c r="B952" s="8"/>
      <c r="C952" s="8"/>
      <c r="D952" s="8"/>
      <c r="E952" s="8"/>
      <c r="F952" s="8"/>
      <c r="G952" s="334"/>
      <c r="H952" s="1"/>
      <c r="I952" s="212"/>
      <c r="J952" s="212"/>
      <c r="K952" s="335"/>
      <c r="L952" s="335"/>
      <c r="M952" s="335"/>
      <c r="N952" s="335"/>
      <c r="O952" s="335"/>
      <c r="P952" s="335"/>
      <c r="Q952" s="1"/>
      <c r="R952" s="1"/>
      <c r="S952" s="1"/>
      <c r="T952" s="1"/>
      <c r="U952" s="1"/>
      <c r="Y952" s="1"/>
    </row>
    <row r="953" ht="12.75" customHeight="1">
      <c r="A953" s="8"/>
      <c r="B953" s="8"/>
      <c r="C953" s="8"/>
      <c r="D953" s="8"/>
      <c r="E953" s="8"/>
      <c r="F953" s="8"/>
      <c r="G953" s="334"/>
      <c r="H953" s="1"/>
      <c r="I953" s="212"/>
      <c r="J953" s="212"/>
      <c r="K953" s="335"/>
      <c r="L953" s="335"/>
      <c r="M953" s="335"/>
      <c r="N953" s="335"/>
      <c r="O953" s="335"/>
      <c r="P953" s="335"/>
      <c r="Q953" s="1"/>
      <c r="R953" s="1"/>
      <c r="S953" s="1"/>
      <c r="T953" s="1"/>
      <c r="U953" s="1"/>
      <c r="Y953" s="1"/>
    </row>
    <row r="954" ht="12.75" customHeight="1">
      <c r="A954" s="8"/>
      <c r="B954" s="8"/>
      <c r="C954" s="8"/>
      <c r="D954" s="8"/>
      <c r="E954" s="8"/>
      <c r="F954" s="8"/>
      <c r="G954" s="334"/>
      <c r="H954" s="1"/>
      <c r="I954" s="212"/>
      <c r="J954" s="212"/>
      <c r="K954" s="335"/>
      <c r="L954" s="335"/>
      <c r="M954" s="335"/>
      <c r="N954" s="335"/>
      <c r="O954" s="335"/>
      <c r="P954" s="335"/>
      <c r="Q954" s="1"/>
      <c r="R954" s="1"/>
      <c r="S954" s="1"/>
      <c r="T954" s="1"/>
      <c r="U954" s="1"/>
      <c r="Y954" s="1"/>
    </row>
    <row r="955" ht="12.75" customHeight="1">
      <c r="A955" s="8"/>
      <c r="B955" s="8"/>
      <c r="C955" s="8"/>
      <c r="D955" s="8"/>
      <c r="E955" s="8"/>
      <c r="F955" s="8"/>
      <c r="G955" s="334"/>
      <c r="H955" s="1"/>
      <c r="I955" s="212"/>
      <c r="J955" s="212"/>
      <c r="K955" s="335"/>
      <c r="L955" s="335"/>
      <c r="M955" s="335"/>
      <c r="N955" s="335"/>
      <c r="O955" s="335"/>
      <c r="P955" s="335"/>
      <c r="Q955" s="1"/>
      <c r="R955" s="1"/>
      <c r="S955" s="1"/>
      <c r="T955" s="1"/>
      <c r="U955" s="1"/>
      <c r="Y955" s="1"/>
    </row>
    <row r="956" ht="12.75" customHeight="1">
      <c r="A956" s="8"/>
      <c r="B956" s="8"/>
      <c r="C956" s="8"/>
      <c r="D956" s="8"/>
      <c r="E956" s="8"/>
      <c r="F956" s="8"/>
      <c r="G956" s="334"/>
      <c r="H956" s="1"/>
      <c r="I956" s="212"/>
      <c r="J956" s="212"/>
      <c r="K956" s="335"/>
      <c r="L956" s="335"/>
      <c r="M956" s="335"/>
      <c r="N956" s="335"/>
      <c r="O956" s="335"/>
      <c r="P956" s="335"/>
      <c r="Q956" s="1"/>
      <c r="R956" s="1"/>
      <c r="S956" s="1"/>
      <c r="T956" s="1"/>
      <c r="U956" s="1"/>
      <c r="Y956" s="1"/>
    </row>
    <row r="957" ht="12.75" customHeight="1">
      <c r="A957" s="8"/>
      <c r="B957" s="8"/>
      <c r="C957" s="8"/>
      <c r="D957" s="8"/>
      <c r="E957" s="8"/>
      <c r="F957" s="8"/>
      <c r="G957" s="334"/>
      <c r="H957" s="1"/>
      <c r="I957" s="212"/>
      <c r="J957" s="212"/>
      <c r="K957" s="335"/>
      <c r="L957" s="335"/>
      <c r="M957" s="335"/>
      <c r="N957" s="335"/>
      <c r="O957" s="335"/>
      <c r="P957" s="335"/>
      <c r="Q957" s="1"/>
      <c r="R957" s="1"/>
      <c r="S957" s="1"/>
      <c r="T957" s="1"/>
      <c r="U957" s="1"/>
      <c r="Y957" s="1"/>
    </row>
    <row r="958" ht="12.75" customHeight="1">
      <c r="A958" s="8"/>
      <c r="B958" s="8"/>
      <c r="C958" s="8"/>
      <c r="D958" s="8"/>
      <c r="E958" s="8"/>
      <c r="F958" s="8"/>
      <c r="G958" s="334"/>
      <c r="H958" s="1"/>
      <c r="I958" s="212"/>
      <c r="J958" s="212"/>
      <c r="K958" s="335"/>
      <c r="L958" s="335"/>
      <c r="M958" s="335"/>
      <c r="N958" s="335"/>
      <c r="O958" s="335"/>
      <c r="P958" s="335"/>
      <c r="Q958" s="1"/>
      <c r="R958" s="1"/>
      <c r="S958" s="1"/>
      <c r="T958" s="1"/>
      <c r="U958" s="1"/>
      <c r="Y958" s="1"/>
    </row>
    <row r="959" ht="12.75" customHeight="1">
      <c r="A959" s="8"/>
      <c r="B959" s="8"/>
      <c r="C959" s="8"/>
      <c r="D959" s="8"/>
      <c r="E959" s="8"/>
      <c r="F959" s="8"/>
      <c r="G959" s="334"/>
      <c r="H959" s="1"/>
      <c r="I959" s="212"/>
      <c r="J959" s="212"/>
      <c r="K959" s="335"/>
      <c r="L959" s="335"/>
      <c r="M959" s="335"/>
      <c r="N959" s="335"/>
      <c r="O959" s="335"/>
      <c r="P959" s="335"/>
      <c r="Q959" s="1"/>
      <c r="R959" s="1"/>
      <c r="S959" s="1"/>
      <c r="T959" s="1"/>
      <c r="U959" s="1"/>
      <c r="Y959" s="1"/>
    </row>
    <row r="960" ht="12.75" customHeight="1">
      <c r="A960" s="8"/>
      <c r="B960" s="8"/>
      <c r="C960" s="8"/>
      <c r="D960" s="8"/>
      <c r="E960" s="8"/>
      <c r="F960" s="8"/>
      <c r="G960" s="334"/>
      <c r="H960" s="1"/>
      <c r="I960" s="212"/>
      <c r="J960" s="212"/>
      <c r="K960" s="335"/>
      <c r="L960" s="335"/>
      <c r="M960" s="335"/>
      <c r="N960" s="335"/>
      <c r="O960" s="335"/>
      <c r="P960" s="335"/>
      <c r="Q960" s="1"/>
      <c r="R960" s="1"/>
      <c r="S960" s="1"/>
      <c r="T960" s="1"/>
      <c r="U960" s="1"/>
      <c r="Y960" s="1"/>
    </row>
    <row r="961" ht="12.75" customHeight="1">
      <c r="A961" s="8"/>
      <c r="B961" s="8"/>
      <c r="C961" s="8"/>
      <c r="D961" s="8"/>
      <c r="E961" s="8"/>
      <c r="F961" s="8"/>
      <c r="G961" s="334"/>
      <c r="H961" s="1"/>
      <c r="I961" s="212"/>
      <c r="J961" s="212"/>
      <c r="K961" s="335"/>
      <c r="L961" s="335"/>
      <c r="M961" s="335"/>
      <c r="N961" s="335"/>
      <c r="O961" s="335"/>
      <c r="P961" s="335"/>
      <c r="Q961" s="1"/>
      <c r="R961" s="1"/>
      <c r="S961" s="1"/>
      <c r="T961" s="1"/>
      <c r="U961" s="1"/>
      <c r="Y961" s="1"/>
    </row>
    <row r="962" ht="12.75" customHeight="1">
      <c r="A962" s="8"/>
      <c r="B962" s="8"/>
      <c r="C962" s="8"/>
      <c r="D962" s="8"/>
      <c r="E962" s="8"/>
      <c r="F962" s="8"/>
      <c r="G962" s="334"/>
      <c r="H962" s="1"/>
      <c r="I962" s="212"/>
      <c r="J962" s="212"/>
      <c r="K962" s="335"/>
      <c r="L962" s="335"/>
      <c r="M962" s="335"/>
      <c r="N962" s="335"/>
      <c r="O962" s="335"/>
      <c r="P962" s="335"/>
      <c r="Q962" s="1"/>
      <c r="R962" s="1"/>
      <c r="S962" s="1"/>
      <c r="T962" s="1"/>
      <c r="U962" s="1"/>
      <c r="Y962" s="1"/>
    </row>
    <row r="963" ht="12.75" customHeight="1">
      <c r="A963" s="8"/>
      <c r="B963" s="8"/>
      <c r="C963" s="8"/>
      <c r="D963" s="8"/>
      <c r="E963" s="8"/>
      <c r="F963" s="8"/>
      <c r="G963" s="334"/>
      <c r="H963" s="1"/>
      <c r="I963" s="212"/>
      <c r="J963" s="212"/>
      <c r="K963" s="335"/>
      <c r="L963" s="335"/>
      <c r="M963" s="335"/>
      <c r="N963" s="335"/>
      <c r="O963" s="335"/>
      <c r="P963" s="335"/>
      <c r="Q963" s="1"/>
      <c r="R963" s="1"/>
      <c r="S963" s="1"/>
      <c r="T963" s="1"/>
      <c r="U963" s="1"/>
      <c r="Y963" s="1"/>
    </row>
    <row r="964" ht="12.75" customHeight="1">
      <c r="A964" s="8"/>
      <c r="B964" s="8"/>
      <c r="C964" s="8"/>
      <c r="D964" s="8"/>
      <c r="E964" s="8"/>
      <c r="F964" s="8"/>
      <c r="G964" s="334"/>
      <c r="H964" s="1"/>
      <c r="I964" s="212"/>
      <c r="J964" s="212"/>
      <c r="K964" s="335"/>
      <c r="L964" s="335"/>
      <c r="M964" s="335"/>
      <c r="N964" s="335"/>
      <c r="O964" s="335"/>
      <c r="P964" s="335"/>
      <c r="Q964" s="1"/>
      <c r="R964" s="1"/>
      <c r="S964" s="1"/>
      <c r="T964" s="1"/>
      <c r="U964" s="1"/>
      <c r="Y964" s="1"/>
    </row>
    <row r="965" ht="12.75" customHeight="1">
      <c r="A965" s="8"/>
      <c r="B965" s="8"/>
      <c r="C965" s="8"/>
      <c r="D965" s="8"/>
      <c r="E965" s="8"/>
      <c r="F965" s="8"/>
      <c r="G965" s="334"/>
      <c r="H965" s="1"/>
      <c r="I965" s="212"/>
      <c r="J965" s="212"/>
      <c r="K965" s="335"/>
      <c r="L965" s="335"/>
      <c r="M965" s="335"/>
      <c r="N965" s="335"/>
      <c r="O965" s="335"/>
      <c r="P965" s="335"/>
      <c r="Q965" s="1"/>
      <c r="R965" s="1"/>
      <c r="S965" s="1"/>
      <c r="T965" s="1"/>
      <c r="U965" s="1"/>
      <c r="Y965" s="1"/>
    </row>
    <row r="966" ht="12.75" customHeight="1">
      <c r="A966" s="8"/>
      <c r="B966" s="8"/>
      <c r="C966" s="8"/>
      <c r="D966" s="8"/>
      <c r="E966" s="8"/>
      <c r="F966" s="8"/>
      <c r="G966" s="334"/>
      <c r="H966" s="1"/>
      <c r="I966" s="212"/>
      <c r="J966" s="212"/>
      <c r="K966" s="335"/>
      <c r="L966" s="335"/>
      <c r="M966" s="335"/>
      <c r="N966" s="335"/>
      <c r="O966" s="335"/>
      <c r="P966" s="335"/>
      <c r="Q966" s="1"/>
      <c r="R966" s="1"/>
      <c r="S966" s="1"/>
      <c r="T966" s="1"/>
      <c r="U966" s="1"/>
      <c r="Y966" s="1"/>
    </row>
    <row r="967" ht="12.75" customHeight="1">
      <c r="A967" s="8"/>
      <c r="B967" s="8"/>
      <c r="C967" s="8"/>
      <c r="D967" s="8"/>
      <c r="E967" s="8"/>
      <c r="F967" s="8"/>
      <c r="G967" s="334"/>
      <c r="H967" s="1"/>
      <c r="I967" s="212"/>
      <c r="J967" s="212"/>
      <c r="K967" s="335"/>
      <c r="L967" s="335"/>
      <c r="M967" s="335"/>
      <c r="N967" s="335"/>
      <c r="O967" s="335"/>
      <c r="P967" s="335"/>
      <c r="Q967" s="1"/>
      <c r="R967" s="1"/>
      <c r="S967" s="1"/>
      <c r="T967" s="1"/>
      <c r="U967" s="1"/>
      <c r="Y967" s="1"/>
    </row>
    <row r="968" ht="12.75" customHeight="1">
      <c r="A968" s="8"/>
      <c r="B968" s="8"/>
      <c r="C968" s="8"/>
      <c r="D968" s="8"/>
      <c r="E968" s="8"/>
      <c r="F968" s="8"/>
      <c r="G968" s="334"/>
      <c r="H968" s="1"/>
      <c r="I968" s="212"/>
      <c r="J968" s="212"/>
      <c r="K968" s="335"/>
      <c r="L968" s="335"/>
      <c r="M968" s="335"/>
      <c r="N968" s="335"/>
      <c r="O968" s="335"/>
      <c r="P968" s="335"/>
      <c r="Q968" s="1"/>
      <c r="R968" s="1"/>
      <c r="S968" s="1"/>
      <c r="T968" s="1"/>
      <c r="U968" s="1"/>
      <c r="Y968" s="1"/>
    </row>
    <row r="969" ht="12.75" customHeight="1">
      <c r="A969" s="8"/>
      <c r="B969" s="8"/>
      <c r="C969" s="8"/>
      <c r="D969" s="8"/>
      <c r="E969" s="8"/>
      <c r="F969" s="8"/>
      <c r="G969" s="334"/>
      <c r="H969" s="1"/>
      <c r="I969" s="212"/>
      <c r="J969" s="212"/>
      <c r="K969" s="335"/>
      <c r="L969" s="335"/>
      <c r="M969" s="335"/>
      <c r="N969" s="335"/>
      <c r="O969" s="335"/>
      <c r="P969" s="335"/>
      <c r="Q969" s="1"/>
      <c r="R969" s="1"/>
      <c r="S969" s="1"/>
      <c r="T969" s="1"/>
      <c r="U969" s="1"/>
      <c r="Y969" s="1"/>
    </row>
    <row r="970" ht="12.75" customHeight="1">
      <c r="A970" s="8"/>
      <c r="B970" s="8"/>
      <c r="C970" s="8"/>
      <c r="D970" s="8"/>
      <c r="E970" s="8"/>
      <c r="F970" s="8"/>
      <c r="G970" s="334"/>
      <c r="H970" s="1"/>
      <c r="I970" s="212"/>
      <c r="J970" s="212"/>
      <c r="K970" s="335"/>
      <c r="L970" s="335"/>
      <c r="M970" s="335"/>
      <c r="N970" s="335"/>
      <c r="O970" s="335"/>
      <c r="P970" s="335"/>
      <c r="Q970" s="1"/>
      <c r="R970" s="1"/>
      <c r="S970" s="1"/>
      <c r="T970" s="1"/>
      <c r="U970" s="1"/>
      <c r="Y970" s="1"/>
    </row>
    <row r="971" ht="12.75" customHeight="1">
      <c r="A971" s="8"/>
      <c r="B971" s="8"/>
      <c r="C971" s="8"/>
      <c r="D971" s="8"/>
      <c r="E971" s="8"/>
      <c r="F971" s="8"/>
      <c r="G971" s="334"/>
      <c r="H971" s="1"/>
      <c r="I971" s="212"/>
      <c r="J971" s="212"/>
      <c r="K971" s="335"/>
      <c r="L971" s="335"/>
      <c r="M971" s="335"/>
      <c r="N971" s="335"/>
      <c r="O971" s="335"/>
      <c r="P971" s="335"/>
      <c r="Q971" s="1"/>
      <c r="R971" s="1"/>
      <c r="S971" s="1"/>
      <c r="T971" s="1"/>
      <c r="U971" s="1"/>
      <c r="Y971" s="1"/>
    </row>
    <row r="972" ht="12.75" customHeight="1">
      <c r="A972" s="8"/>
      <c r="B972" s="8"/>
      <c r="C972" s="8"/>
      <c r="D972" s="8"/>
      <c r="E972" s="8"/>
      <c r="F972" s="8"/>
      <c r="G972" s="334"/>
      <c r="H972" s="1"/>
      <c r="I972" s="212"/>
      <c r="J972" s="212"/>
      <c r="K972" s="335"/>
      <c r="L972" s="335"/>
      <c r="M972" s="335"/>
      <c r="N972" s="335"/>
      <c r="O972" s="335"/>
      <c r="P972" s="335"/>
      <c r="Q972" s="1"/>
      <c r="R972" s="1"/>
      <c r="S972" s="1"/>
      <c r="T972" s="1"/>
      <c r="U972" s="1"/>
      <c r="Y972" s="1"/>
    </row>
    <row r="973" ht="12.75" customHeight="1">
      <c r="A973" s="8"/>
      <c r="B973" s="8"/>
      <c r="C973" s="8"/>
      <c r="D973" s="8"/>
      <c r="E973" s="8"/>
      <c r="F973" s="8"/>
      <c r="G973" s="334"/>
      <c r="H973" s="1"/>
      <c r="I973" s="212"/>
      <c r="J973" s="212"/>
      <c r="K973" s="335"/>
      <c r="L973" s="335"/>
      <c r="M973" s="335"/>
      <c r="N973" s="335"/>
      <c r="O973" s="335"/>
      <c r="P973" s="335"/>
      <c r="Q973" s="1"/>
      <c r="R973" s="1"/>
      <c r="S973" s="1"/>
      <c r="T973" s="1"/>
      <c r="U973" s="1"/>
      <c r="Y973" s="1"/>
    </row>
    <row r="974" ht="12.75" customHeight="1">
      <c r="A974" s="8"/>
      <c r="B974" s="8"/>
      <c r="C974" s="8"/>
      <c r="D974" s="8"/>
      <c r="E974" s="8"/>
      <c r="F974" s="8"/>
      <c r="G974" s="334"/>
      <c r="H974" s="1"/>
      <c r="I974" s="212"/>
      <c r="J974" s="212"/>
      <c r="K974" s="335"/>
      <c r="L974" s="335"/>
      <c r="M974" s="335"/>
      <c r="N974" s="335"/>
      <c r="O974" s="335"/>
      <c r="P974" s="335"/>
      <c r="Q974" s="1"/>
      <c r="R974" s="1"/>
      <c r="S974" s="1"/>
      <c r="T974" s="1"/>
      <c r="U974" s="1"/>
      <c r="Y974" s="1"/>
    </row>
    <row r="975" ht="12.75" customHeight="1">
      <c r="A975" s="8"/>
      <c r="B975" s="8"/>
      <c r="C975" s="8"/>
      <c r="D975" s="8"/>
      <c r="E975" s="8"/>
      <c r="F975" s="8"/>
      <c r="G975" s="334"/>
      <c r="H975" s="1"/>
      <c r="I975" s="212"/>
      <c r="J975" s="212"/>
      <c r="K975" s="335"/>
      <c r="L975" s="335"/>
      <c r="M975" s="335"/>
      <c r="N975" s="335"/>
      <c r="O975" s="335"/>
      <c r="P975" s="335"/>
      <c r="Q975" s="1"/>
      <c r="R975" s="1"/>
      <c r="S975" s="1"/>
      <c r="T975" s="1"/>
      <c r="U975" s="1"/>
      <c r="Y975" s="1"/>
    </row>
    <row r="976" ht="12.75" customHeight="1">
      <c r="A976" s="8"/>
      <c r="B976" s="8"/>
      <c r="C976" s="8"/>
      <c r="D976" s="8"/>
      <c r="E976" s="8"/>
      <c r="F976" s="8"/>
      <c r="G976" s="334"/>
      <c r="H976" s="1"/>
      <c r="I976" s="212"/>
      <c r="J976" s="212"/>
      <c r="K976" s="335"/>
      <c r="L976" s="335"/>
      <c r="M976" s="335"/>
      <c r="N976" s="335"/>
      <c r="O976" s="335"/>
      <c r="P976" s="335"/>
      <c r="Q976" s="1"/>
      <c r="R976" s="1"/>
      <c r="S976" s="1"/>
      <c r="T976" s="1"/>
      <c r="U976" s="1"/>
      <c r="Y976" s="1"/>
    </row>
    <row r="977" ht="12.75" customHeight="1">
      <c r="A977" s="8"/>
      <c r="B977" s="8"/>
      <c r="C977" s="8"/>
      <c r="D977" s="8"/>
      <c r="E977" s="8"/>
      <c r="F977" s="8"/>
      <c r="G977" s="334"/>
      <c r="H977" s="1"/>
      <c r="I977" s="212"/>
      <c r="J977" s="212"/>
      <c r="K977" s="335"/>
      <c r="L977" s="335"/>
      <c r="M977" s="335"/>
      <c r="N977" s="335"/>
      <c r="O977" s="335"/>
      <c r="P977" s="335"/>
      <c r="Q977" s="1"/>
      <c r="R977" s="1"/>
      <c r="S977" s="1"/>
      <c r="T977" s="1"/>
      <c r="U977" s="1"/>
      <c r="Y977" s="1"/>
    </row>
    <row r="978" ht="12.75" customHeight="1">
      <c r="A978" s="8"/>
      <c r="B978" s="8"/>
      <c r="C978" s="8"/>
      <c r="D978" s="8"/>
      <c r="E978" s="8"/>
      <c r="F978" s="8"/>
      <c r="G978" s="334"/>
      <c r="H978" s="1"/>
      <c r="I978" s="212"/>
      <c r="J978" s="212"/>
      <c r="K978" s="335"/>
      <c r="L978" s="335"/>
      <c r="M978" s="335"/>
      <c r="N978" s="335"/>
      <c r="O978" s="335"/>
      <c r="P978" s="335"/>
      <c r="Q978" s="1"/>
      <c r="R978" s="1"/>
      <c r="S978" s="1"/>
      <c r="T978" s="1"/>
      <c r="U978" s="1"/>
      <c r="Y978" s="1"/>
    </row>
    <row r="979" ht="12.75" customHeight="1">
      <c r="A979" s="8"/>
      <c r="B979" s="8"/>
      <c r="C979" s="8"/>
      <c r="D979" s="8"/>
      <c r="E979" s="8"/>
      <c r="F979" s="8"/>
      <c r="G979" s="334"/>
      <c r="H979" s="1"/>
      <c r="I979" s="212"/>
      <c r="J979" s="212"/>
      <c r="K979" s="335"/>
      <c r="L979" s="335"/>
      <c r="M979" s="335"/>
      <c r="N979" s="335"/>
      <c r="O979" s="335"/>
      <c r="P979" s="335"/>
      <c r="Q979" s="1"/>
      <c r="R979" s="1"/>
      <c r="S979" s="1"/>
      <c r="T979" s="1"/>
      <c r="U979" s="1"/>
      <c r="Y979" s="1"/>
    </row>
    <row r="980" ht="12.75" customHeight="1">
      <c r="A980" s="8"/>
      <c r="B980" s="8"/>
      <c r="C980" s="8"/>
      <c r="D980" s="8"/>
      <c r="E980" s="8"/>
      <c r="F980" s="8"/>
      <c r="G980" s="334"/>
      <c r="H980" s="1"/>
      <c r="I980" s="212"/>
      <c r="J980" s="212"/>
      <c r="K980" s="335"/>
      <c r="L980" s="335"/>
      <c r="M980" s="335"/>
      <c r="N980" s="335"/>
      <c r="O980" s="335"/>
      <c r="P980" s="335"/>
      <c r="Q980" s="1"/>
      <c r="R980" s="1"/>
      <c r="S980" s="1"/>
      <c r="T980" s="1"/>
      <c r="U980" s="1"/>
      <c r="Y980" s="1"/>
    </row>
    <row r="981" ht="12.75" customHeight="1">
      <c r="A981" s="8"/>
      <c r="B981" s="8"/>
      <c r="C981" s="8"/>
      <c r="D981" s="8"/>
      <c r="E981" s="8"/>
      <c r="F981" s="8"/>
      <c r="G981" s="334"/>
      <c r="H981" s="1"/>
      <c r="I981" s="212"/>
      <c r="J981" s="212"/>
      <c r="K981" s="335"/>
      <c r="L981" s="335"/>
      <c r="M981" s="335"/>
      <c r="N981" s="335"/>
      <c r="O981" s="335"/>
      <c r="P981" s="335"/>
      <c r="Q981" s="1"/>
      <c r="R981" s="1"/>
      <c r="S981" s="1"/>
      <c r="T981" s="1"/>
      <c r="U981" s="1"/>
      <c r="Y981" s="1"/>
    </row>
    <row r="982" ht="12.75" customHeight="1">
      <c r="A982" s="8"/>
      <c r="B982" s="8"/>
      <c r="C982" s="8"/>
      <c r="D982" s="8"/>
      <c r="E982" s="8"/>
      <c r="F982" s="8"/>
      <c r="G982" s="334"/>
      <c r="H982" s="1"/>
      <c r="I982" s="212"/>
      <c r="J982" s="212"/>
      <c r="K982" s="335"/>
      <c r="L982" s="335"/>
      <c r="M982" s="335"/>
      <c r="N982" s="335"/>
      <c r="O982" s="335"/>
      <c r="P982" s="335"/>
      <c r="Q982" s="1"/>
      <c r="R982" s="1"/>
      <c r="S982" s="1"/>
      <c r="T982" s="1"/>
      <c r="U982" s="1"/>
      <c r="Y982" s="1"/>
    </row>
    <row r="983" ht="12.75" customHeight="1">
      <c r="A983" s="8"/>
      <c r="B983" s="8"/>
      <c r="C983" s="8"/>
      <c r="D983" s="8"/>
      <c r="E983" s="8"/>
      <c r="F983" s="8"/>
      <c r="G983" s="334"/>
      <c r="H983" s="1"/>
      <c r="I983" s="212"/>
      <c r="J983" s="212"/>
      <c r="K983" s="335"/>
      <c r="L983" s="335"/>
      <c r="M983" s="335"/>
      <c r="N983" s="335"/>
      <c r="O983" s="335"/>
      <c r="P983" s="335"/>
      <c r="Q983" s="1"/>
      <c r="R983" s="1"/>
      <c r="S983" s="1"/>
      <c r="T983" s="1"/>
      <c r="U983" s="1"/>
      <c r="Y983" s="1"/>
    </row>
    <row r="984" ht="12.75" customHeight="1">
      <c r="A984" s="8"/>
      <c r="B984" s="8"/>
      <c r="C984" s="8"/>
      <c r="D984" s="8"/>
      <c r="E984" s="8"/>
      <c r="F984" s="8"/>
      <c r="G984" s="334"/>
      <c r="H984" s="1"/>
      <c r="I984" s="212"/>
      <c r="J984" s="212"/>
      <c r="K984" s="335"/>
      <c r="L984" s="335"/>
      <c r="M984" s="335"/>
      <c r="N984" s="335"/>
      <c r="O984" s="335"/>
      <c r="P984" s="335"/>
      <c r="Q984" s="1"/>
      <c r="R984" s="1"/>
      <c r="S984" s="1"/>
      <c r="T984" s="1"/>
      <c r="U984" s="1"/>
      <c r="Y984" s="1"/>
    </row>
    <row r="985" ht="12.75" customHeight="1">
      <c r="A985" s="8"/>
      <c r="B985" s="8"/>
      <c r="C985" s="8"/>
      <c r="D985" s="8"/>
      <c r="E985" s="8"/>
      <c r="F985" s="8"/>
      <c r="G985" s="334"/>
      <c r="H985" s="1"/>
      <c r="I985" s="212"/>
      <c r="J985" s="212"/>
      <c r="K985" s="335"/>
      <c r="L985" s="335"/>
      <c r="M985" s="335"/>
      <c r="N985" s="335"/>
      <c r="O985" s="335"/>
      <c r="P985" s="335"/>
      <c r="Q985" s="1"/>
      <c r="R985" s="1"/>
      <c r="S985" s="1"/>
      <c r="T985" s="1"/>
      <c r="U985" s="1"/>
      <c r="Y985" s="1"/>
    </row>
    <row r="986" ht="12.75" customHeight="1">
      <c r="A986" s="8"/>
      <c r="B986" s="8"/>
      <c r="C986" s="8"/>
      <c r="D986" s="8"/>
      <c r="E986" s="8"/>
      <c r="F986" s="8"/>
      <c r="G986" s="334"/>
      <c r="H986" s="1"/>
      <c r="I986" s="212"/>
      <c r="J986" s="212"/>
      <c r="K986" s="335"/>
      <c r="L986" s="335"/>
      <c r="M986" s="335"/>
      <c r="N986" s="335"/>
      <c r="O986" s="335"/>
      <c r="P986" s="335"/>
      <c r="Q986" s="1"/>
      <c r="R986" s="1"/>
      <c r="S986" s="1"/>
      <c r="T986" s="1"/>
      <c r="U986" s="1"/>
      <c r="Y986" s="1"/>
    </row>
    <row r="987" ht="12.75" customHeight="1">
      <c r="A987" s="8"/>
      <c r="B987" s="8"/>
      <c r="C987" s="8"/>
      <c r="D987" s="8"/>
      <c r="E987" s="8"/>
      <c r="F987" s="8"/>
      <c r="G987" s="334"/>
      <c r="H987" s="1"/>
      <c r="I987" s="212"/>
      <c r="J987" s="212"/>
      <c r="K987" s="335"/>
      <c r="L987" s="335"/>
      <c r="M987" s="335"/>
      <c r="N987" s="335"/>
      <c r="O987" s="335"/>
      <c r="P987" s="335"/>
      <c r="Q987" s="1"/>
      <c r="R987" s="1"/>
      <c r="S987" s="1"/>
      <c r="T987" s="1"/>
      <c r="U987" s="1"/>
      <c r="Y987" s="1"/>
    </row>
    <row r="988" ht="12.75" customHeight="1">
      <c r="A988" s="8"/>
      <c r="B988" s="8"/>
      <c r="C988" s="8"/>
      <c r="D988" s="8"/>
      <c r="E988" s="8"/>
      <c r="F988" s="8"/>
      <c r="G988" s="334"/>
      <c r="H988" s="1"/>
      <c r="I988" s="212"/>
      <c r="J988" s="212"/>
      <c r="K988" s="335"/>
      <c r="L988" s="335"/>
      <c r="M988" s="335"/>
      <c r="N988" s="335"/>
      <c r="O988" s="335"/>
      <c r="P988" s="335"/>
      <c r="Q988" s="1"/>
      <c r="R988" s="1"/>
      <c r="S988" s="1"/>
      <c r="T988" s="1"/>
      <c r="U988" s="1"/>
      <c r="Y988" s="1"/>
    </row>
    <row r="989" ht="12.75" customHeight="1">
      <c r="A989" s="8"/>
      <c r="B989" s="8"/>
      <c r="C989" s="8"/>
      <c r="D989" s="8"/>
      <c r="E989" s="8"/>
      <c r="F989" s="8"/>
      <c r="G989" s="334"/>
      <c r="H989" s="1"/>
      <c r="I989" s="212"/>
      <c r="J989" s="212"/>
      <c r="K989" s="335"/>
      <c r="L989" s="335"/>
      <c r="M989" s="335"/>
      <c r="N989" s="335"/>
      <c r="O989" s="335"/>
      <c r="P989" s="335"/>
      <c r="Q989" s="1"/>
      <c r="R989" s="1"/>
      <c r="S989" s="1"/>
      <c r="T989" s="1"/>
      <c r="U989" s="1"/>
      <c r="Y989" s="1"/>
    </row>
    <row r="990" ht="12.75" customHeight="1">
      <c r="A990" s="8"/>
      <c r="B990" s="8"/>
      <c r="C990" s="8"/>
      <c r="D990" s="8"/>
      <c r="E990" s="8"/>
      <c r="F990" s="8"/>
      <c r="G990" s="334"/>
      <c r="H990" s="1"/>
      <c r="I990" s="212"/>
      <c r="J990" s="212"/>
      <c r="K990" s="335"/>
      <c r="L990" s="335"/>
      <c r="M990" s="335"/>
      <c r="N990" s="335"/>
      <c r="O990" s="335"/>
      <c r="P990" s="335"/>
      <c r="Q990" s="1"/>
      <c r="R990" s="1"/>
      <c r="S990" s="1"/>
      <c r="T990" s="1"/>
      <c r="U990" s="1"/>
      <c r="Y990" s="1"/>
    </row>
    <row r="991" ht="12.75" customHeight="1">
      <c r="A991" s="8"/>
      <c r="B991" s="8"/>
      <c r="C991" s="8"/>
      <c r="D991" s="8"/>
      <c r="E991" s="8"/>
      <c r="F991" s="8"/>
      <c r="G991" s="334"/>
      <c r="H991" s="1"/>
      <c r="I991" s="212"/>
      <c r="J991" s="212"/>
      <c r="K991" s="335"/>
      <c r="L991" s="335"/>
      <c r="M991" s="335"/>
      <c r="N991" s="335"/>
      <c r="O991" s="335"/>
      <c r="P991" s="335"/>
      <c r="Q991" s="1"/>
      <c r="R991" s="1"/>
      <c r="S991" s="1"/>
      <c r="T991" s="1"/>
      <c r="U991" s="1"/>
      <c r="Y991" s="1"/>
    </row>
    <row r="992" ht="12.75" customHeight="1">
      <c r="A992" s="8"/>
      <c r="B992" s="8"/>
      <c r="C992" s="8"/>
      <c r="D992" s="8"/>
      <c r="E992" s="8"/>
      <c r="F992" s="8"/>
      <c r="G992" s="334"/>
      <c r="H992" s="1"/>
      <c r="I992" s="212"/>
      <c r="J992" s="212"/>
      <c r="K992" s="335"/>
      <c r="L992" s="335"/>
      <c r="M992" s="335"/>
      <c r="N992" s="335"/>
      <c r="O992" s="335"/>
      <c r="P992" s="335"/>
      <c r="Q992" s="1"/>
      <c r="R992" s="1"/>
      <c r="S992" s="1"/>
      <c r="T992" s="1"/>
      <c r="U992" s="1"/>
      <c r="Y992" s="1"/>
    </row>
    <row r="993" ht="12.75" customHeight="1">
      <c r="A993" s="8"/>
      <c r="B993" s="8"/>
      <c r="C993" s="8"/>
      <c r="D993" s="8"/>
      <c r="E993" s="8"/>
      <c r="F993" s="8"/>
      <c r="G993" s="334"/>
      <c r="H993" s="1"/>
      <c r="I993" s="212"/>
      <c r="J993" s="212"/>
      <c r="K993" s="335"/>
      <c r="L993" s="335"/>
      <c r="M993" s="335"/>
      <c r="N993" s="335"/>
      <c r="O993" s="335"/>
      <c r="P993" s="335"/>
      <c r="Q993" s="1"/>
      <c r="R993" s="1"/>
      <c r="S993" s="1"/>
      <c r="T993" s="1"/>
      <c r="U993" s="1"/>
      <c r="Y993" s="1"/>
    </row>
    <row r="994" ht="12.75" customHeight="1">
      <c r="A994" s="8"/>
      <c r="B994" s="8"/>
      <c r="C994" s="8"/>
      <c r="D994" s="8"/>
      <c r="E994" s="8"/>
      <c r="F994" s="8"/>
      <c r="G994" s="334"/>
      <c r="H994" s="1"/>
      <c r="I994" s="212"/>
      <c r="J994" s="212"/>
      <c r="K994" s="335"/>
      <c r="L994" s="335"/>
      <c r="M994" s="335"/>
      <c r="N994" s="335"/>
      <c r="O994" s="335"/>
      <c r="P994" s="335"/>
      <c r="Q994" s="1"/>
      <c r="R994" s="1"/>
      <c r="S994" s="1"/>
      <c r="T994" s="1"/>
      <c r="U994" s="1"/>
      <c r="Y994" s="1"/>
    </row>
    <row r="995" ht="12.75" customHeight="1">
      <c r="A995" s="8"/>
      <c r="B995" s="8"/>
      <c r="C995" s="8"/>
      <c r="D995" s="8"/>
      <c r="E995" s="8"/>
      <c r="F995" s="8"/>
      <c r="G995" s="334"/>
      <c r="H995" s="1"/>
      <c r="I995" s="212"/>
      <c r="J995" s="212"/>
      <c r="K995" s="335"/>
      <c r="L995" s="335"/>
      <c r="M995" s="335"/>
      <c r="N995" s="335"/>
      <c r="O995" s="335"/>
      <c r="P995" s="335"/>
      <c r="Q995" s="1"/>
      <c r="R995" s="1"/>
      <c r="S995" s="1"/>
      <c r="T995" s="1"/>
      <c r="U995" s="1"/>
      <c r="Y995" s="1"/>
    </row>
    <row r="996" ht="12.75" customHeight="1">
      <c r="A996" s="8"/>
      <c r="B996" s="8"/>
      <c r="C996" s="8"/>
      <c r="D996" s="8"/>
      <c r="E996" s="8"/>
      <c r="F996" s="8"/>
      <c r="G996" s="334"/>
      <c r="H996" s="1"/>
      <c r="I996" s="212"/>
      <c r="J996" s="212"/>
      <c r="K996" s="335"/>
      <c r="L996" s="335"/>
      <c r="M996" s="335"/>
      <c r="N996" s="335"/>
      <c r="O996" s="335"/>
      <c r="P996" s="335"/>
      <c r="Q996" s="1"/>
      <c r="R996" s="1"/>
      <c r="S996" s="1"/>
      <c r="T996" s="1"/>
      <c r="U996" s="1"/>
      <c r="Y996" s="1"/>
    </row>
    <row r="997" ht="12.75" customHeight="1">
      <c r="A997" s="8"/>
      <c r="B997" s="8"/>
      <c r="C997" s="8"/>
      <c r="D997" s="8"/>
      <c r="E997" s="8"/>
      <c r="F997" s="8"/>
      <c r="G997" s="334"/>
      <c r="H997" s="1"/>
      <c r="I997" s="212"/>
      <c r="J997" s="212"/>
      <c r="K997" s="335"/>
      <c r="L997" s="335"/>
      <c r="M997" s="335"/>
      <c r="N997" s="335"/>
      <c r="O997" s="335"/>
      <c r="P997" s="335"/>
      <c r="Q997" s="1"/>
      <c r="R997" s="1"/>
      <c r="S997" s="1"/>
      <c r="T997" s="1"/>
      <c r="U997" s="1"/>
      <c r="Y997" s="1"/>
    </row>
    <row r="998" ht="12.75" customHeight="1">
      <c r="A998" s="8"/>
      <c r="B998" s="8"/>
      <c r="C998" s="8"/>
      <c r="D998" s="8"/>
      <c r="E998" s="8"/>
      <c r="F998" s="8"/>
      <c r="G998" s="334"/>
      <c r="H998" s="1"/>
      <c r="I998" s="212"/>
      <c r="J998" s="212"/>
      <c r="K998" s="335"/>
      <c r="L998" s="335"/>
      <c r="M998" s="335"/>
      <c r="N998" s="335"/>
      <c r="O998" s="335"/>
      <c r="P998" s="335"/>
      <c r="Q998" s="1"/>
      <c r="R998" s="1"/>
      <c r="S998" s="1"/>
      <c r="T998" s="1"/>
      <c r="U998" s="1"/>
      <c r="Y998" s="1"/>
    </row>
    <row r="999" ht="12.75" customHeight="1">
      <c r="A999" s="8"/>
      <c r="B999" s="8"/>
      <c r="C999" s="8"/>
      <c r="D999" s="8"/>
      <c r="E999" s="8"/>
      <c r="F999" s="8"/>
      <c r="G999" s="334"/>
      <c r="H999" s="1"/>
      <c r="I999" s="212"/>
      <c r="J999" s="212"/>
      <c r="K999" s="335"/>
      <c r="L999" s="335"/>
      <c r="M999" s="335"/>
      <c r="N999" s="335"/>
      <c r="O999" s="335"/>
      <c r="P999" s="335"/>
      <c r="Q999" s="1"/>
      <c r="R999" s="1"/>
      <c r="S999" s="1"/>
      <c r="T999" s="1"/>
      <c r="U999" s="1"/>
      <c r="Y999" s="1"/>
    </row>
    <row r="1000" ht="12.75" customHeight="1">
      <c r="A1000" s="8"/>
      <c r="B1000" s="8"/>
      <c r="C1000" s="8"/>
      <c r="D1000" s="8"/>
      <c r="E1000" s="8"/>
      <c r="F1000" s="8"/>
      <c r="G1000" s="334"/>
      <c r="H1000" s="1"/>
      <c r="I1000" s="212"/>
      <c r="J1000" s="212"/>
      <c r="K1000" s="335"/>
      <c r="L1000" s="335"/>
      <c r="M1000" s="335"/>
      <c r="N1000" s="335"/>
      <c r="O1000" s="335"/>
      <c r="P1000" s="335"/>
      <c r="Q1000" s="1"/>
      <c r="R1000" s="1"/>
      <c r="S1000" s="1"/>
      <c r="T1000" s="1"/>
      <c r="U1000" s="1"/>
      <c r="Y1000" s="1"/>
    </row>
  </sheetData>
  <mergeCells count="2">
    <mergeCell ref="A1:G1"/>
    <mergeCell ref="A39:F39"/>
  </mergeCells>
  <dataValidations>
    <dataValidation type="list" allowBlank="1" sqref="G30">
      <formula1>'quoter(sheetfed)'!$A$84:$A$85</formula1>
    </dataValidation>
    <dataValidation type="list" allowBlank="1" showErrorMessage="1" sqref="G18 G22">
      <formula1>'quoter(sheetfed)'!$P$8:$P$187</formula1>
    </dataValidation>
    <dataValidation type="list" allowBlank="1" sqref="G12">
      <formula1>'quoter(sheetfed)'!$C$92:$C$104</formula1>
    </dataValidation>
    <dataValidation type="list" allowBlank="1" sqref="G5">
      <formula1>'quoter(sheetfed)'!$A$80:$A$82</formula1>
    </dataValidation>
    <dataValidation type="list" allowBlank="1" showErrorMessage="1" sqref="G20">
      <formula1>'quoter(sheetfed)'!$AI$8:$AI$132</formula1>
    </dataValidation>
    <dataValidation type="list" allowBlank="1" sqref="G23">
      <formula1>'quoter(sheetfed)'!$A$110:$A$111</formula1>
    </dataValidation>
    <dataValidation type="list" allowBlank="1" sqref="G11 G37:G38 G40">
      <formula1>'quoter(sheetfed)'!$A$81:$A$82</formula1>
    </dataValidation>
    <dataValidation type="list" allowBlank="1" sqref="G25">
      <formula1>'quoter(sheetfed)'!$E$92:$E$99</formula1>
    </dataValidation>
    <dataValidation type="list" allowBlank="1" sqref="G8">
      <formula1>'quoter(sheetfed)'!$A$72:$A$77</formula1>
    </dataValidation>
    <dataValidation type="list" allowBlank="1" sqref="G13">
      <formula1>'quoter(sheetfed)'!$C$134:$C$138</formula1>
    </dataValidation>
  </dataValidation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11.5"/>
    <col customWidth="1" min="2" max="2" width="19.88"/>
    <col customWidth="1" min="3" max="3" width="8.13"/>
    <col customWidth="1" min="4" max="4" width="14.5"/>
    <col customWidth="1" min="5" max="5" width="5.38"/>
    <col customWidth="1" hidden="1" min="6" max="6" width="2.63"/>
    <col customWidth="1" min="7" max="7" width="7.0"/>
    <col customWidth="1" min="8" max="10" width="17.63"/>
    <col customWidth="1" min="11" max="11" width="5.75"/>
    <col customWidth="1" min="12" max="12" width="8.25"/>
    <col customWidth="1" hidden="1" min="13" max="13" width="4.38"/>
    <col customWidth="1" min="14" max="14" width="1.13"/>
    <col customWidth="1" hidden="1" min="15" max="15" width="4.88"/>
    <col customWidth="1" hidden="1" min="16" max="16" width="4.0"/>
    <col customWidth="1" hidden="1" min="17" max="17" width="6.0"/>
    <col customWidth="1" min="18" max="18" width="7.63"/>
    <col customWidth="1" min="19" max="19" width="9.5"/>
    <col customWidth="1" min="20" max="20" width="10.5"/>
    <col customWidth="1" min="21" max="21" width="11.25"/>
    <col customWidth="1" min="22" max="26" width="7.63"/>
    <col customWidth="1" min="27" max="27" width="7.0"/>
    <col customWidth="1" min="28" max="28" width="6.75"/>
    <col customWidth="1" min="29" max="29" width="8.75"/>
    <col customWidth="1" min="30" max="30" width="1.75"/>
    <col customWidth="1" min="31" max="31" width="6.13"/>
    <col customWidth="1" min="32" max="32" width="4.63"/>
    <col customWidth="1" min="33" max="33" width="7.75"/>
    <col customWidth="1" min="34" max="34" width="9.5"/>
    <col customWidth="1" min="35" max="35" width="5.25"/>
    <col customWidth="1" min="36" max="36" width="12.75"/>
    <col customWidth="1" min="37" max="37" width="6.0"/>
    <col customWidth="1" min="38" max="38" width="5.5"/>
    <col customWidth="1" min="39" max="39" width="6.88"/>
    <col customWidth="1" min="40" max="40" width="8.13"/>
    <col customWidth="1" min="41" max="45" width="6.75"/>
    <col customWidth="1" min="46" max="46" width="7.63"/>
    <col customWidth="1" min="47" max="47" width="6.13"/>
    <col customWidth="1" min="48" max="48" width="7.5"/>
    <col customWidth="1" min="49" max="49" width="7.0"/>
    <col customWidth="1" min="50" max="50" width="6.13"/>
    <col customWidth="1" min="51" max="51" width="13.75"/>
    <col customWidth="1" min="52" max="53" width="1.75"/>
    <col customWidth="1" min="54" max="54" width="3.13"/>
    <col customWidth="1" min="55" max="55" width="3.38"/>
    <col customWidth="1" min="56" max="56" width="3.75"/>
    <col customWidth="1" min="57" max="57" width="1.75"/>
    <col customWidth="1" min="58" max="58" width="5.0"/>
    <col customWidth="1" min="59" max="59" width="1.75"/>
    <col customWidth="1" min="60" max="60" width="10.38"/>
    <col customWidth="1" min="61" max="61" width="9.25"/>
    <col customWidth="1" min="62" max="62" width="0.75"/>
    <col customWidth="1" min="63" max="63" width="23.13"/>
    <col customWidth="1" min="64" max="64" width="7.63"/>
    <col customWidth="1" min="65" max="66" width="7.5"/>
    <col customWidth="1" min="67" max="67" width="3.75"/>
    <col customWidth="1" min="68" max="69" width="7.5"/>
    <col customWidth="1" min="70" max="70" width="3.5"/>
    <col customWidth="1" min="71" max="71" width="2.38"/>
    <col customWidth="1" min="72" max="72" width="13.75"/>
    <col customWidth="1" min="73" max="73" width="2.38"/>
    <col customWidth="1" min="74" max="74" width="3.5"/>
    <col customWidth="1" min="75" max="75" width="2.38"/>
    <col customWidth="1" min="76" max="76" width="5.25"/>
    <col customWidth="1" min="77" max="77" width="5.0"/>
    <col customWidth="1" min="78" max="78" width="9.38"/>
    <col customWidth="1" min="79" max="79" width="5.5"/>
    <col customWidth="1" min="80" max="80" width="7.13"/>
    <col customWidth="1" min="81" max="81" width="11.25"/>
    <col customWidth="1" min="82" max="82" width="0.63"/>
    <col customWidth="1" min="83" max="83" width="20.88"/>
    <col customWidth="1" min="84" max="84" width="15.5"/>
    <col customWidth="1" min="85" max="85" width="7.0"/>
    <col customWidth="1" min="86" max="86" width="2.63"/>
    <col customWidth="1" min="87" max="88" width="1.63"/>
    <col customWidth="1" min="89" max="89" width="1.88"/>
    <col customWidth="1" min="90" max="91" width="6.5"/>
    <col customWidth="1" min="92" max="92" width="2.88"/>
    <col customWidth="1" min="93" max="93" width="5.88"/>
    <col customWidth="1" min="94" max="95" width="15.5"/>
    <col customWidth="1" min="96" max="96" width="2.5"/>
    <col customWidth="1" min="97" max="99" width="2.25"/>
    <col customWidth="1" min="100" max="100" width="7.0"/>
    <col customWidth="1" min="101" max="101" width="9.0"/>
    <col customWidth="1" min="102" max="102" width="10.63"/>
    <col customWidth="1" min="103" max="103" width="4.5"/>
    <col customWidth="1" min="104" max="104" width="6.25"/>
    <col customWidth="1" min="105" max="105" width="21.0"/>
    <col customWidth="1" min="106" max="106" width="7.0"/>
    <col customWidth="1" min="107" max="107" width="4.5"/>
    <col customWidth="1" min="108" max="108" width="5.5"/>
    <col customWidth="1" min="109" max="109" width="8.5"/>
    <col customWidth="1" min="110" max="110" width="11.88"/>
    <col customWidth="1" min="111" max="111" width="1.75"/>
    <col customWidth="1" min="112" max="112" width="3.38"/>
    <col customWidth="1" min="113" max="113" width="7.5"/>
    <col customWidth="1" min="114" max="114" width="3.5"/>
    <col customWidth="1" min="115" max="115" width="2.63"/>
    <col customWidth="1" min="116" max="117" width="1.75"/>
    <col customWidth="1" min="118" max="118" width="3.5"/>
    <col customWidth="1" min="119" max="119" width="10.25"/>
    <col customWidth="1" min="120" max="120" width="7.38"/>
    <col customWidth="1" min="121" max="121" width="1.75"/>
    <col customWidth="1" min="122" max="122" width="12.25"/>
    <col customWidth="1" min="123" max="150" width="7.63"/>
    <col customWidth="1" min="151" max="151" width="3.5"/>
    <col customWidth="1" min="152" max="152" width="3.75"/>
    <col customWidth="1" min="153" max="153" width="3.63"/>
    <col customWidth="1" min="154" max="154" width="4.63"/>
    <col customWidth="1" min="155" max="155" width="7.63"/>
    <col customWidth="1" min="156" max="156" width="5.38"/>
    <col customWidth="1" min="157" max="157" width="4.88"/>
    <col customWidth="1" min="158" max="158" width="7.63"/>
    <col customWidth="1" min="159" max="159" width="4.63"/>
    <col customWidth="1" min="160" max="160" width="4.88"/>
    <col customWidth="1" hidden="1" min="161" max="175" width="8.0"/>
    <col customWidth="1" hidden="1" min="176" max="176" width="3.88"/>
    <col customWidth="1" hidden="1" min="177" max="177" width="5.63"/>
    <col customWidth="1" min="178" max="188" width="8.0"/>
  </cols>
  <sheetData>
    <row r="1" ht="12.75" customHeight="1">
      <c r="A1" s="1">
        <v>4.0</v>
      </c>
      <c r="B1" s="1"/>
      <c r="C1" s="50">
        <f>(126+5)*D51</f>
        <v>131</v>
      </c>
      <c r="D1" s="338">
        <f>(19+5)*G51</f>
        <v>24</v>
      </c>
      <c r="E1" s="1"/>
      <c r="F1" s="1"/>
      <c r="G1" s="3">
        <f>D58</f>
        <v>20</v>
      </c>
      <c r="H1" s="4">
        <f t="shared" ref="H1:H16" si="3">IF(G1=A1,C1,0)</f>
        <v>0</v>
      </c>
      <c r="I1" s="4">
        <f t="shared" ref="I1:I16" si="4">IF(G1=A1,D1,0)</f>
        <v>0</v>
      </c>
      <c r="J1" s="4"/>
      <c r="K1" s="5"/>
      <c r="L1" s="3" t="str">
        <f>D60</f>
        <v/>
      </c>
      <c r="M1" s="4">
        <f t="shared" ref="M1:M16" si="5">IF(A1=L1,C1,0)</f>
        <v>0</v>
      </c>
      <c r="N1" s="4">
        <f t="shared" ref="N1:N16" si="6">IF(L1=A1,D1,0)</f>
        <v>0</v>
      </c>
      <c r="O1" s="4"/>
      <c r="P1" s="4"/>
      <c r="Q1" s="4"/>
      <c r="R1" s="4"/>
      <c r="S1" s="339"/>
      <c r="T1" s="3" t="str">
        <f>D62</f>
        <v/>
      </c>
      <c r="U1" s="340">
        <f t="shared" ref="U1:U16" si="7">IF(T1=A1,C1,0)</f>
        <v>0</v>
      </c>
      <c r="V1" s="4">
        <f t="shared" ref="V1:V16" si="8">IF(T1=A1,D1,0)</f>
        <v>0</v>
      </c>
      <c r="W1" s="4"/>
      <c r="X1" s="5"/>
      <c r="Y1" s="3" t="str">
        <f>D64</f>
        <v/>
      </c>
      <c r="Z1" s="4">
        <f t="shared" ref="Z1:Z16" si="9">IF(Y1=A1,C1,0)</f>
        <v>0</v>
      </c>
      <c r="AA1" s="4">
        <f t="shared" ref="AA1:AA16" si="10">IF(Y1=A1,D1,0)</f>
        <v>0</v>
      </c>
      <c r="AB1" s="4"/>
      <c r="AC1" s="5"/>
      <c r="AD1" s="1"/>
      <c r="AE1" s="1"/>
      <c r="AF1" s="1" t="str">
        <f t="shared" ref="AF1:AF16" si="11">$D$66</f>
        <v/>
      </c>
      <c r="AG1" s="1">
        <f t="shared" ref="AG1:AH1" si="1">IF($AF1=$A1,C1,0)</f>
        <v>0</v>
      </c>
      <c r="AH1" s="1">
        <f t="shared" si="1"/>
        <v>0</v>
      </c>
      <c r="AI1" s="1"/>
      <c r="AJ1" s="1"/>
      <c r="AK1" s="1"/>
      <c r="AL1" s="1" t="str">
        <f t="shared" ref="AL1:AL16" si="12">$D$68</f>
        <v/>
      </c>
      <c r="AM1" s="1">
        <f t="shared" ref="AM1:AN1" si="2">IF($AL1=$A1,C1,0)</f>
        <v>0</v>
      </c>
      <c r="AN1" s="1">
        <f t="shared" si="2"/>
        <v>0</v>
      </c>
      <c r="AO1" s="1"/>
      <c r="AP1" s="8"/>
      <c r="AQ1" s="1"/>
      <c r="AR1" s="87"/>
      <c r="AS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87"/>
      <c r="BK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87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8"/>
      <c r="CT1" s="1"/>
      <c r="CU1" s="1"/>
      <c r="CV1" s="1"/>
      <c r="CW1" s="1"/>
      <c r="CX1" s="1"/>
      <c r="CY1" s="1"/>
      <c r="CZ1" s="87"/>
      <c r="DA1" s="1"/>
      <c r="DB1" s="1"/>
      <c r="DC1" s="1"/>
      <c r="DD1" s="1"/>
      <c r="DE1" s="1"/>
      <c r="DF1" s="1"/>
      <c r="DG1" s="1"/>
      <c r="DH1" s="1"/>
      <c r="DI1" s="341"/>
      <c r="DJ1" s="1"/>
      <c r="DK1" s="1"/>
      <c r="DL1" s="1"/>
      <c r="DM1" s="1"/>
      <c r="DN1" s="1"/>
      <c r="DO1" s="1"/>
      <c r="DP1" s="1"/>
      <c r="DQ1" s="1"/>
      <c r="DR1" s="1"/>
      <c r="EU1" s="1"/>
      <c r="EV1" s="1"/>
      <c r="EW1" s="1"/>
      <c r="EX1" s="1"/>
      <c r="EZ1" s="1"/>
      <c r="FA1" s="1"/>
      <c r="FC1" s="1"/>
      <c r="FD1" s="87"/>
      <c r="FE1" s="1"/>
      <c r="FF1" s="142"/>
      <c r="FG1" s="342"/>
      <c r="FH1" s="1"/>
      <c r="FI1" s="342"/>
      <c r="FJ1" s="232"/>
      <c r="FK1" s="343"/>
      <c r="FL1" s="343"/>
      <c r="FM1" s="343"/>
      <c r="FN1" s="343"/>
      <c r="FO1" s="8"/>
      <c r="FP1" s="8"/>
      <c r="FQ1" s="8"/>
      <c r="FR1" s="343"/>
      <c r="FS1" s="343"/>
      <c r="FT1" s="8"/>
      <c r="FU1" s="87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</row>
    <row r="2" ht="12.75" customHeight="1">
      <c r="A2" s="1">
        <v>8.0</v>
      </c>
      <c r="B2" s="1"/>
      <c r="C2" s="50">
        <f>(153+5)*D51</f>
        <v>158</v>
      </c>
      <c r="D2" s="338">
        <f>(30+5)*G51</f>
        <v>35</v>
      </c>
      <c r="E2" s="1"/>
      <c r="F2" s="1"/>
      <c r="G2" s="7">
        <f>D58</f>
        <v>20</v>
      </c>
      <c r="H2" s="8">
        <f t="shared" si="3"/>
        <v>0</v>
      </c>
      <c r="I2" s="8">
        <f t="shared" si="4"/>
        <v>0</v>
      </c>
      <c r="J2" s="8"/>
      <c r="K2" s="9"/>
      <c r="L2" s="7" t="str">
        <f>D60</f>
        <v/>
      </c>
      <c r="M2" s="4">
        <f t="shared" si="5"/>
        <v>0</v>
      </c>
      <c r="N2" s="4">
        <f t="shared" si="6"/>
        <v>0</v>
      </c>
      <c r="O2" s="8"/>
      <c r="P2" s="8"/>
      <c r="Q2" s="8"/>
      <c r="R2" s="8"/>
      <c r="S2" s="344"/>
      <c r="T2" s="7" t="str">
        <f>D62</f>
        <v/>
      </c>
      <c r="U2" s="340">
        <f t="shared" si="7"/>
        <v>0</v>
      </c>
      <c r="V2" s="4">
        <f t="shared" si="8"/>
        <v>0</v>
      </c>
      <c r="W2" s="8"/>
      <c r="X2" s="9"/>
      <c r="Y2" s="7" t="str">
        <f>D64</f>
        <v/>
      </c>
      <c r="Z2" s="4">
        <f t="shared" si="9"/>
        <v>0</v>
      </c>
      <c r="AA2" s="4">
        <f t="shared" si="10"/>
        <v>0</v>
      </c>
      <c r="AB2" s="8"/>
      <c r="AC2" s="9"/>
      <c r="AD2" s="1"/>
      <c r="AE2" s="1"/>
      <c r="AF2" s="1" t="str">
        <f t="shared" si="11"/>
        <v/>
      </c>
      <c r="AG2" s="1">
        <f t="shared" ref="AG2:AG16" si="14">IF($AF2=A2,C2,0)</f>
        <v>0</v>
      </c>
      <c r="AH2" s="1">
        <f t="shared" ref="AH2:AH16" si="15">IF($AF2=$A2,D2,0)</f>
        <v>0</v>
      </c>
      <c r="AI2" s="1"/>
      <c r="AJ2" s="1"/>
      <c r="AK2" s="1"/>
      <c r="AL2" s="1" t="str">
        <f t="shared" si="12"/>
        <v/>
      </c>
      <c r="AM2" s="1">
        <f t="shared" ref="AM2:AN2" si="13">IF($AL2=$A2,C2,0)</f>
        <v>0</v>
      </c>
      <c r="AN2" s="1">
        <f t="shared" si="13"/>
        <v>0</v>
      </c>
      <c r="AO2" s="1"/>
      <c r="AP2" s="8"/>
      <c r="AQ2" s="1"/>
      <c r="AR2" s="87"/>
      <c r="AS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87"/>
      <c r="BK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87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8"/>
      <c r="CT2" s="1"/>
      <c r="CU2" s="1"/>
      <c r="CV2" s="1"/>
      <c r="CW2" s="1"/>
      <c r="CX2" s="1"/>
      <c r="CY2" s="1"/>
      <c r="CZ2" s="87"/>
      <c r="DA2" s="1"/>
      <c r="DB2" s="1"/>
      <c r="DC2" s="1"/>
      <c r="DD2" s="1"/>
      <c r="DE2" s="1"/>
      <c r="DF2" s="1"/>
      <c r="DG2" s="1"/>
      <c r="DH2" s="1"/>
      <c r="DI2" s="341"/>
      <c r="DJ2" s="1"/>
      <c r="DK2" s="1"/>
      <c r="DL2" s="1"/>
      <c r="DM2" s="1"/>
      <c r="DN2" s="1"/>
      <c r="DO2" s="1"/>
      <c r="DP2" s="1"/>
      <c r="DQ2" s="1"/>
      <c r="DR2" s="1"/>
      <c r="EU2" s="1"/>
      <c r="EV2" s="1"/>
      <c r="EW2" s="1"/>
      <c r="EX2" s="1"/>
      <c r="EZ2" s="1"/>
      <c r="FA2" s="1"/>
      <c r="FC2" s="1"/>
      <c r="FD2" s="87"/>
      <c r="FE2" s="1"/>
      <c r="FF2" s="142"/>
      <c r="FG2" s="342"/>
      <c r="FH2" s="1"/>
      <c r="FI2" s="342"/>
      <c r="FJ2" s="232"/>
      <c r="FK2" s="343"/>
      <c r="FL2" s="343"/>
      <c r="FM2" s="343"/>
      <c r="FN2" s="343"/>
      <c r="FO2" s="8"/>
      <c r="FP2" s="8"/>
      <c r="FQ2" s="8"/>
      <c r="FR2" s="343"/>
      <c r="FS2" s="343"/>
      <c r="FT2" s="8"/>
      <c r="FU2" s="87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</row>
    <row r="3" ht="12.75" customHeight="1">
      <c r="A3" s="1">
        <v>12.0</v>
      </c>
      <c r="B3" s="1"/>
      <c r="C3" s="50">
        <f>(219+7.5)*D51</f>
        <v>226.5</v>
      </c>
      <c r="D3" s="338">
        <f>(43+7.5)*G51</f>
        <v>50.5</v>
      </c>
      <c r="E3" s="1"/>
      <c r="F3" s="1"/>
      <c r="G3" s="7">
        <f>D58</f>
        <v>20</v>
      </c>
      <c r="H3" s="8">
        <f t="shared" si="3"/>
        <v>0</v>
      </c>
      <c r="I3" s="8">
        <f t="shared" si="4"/>
        <v>0</v>
      </c>
      <c r="J3" s="8"/>
      <c r="K3" s="9"/>
      <c r="L3" s="7" t="str">
        <f>D60</f>
        <v/>
      </c>
      <c r="M3" s="4">
        <f t="shared" si="5"/>
        <v>0</v>
      </c>
      <c r="N3" s="4">
        <f t="shared" si="6"/>
        <v>0</v>
      </c>
      <c r="O3" s="8"/>
      <c r="P3" s="8"/>
      <c r="Q3" s="8"/>
      <c r="R3" s="8"/>
      <c r="S3" s="344"/>
      <c r="T3" s="7" t="str">
        <f>D62</f>
        <v/>
      </c>
      <c r="U3" s="340">
        <f t="shared" si="7"/>
        <v>0</v>
      </c>
      <c r="V3" s="4">
        <f t="shared" si="8"/>
        <v>0</v>
      </c>
      <c r="W3" s="8"/>
      <c r="X3" s="9"/>
      <c r="Y3" s="7" t="str">
        <f>D64</f>
        <v/>
      </c>
      <c r="Z3" s="4">
        <f t="shared" si="9"/>
        <v>0</v>
      </c>
      <c r="AA3" s="4">
        <f t="shared" si="10"/>
        <v>0</v>
      </c>
      <c r="AB3" s="8"/>
      <c r="AC3" s="9"/>
      <c r="AD3" s="1"/>
      <c r="AE3" s="1"/>
      <c r="AF3" s="1" t="str">
        <f t="shared" si="11"/>
        <v/>
      </c>
      <c r="AG3" s="1">
        <f t="shared" si="14"/>
        <v>0</v>
      </c>
      <c r="AH3" s="1">
        <f t="shared" si="15"/>
        <v>0</v>
      </c>
      <c r="AI3" s="1"/>
      <c r="AJ3" s="1"/>
      <c r="AK3" s="1"/>
      <c r="AL3" s="1" t="str">
        <f t="shared" si="12"/>
        <v/>
      </c>
      <c r="AM3" s="1">
        <f t="shared" ref="AM3:AN3" si="16">IF($AL3=$A3,C3,0)</f>
        <v>0</v>
      </c>
      <c r="AN3" s="1">
        <f t="shared" si="16"/>
        <v>0</v>
      </c>
      <c r="AO3" s="1"/>
      <c r="AP3" s="8"/>
      <c r="AQ3" s="1"/>
      <c r="AR3" s="87"/>
      <c r="AS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87"/>
      <c r="BK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87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8"/>
      <c r="CT3" s="1"/>
      <c r="CU3" s="1"/>
      <c r="CV3" s="1"/>
      <c r="CW3" s="1"/>
      <c r="CX3" s="1"/>
      <c r="CY3" s="1"/>
      <c r="CZ3" s="87"/>
      <c r="DA3" s="1"/>
      <c r="DB3" s="1"/>
      <c r="DC3" s="1"/>
      <c r="DD3" s="1"/>
      <c r="DE3" s="1"/>
      <c r="DF3" s="1"/>
      <c r="DG3" s="1"/>
      <c r="DH3" s="1"/>
      <c r="DI3" s="341"/>
      <c r="DJ3" s="1"/>
      <c r="DK3" s="1"/>
      <c r="DL3" s="1"/>
      <c r="DM3" s="1"/>
      <c r="DN3" s="1"/>
      <c r="DO3" s="1"/>
      <c r="DP3" s="1"/>
      <c r="DQ3" s="1"/>
      <c r="DR3" s="1"/>
      <c r="EU3" s="1"/>
      <c r="EV3" s="1"/>
      <c r="EW3" s="1"/>
      <c r="EX3" s="1"/>
      <c r="EZ3" s="1"/>
      <c r="FA3" s="1"/>
      <c r="FC3" s="1"/>
      <c r="FD3" s="87"/>
      <c r="FE3" s="1"/>
      <c r="FF3" s="142"/>
      <c r="FG3" s="342"/>
      <c r="FH3" s="1"/>
      <c r="FI3" s="342"/>
      <c r="FJ3" s="232"/>
      <c r="FK3" s="343"/>
      <c r="FL3" s="343"/>
      <c r="FM3" s="343"/>
      <c r="FN3" s="343"/>
      <c r="FO3" s="8"/>
      <c r="FP3" s="8"/>
      <c r="FQ3" s="8"/>
      <c r="FR3" s="343"/>
      <c r="FS3" s="343"/>
      <c r="FT3" s="8"/>
      <c r="FU3" s="87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</row>
    <row r="4" ht="12.75" customHeight="1">
      <c r="A4" s="1">
        <v>16.0</v>
      </c>
      <c r="B4" s="1"/>
      <c r="C4" s="50">
        <f>(250+10)*D51</f>
        <v>260</v>
      </c>
      <c r="D4" s="338">
        <f>(55+10)*G51</f>
        <v>65</v>
      </c>
      <c r="E4" s="1"/>
      <c r="F4" s="1"/>
      <c r="G4" s="7">
        <f>D58</f>
        <v>20</v>
      </c>
      <c r="H4" s="8">
        <f t="shared" si="3"/>
        <v>0</v>
      </c>
      <c r="I4" s="8">
        <f t="shared" si="4"/>
        <v>0</v>
      </c>
      <c r="J4" s="8"/>
      <c r="K4" s="9"/>
      <c r="L4" s="7" t="str">
        <f>D60</f>
        <v/>
      </c>
      <c r="M4" s="4">
        <f t="shared" si="5"/>
        <v>0</v>
      </c>
      <c r="N4" s="4">
        <f t="shared" si="6"/>
        <v>0</v>
      </c>
      <c r="O4" s="8"/>
      <c r="P4" s="8"/>
      <c r="Q4" s="8"/>
      <c r="R4" s="8"/>
      <c r="S4" s="344"/>
      <c r="T4" s="7" t="str">
        <f>D62</f>
        <v/>
      </c>
      <c r="U4" s="340">
        <f t="shared" si="7"/>
        <v>0</v>
      </c>
      <c r="V4" s="4">
        <f t="shared" si="8"/>
        <v>0</v>
      </c>
      <c r="W4" s="8"/>
      <c r="X4" s="9"/>
      <c r="Y4" s="7" t="str">
        <f>D64</f>
        <v/>
      </c>
      <c r="Z4" s="4">
        <f t="shared" si="9"/>
        <v>0</v>
      </c>
      <c r="AA4" s="4">
        <f t="shared" si="10"/>
        <v>0</v>
      </c>
      <c r="AB4" s="8"/>
      <c r="AC4" s="9"/>
      <c r="AD4" s="1"/>
      <c r="AE4" s="1"/>
      <c r="AF4" s="1" t="str">
        <f t="shared" si="11"/>
        <v/>
      </c>
      <c r="AG4" s="1">
        <f t="shared" si="14"/>
        <v>0</v>
      </c>
      <c r="AH4" s="1">
        <f t="shared" si="15"/>
        <v>0</v>
      </c>
      <c r="AI4" s="1"/>
      <c r="AJ4" s="1"/>
      <c r="AK4" s="1"/>
      <c r="AL4" s="1" t="str">
        <f t="shared" si="12"/>
        <v/>
      </c>
      <c r="AM4" s="1">
        <f t="shared" ref="AM4:AN4" si="17">IF($AL4=$A4,C4,0)</f>
        <v>0</v>
      </c>
      <c r="AN4" s="1">
        <f t="shared" si="17"/>
        <v>0</v>
      </c>
      <c r="AO4" s="1"/>
      <c r="AP4" s="8"/>
      <c r="AQ4" s="1"/>
      <c r="AR4" s="87"/>
      <c r="AS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87"/>
      <c r="BK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87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8"/>
      <c r="CT4" s="1"/>
      <c r="CU4" s="1"/>
      <c r="CV4" s="1"/>
      <c r="CW4" s="1"/>
      <c r="CX4" s="1"/>
      <c r="CY4" s="1"/>
      <c r="CZ4" s="87"/>
      <c r="DA4" s="1"/>
      <c r="DB4" s="1"/>
      <c r="DC4" s="1"/>
      <c r="DD4" s="1"/>
      <c r="DE4" s="1"/>
      <c r="DF4" s="1"/>
      <c r="DG4" s="1"/>
      <c r="DH4" s="1"/>
      <c r="DI4" s="341"/>
      <c r="DJ4" s="1"/>
      <c r="DK4" s="1"/>
      <c r="DL4" s="1"/>
      <c r="DM4" s="1"/>
      <c r="DN4" s="1"/>
      <c r="DO4" s="1"/>
      <c r="DP4" s="1"/>
      <c r="DQ4" s="1"/>
      <c r="DR4" s="1"/>
      <c r="EU4" s="1"/>
      <c r="EV4" s="1"/>
      <c r="EW4" s="1"/>
      <c r="EX4" s="1"/>
      <c r="EZ4" s="1"/>
      <c r="FA4" s="1"/>
      <c r="FC4" s="1"/>
      <c r="FD4" s="87"/>
      <c r="FE4" s="1"/>
      <c r="FF4" s="142"/>
      <c r="FG4" s="342"/>
      <c r="FH4" s="1"/>
      <c r="FI4" s="342"/>
      <c r="FJ4" s="232"/>
      <c r="FK4" s="343"/>
      <c r="FL4" s="343"/>
      <c r="FM4" s="343"/>
      <c r="FN4" s="343"/>
      <c r="FO4" s="8"/>
      <c r="FP4" s="8"/>
      <c r="FQ4" s="8"/>
      <c r="FR4" s="343"/>
      <c r="FS4" s="343"/>
      <c r="FT4" s="8"/>
      <c r="FU4" s="87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</row>
    <row r="5" ht="12.75" customHeight="1">
      <c r="A5" s="1">
        <v>20.0</v>
      </c>
      <c r="B5" s="1"/>
      <c r="C5" s="50">
        <f>(323+12.5)*D51</f>
        <v>335.5</v>
      </c>
      <c r="D5" s="338">
        <f>(70+12.5)*G51</f>
        <v>82.5</v>
      </c>
      <c r="E5" s="1"/>
      <c r="F5" s="1"/>
      <c r="G5" s="7">
        <f>D58</f>
        <v>20</v>
      </c>
      <c r="H5" s="8">
        <f t="shared" si="3"/>
        <v>335.5</v>
      </c>
      <c r="I5" s="8">
        <f t="shared" si="4"/>
        <v>82.5</v>
      </c>
      <c r="J5" s="8"/>
      <c r="K5" s="9"/>
      <c r="L5" s="7" t="str">
        <f>D60</f>
        <v/>
      </c>
      <c r="M5" s="4">
        <f t="shared" si="5"/>
        <v>0</v>
      </c>
      <c r="N5" s="4">
        <f t="shared" si="6"/>
        <v>0</v>
      </c>
      <c r="O5" s="8"/>
      <c r="P5" s="8"/>
      <c r="Q5" s="8"/>
      <c r="R5" s="8"/>
      <c r="S5" s="344"/>
      <c r="T5" s="7" t="str">
        <f>D62</f>
        <v/>
      </c>
      <c r="U5" s="340">
        <f t="shared" si="7"/>
        <v>0</v>
      </c>
      <c r="V5" s="4">
        <f t="shared" si="8"/>
        <v>0</v>
      </c>
      <c r="W5" s="8"/>
      <c r="X5" s="9"/>
      <c r="Y5" s="7" t="str">
        <f>D64</f>
        <v/>
      </c>
      <c r="Z5" s="4">
        <f t="shared" si="9"/>
        <v>0</v>
      </c>
      <c r="AA5" s="4">
        <f t="shared" si="10"/>
        <v>0</v>
      </c>
      <c r="AB5" s="8"/>
      <c r="AC5" s="9"/>
      <c r="AD5" s="1"/>
      <c r="AE5" s="1"/>
      <c r="AF5" s="1" t="str">
        <f t="shared" si="11"/>
        <v/>
      </c>
      <c r="AG5" s="1">
        <f t="shared" si="14"/>
        <v>0</v>
      </c>
      <c r="AH5" s="1">
        <f t="shared" si="15"/>
        <v>0</v>
      </c>
      <c r="AI5" s="1"/>
      <c r="AJ5" s="1"/>
      <c r="AK5" s="1"/>
      <c r="AL5" s="1" t="str">
        <f t="shared" si="12"/>
        <v/>
      </c>
      <c r="AM5" s="1">
        <f t="shared" ref="AM5:AN5" si="18">IF($AL5=$A5,C5,0)</f>
        <v>0</v>
      </c>
      <c r="AN5" s="1">
        <f t="shared" si="18"/>
        <v>0</v>
      </c>
      <c r="AO5" s="1"/>
      <c r="AP5" s="8"/>
      <c r="AQ5" s="1"/>
      <c r="AR5" s="87"/>
      <c r="AS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87"/>
      <c r="BK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87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8"/>
      <c r="CT5" s="1"/>
      <c r="CU5" s="1"/>
      <c r="CV5" s="1"/>
      <c r="CW5" s="1"/>
      <c r="CX5" s="1"/>
      <c r="CY5" s="1"/>
      <c r="CZ5" s="87"/>
      <c r="DA5" s="1"/>
      <c r="DB5" s="1"/>
      <c r="DC5" s="1"/>
      <c r="DD5" s="1"/>
      <c r="DE5" s="1"/>
      <c r="DF5" s="1"/>
      <c r="DG5" s="1"/>
      <c r="DH5" s="1"/>
      <c r="DI5" s="341"/>
      <c r="DJ5" s="1"/>
      <c r="DK5" s="1"/>
      <c r="DL5" s="1"/>
      <c r="DM5" s="1"/>
      <c r="DN5" s="1"/>
      <c r="DO5" s="1"/>
      <c r="DP5" s="1"/>
      <c r="DQ5" s="1"/>
      <c r="DR5" s="1"/>
      <c r="EU5" s="1"/>
      <c r="EV5" s="1"/>
      <c r="EW5" s="1"/>
      <c r="EX5" s="1"/>
      <c r="EZ5" s="1"/>
      <c r="FA5" s="1"/>
      <c r="FC5" s="1"/>
      <c r="FD5" s="87"/>
      <c r="FE5" s="1"/>
      <c r="FF5" s="142"/>
      <c r="FG5" s="342"/>
      <c r="FH5" s="1"/>
      <c r="FI5" s="342"/>
      <c r="FJ5" s="232"/>
      <c r="FK5" s="343"/>
      <c r="FL5" s="343"/>
      <c r="FM5" s="343"/>
      <c r="FN5" s="343"/>
      <c r="FO5" s="8"/>
      <c r="FP5" s="8"/>
      <c r="FQ5" s="8"/>
      <c r="FR5" s="343"/>
      <c r="FS5" s="343"/>
      <c r="FT5" s="8"/>
      <c r="FU5" s="87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</row>
    <row r="6" ht="12.75" customHeight="1">
      <c r="A6" s="1">
        <v>24.0</v>
      </c>
      <c r="B6" s="1"/>
      <c r="C6" s="50">
        <f>(359+15)*D51</f>
        <v>374</v>
      </c>
      <c r="D6" s="338">
        <f>(82+15)*G51</f>
        <v>97</v>
      </c>
      <c r="E6" s="1"/>
      <c r="F6" s="1"/>
      <c r="G6" s="7">
        <f>D58</f>
        <v>20</v>
      </c>
      <c r="H6" s="8">
        <f t="shared" si="3"/>
        <v>0</v>
      </c>
      <c r="I6" s="8">
        <f t="shared" si="4"/>
        <v>0</v>
      </c>
      <c r="J6" s="8"/>
      <c r="K6" s="9"/>
      <c r="L6" s="7" t="str">
        <f>D60</f>
        <v/>
      </c>
      <c r="M6" s="4">
        <f t="shared" si="5"/>
        <v>0</v>
      </c>
      <c r="N6" s="4">
        <f t="shared" si="6"/>
        <v>0</v>
      </c>
      <c r="O6" s="8"/>
      <c r="P6" s="8"/>
      <c r="Q6" s="8"/>
      <c r="R6" s="8"/>
      <c r="S6" s="344"/>
      <c r="T6" s="7" t="str">
        <f>D62</f>
        <v/>
      </c>
      <c r="U6" s="340">
        <f t="shared" si="7"/>
        <v>0</v>
      </c>
      <c r="V6" s="4">
        <f t="shared" si="8"/>
        <v>0</v>
      </c>
      <c r="W6" s="8"/>
      <c r="X6" s="9"/>
      <c r="Y6" s="7" t="str">
        <f>D64</f>
        <v/>
      </c>
      <c r="Z6" s="4">
        <f t="shared" si="9"/>
        <v>0</v>
      </c>
      <c r="AA6" s="4">
        <f t="shared" si="10"/>
        <v>0</v>
      </c>
      <c r="AB6" s="8"/>
      <c r="AC6" s="9"/>
      <c r="AD6" s="1"/>
      <c r="AE6" s="1"/>
      <c r="AF6" s="1" t="str">
        <f t="shared" si="11"/>
        <v/>
      </c>
      <c r="AG6" s="1">
        <f t="shared" si="14"/>
        <v>0</v>
      </c>
      <c r="AH6" s="1">
        <f t="shared" si="15"/>
        <v>0</v>
      </c>
      <c r="AI6" s="1"/>
      <c r="AJ6" s="1"/>
      <c r="AK6" s="1"/>
      <c r="AL6" s="1" t="str">
        <f t="shared" si="12"/>
        <v/>
      </c>
      <c r="AM6" s="1">
        <f t="shared" ref="AM6:AN6" si="19">IF($AL6=$A6,C6,0)</f>
        <v>0</v>
      </c>
      <c r="AN6" s="1">
        <f t="shared" si="19"/>
        <v>0</v>
      </c>
      <c r="AO6" s="1"/>
      <c r="AP6" s="8"/>
      <c r="AQ6" s="1"/>
      <c r="AR6" s="87"/>
      <c r="AS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87"/>
      <c r="BK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87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8"/>
      <c r="CT6" s="1"/>
      <c r="CU6" s="1"/>
      <c r="CV6" s="1"/>
      <c r="CW6" s="1"/>
      <c r="CX6" s="1"/>
      <c r="CY6" s="1"/>
      <c r="CZ6" s="87"/>
      <c r="DA6" s="1"/>
      <c r="DB6" s="1"/>
      <c r="DC6" s="1"/>
      <c r="DD6" s="1"/>
      <c r="DE6" s="1"/>
      <c r="DF6" s="1"/>
      <c r="DG6" s="1"/>
      <c r="DH6" s="1"/>
      <c r="DI6" s="341"/>
      <c r="DJ6" s="1"/>
      <c r="DK6" s="1"/>
      <c r="DL6" s="1"/>
      <c r="DM6" s="1"/>
      <c r="DN6" s="1"/>
      <c r="DO6" s="1"/>
      <c r="DP6" s="1"/>
      <c r="DQ6" s="1"/>
      <c r="DR6" s="1"/>
      <c r="EU6" s="1"/>
      <c r="EV6" s="1"/>
      <c r="EW6" s="1"/>
      <c r="EX6" s="1"/>
      <c r="EZ6" s="1"/>
      <c r="FA6" s="1"/>
      <c r="FC6" s="1"/>
      <c r="FD6" s="87"/>
      <c r="FE6" s="1"/>
      <c r="FF6" s="142"/>
      <c r="FG6" s="342"/>
      <c r="FH6" s="1"/>
      <c r="FI6" s="342"/>
      <c r="FJ6" s="232"/>
      <c r="FK6" s="343"/>
      <c r="FL6" s="343"/>
      <c r="FM6" s="343"/>
      <c r="FN6" s="343"/>
      <c r="FO6" s="8"/>
      <c r="FP6" s="8"/>
      <c r="FQ6" s="8"/>
      <c r="FR6" s="343"/>
      <c r="FS6" s="343"/>
      <c r="FT6" s="8"/>
      <c r="FU6" s="87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</row>
    <row r="7" ht="12.75" customHeight="1">
      <c r="A7" s="1">
        <v>28.0</v>
      </c>
      <c r="B7" s="1"/>
      <c r="C7" s="50">
        <f>(430+17.5)*D51</f>
        <v>447.5</v>
      </c>
      <c r="D7" s="338">
        <f>(96+17.5)*G51</f>
        <v>113.5</v>
      </c>
      <c r="E7" s="1"/>
      <c r="F7" s="1"/>
      <c r="G7" s="7">
        <f>D58</f>
        <v>20</v>
      </c>
      <c r="H7" s="8">
        <f t="shared" si="3"/>
        <v>0</v>
      </c>
      <c r="I7" s="8">
        <f t="shared" si="4"/>
        <v>0</v>
      </c>
      <c r="J7" s="8"/>
      <c r="K7" s="9"/>
      <c r="L7" s="7" t="str">
        <f>D60</f>
        <v/>
      </c>
      <c r="M7" s="4">
        <f t="shared" si="5"/>
        <v>0</v>
      </c>
      <c r="N7" s="4">
        <f t="shared" si="6"/>
        <v>0</v>
      </c>
      <c r="O7" s="8"/>
      <c r="P7" s="8"/>
      <c r="Q7" s="8"/>
      <c r="R7" s="8"/>
      <c r="S7" s="344"/>
      <c r="T7" s="7" t="str">
        <f>D62</f>
        <v/>
      </c>
      <c r="U7" s="340">
        <f t="shared" si="7"/>
        <v>0</v>
      </c>
      <c r="V7" s="4">
        <f t="shared" si="8"/>
        <v>0</v>
      </c>
      <c r="W7" s="8"/>
      <c r="X7" s="9"/>
      <c r="Y7" s="7" t="str">
        <f>D64</f>
        <v/>
      </c>
      <c r="Z7" s="4">
        <f t="shared" si="9"/>
        <v>0</v>
      </c>
      <c r="AA7" s="4">
        <f t="shared" si="10"/>
        <v>0</v>
      </c>
      <c r="AB7" s="8"/>
      <c r="AC7" s="9"/>
      <c r="AD7" s="1"/>
      <c r="AE7" s="1"/>
      <c r="AF7" s="1" t="str">
        <f t="shared" si="11"/>
        <v/>
      </c>
      <c r="AG7" s="1">
        <f t="shared" si="14"/>
        <v>0</v>
      </c>
      <c r="AH7" s="1">
        <f t="shared" si="15"/>
        <v>0</v>
      </c>
      <c r="AI7" s="1"/>
      <c r="AJ7" s="1"/>
      <c r="AK7" s="1"/>
      <c r="AL7" s="1" t="str">
        <f t="shared" si="12"/>
        <v/>
      </c>
      <c r="AM7" s="1">
        <f t="shared" ref="AM7:AN7" si="20">IF($AL7=$A7,C7,0)</f>
        <v>0</v>
      </c>
      <c r="AN7" s="1">
        <f t="shared" si="20"/>
        <v>0</v>
      </c>
      <c r="AO7" s="1"/>
      <c r="AP7" s="8"/>
      <c r="AQ7" s="1"/>
      <c r="AR7" s="87"/>
      <c r="AS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87"/>
      <c r="BK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87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8"/>
      <c r="CT7" s="1"/>
      <c r="CU7" s="1"/>
      <c r="CV7" s="1"/>
      <c r="CW7" s="1"/>
      <c r="CX7" s="1"/>
      <c r="CY7" s="1"/>
      <c r="CZ7" s="87"/>
      <c r="DA7" s="1"/>
      <c r="DB7" s="1"/>
      <c r="DC7" s="1"/>
      <c r="DD7" s="1"/>
      <c r="DE7" s="1"/>
      <c r="DF7" s="1"/>
      <c r="DG7" s="1"/>
      <c r="DH7" s="1"/>
      <c r="DI7" s="341"/>
      <c r="DJ7" s="1"/>
      <c r="DK7" s="1"/>
      <c r="DL7" s="1"/>
      <c r="DM7" s="1"/>
      <c r="DN7" s="1"/>
      <c r="DO7" s="1"/>
      <c r="DP7" s="1"/>
      <c r="DQ7" s="1"/>
      <c r="DR7" s="1"/>
      <c r="EU7" s="1"/>
      <c r="EV7" s="1"/>
      <c r="EW7" s="1"/>
      <c r="EX7" s="1"/>
      <c r="EZ7" s="1"/>
      <c r="FA7" s="1"/>
      <c r="FC7" s="1"/>
      <c r="FD7" s="87"/>
      <c r="FE7" s="1"/>
      <c r="FF7" s="142"/>
      <c r="FG7" s="342"/>
      <c r="FH7" s="1"/>
      <c r="FI7" s="342"/>
      <c r="FJ7" s="232"/>
      <c r="FK7" s="343"/>
      <c r="FL7" s="343"/>
      <c r="FM7" s="343"/>
      <c r="FN7" s="343"/>
      <c r="FO7" s="8"/>
      <c r="FP7" s="8"/>
      <c r="FQ7" s="8"/>
      <c r="FR7" s="343"/>
      <c r="FS7" s="343"/>
      <c r="FT7" s="8"/>
      <c r="FU7" s="87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</row>
    <row r="8" ht="12.75" customHeight="1">
      <c r="A8" s="1">
        <v>32.0</v>
      </c>
      <c r="B8" s="1"/>
      <c r="C8" s="50">
        <f>(464+20)*D51</f>
        <v>484</v>
      </c>
      <c r="D8" s="338">
        <f>(108+20)*G51</f>
        <v>128</v>
      </c>
      <c r="E8" s="1"/>
      <c r="F8" s="1"/>
      <c r="G8" s="7">
        <f>D58</f>
        <v>20</v>
      </c>
      <c r="H8" s="8">
        <f t="shared" si="3"/>
        <v>0</v>
      </c>
      <c r="I8" s="8">
        <f t="shared" si="4"/>
        <v>0</v>
      </c>
      <c r="J8" s="8"/>
      <c r="K8" s="9"/>
      <c r="L8" s="7" t="str">
        <f>D60</f>
        <v/>
      </c>
      <c r="M8" s="4">
        <f t="shared" si="5"/>
        <v>0</v>
      </c>
      <c r="N8" s="4">
        <f t="shared" si="6"/>
        <v>0</v>
      </c>
      <c r="O8" s="8"/>
      <c r="P8" s="8"/>
      <c r="Q8" s="8"/>
      <c r="R8" s="8"/>
      <c r="S8" s="344"/>
      <c r="T8" s="7" t="str">
        <f>D62</f>
        <v/>
      </c>
      <c r="U8" s="340">
        <f t="shared" si="7"/>
        <v>0</v>
      </c>
      <c r="V8" s="4">
        <f t="shared" si="8"/>
        <v>0</v>
      </c>
      <c r="W8" s="8"/>
      <c r="X8" s="9"/>
      <c r="Y8" s="7" t="str">
        <f>D64</f>
        <v/>
      </c>
      <c r="Z8" s="4">
        <f t="shared" si="9"/>
        <v>0</v>
      </c>
      <c r="AA8" s="4">
        <f t="shared" si="10"/>
        <v>0</v>
      </c>
      <c r="AB8" s="8"/>
      <c r="AC8" s="9"/>
      <c r="AD8" s="1"/>
      <c r="AE8" s="1"/>
      <c r="AF8" s="1" t="str">
        <f t="shared" si="11"/>
        <v/>
      </c>
      <c r="AG8" s="1">
        <f t="shared" si="14"/>
        <v>0</v>
      </c>
      <c r="AH8" s="1">
        <f t="shared" si="15"/>
        <v>0</v>
      </c>
      <c r="AI8" s="1"/>
      <c r="AJ8" s="1"/>
      <c r="AK8" s="1"/>
      <c r="AL8" s="1" t="str">
        <f t="shared" si="12"/>
        <v/>
      </c>
      <c r="AM8" s="1">
        <f t="shared" ref="AM8:AN8" si="21">IF($AL8=$A8,C8,0)</f>
        <v>0</v>
      </c>
      <c r="AN8" s="1">
        <f t="shared" si="21"/>
        <v>0</v>
      </c>
      <c r="AO8" s="1"/>
      <c r="AP8" s="8"/>
      <c r="AQ8" s="1"/>
      <c r="AR8" s="87"/>
      <c r="AS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87"/>
      <c r="BK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87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8"/>
      <c r="CT8" s="1"/>
      <c r="CU8" s="1"/>
      <c r="CV8" s="1"/>
      <c r="CW8" s="1"/>
      <c r="CX8" s="1"/>
      <c r="CY8" s="1"/>
      <c r="CZ8" s="87"/>
      <c r="DA8" s="1"/>
      <c r="DB8" s="1"/>
      <c r="DC8" s="1"/>
      <c r="DD8" s="1"/>
      <c r="DE8" s="1"/>
      <c r="DF8" s="1"/>
      <c r="DG8" s="1"/>
      <c r="DH8" s="1"/>
      <c r="DI8" s="341"/>
      <c r="DJ8" s="1"/>
      <c r="DK8" s="1"/>
      <c r="DL8" s="1"/>
      <c r="DM8" s="1"/>
      <c r="DN8" s="1"/>
      <c r="DO8" s="1"/>
      <c r="DP8" s="1"/>
      <c r="DQ8" s="1"/>
      <c r="DR8" s="1"/>
      <c r="EU8" s="1"/>
      <c r="EV8" s="1"/>
      <c r="EW8" s="1"/>
      <c r="EX8" s="1"/>
      <c r="EZ8" s="1"/>
      <c r="FA8" s="1"/>
      <c r="FC8" s="1"/>
      <c r="FD8" s="87"/>
      <c r="FE8" s="1"/>
      <c r="FF8" s="142"/>
      <c r="FG8" s="342"/>
      <c r="FH8" s="1"/>
      <c r="FI8" s="342"/>
      <c r="FJ8" s="232"/>
      <c r="FK8" s="343"/>
      <c r="FL8" s="343"/>
      <c r="FM8" s="343"/>
      <c r="FN8" s="343"/>
      <c r="FO8" s="8"/>
      <c r="FP8" s="8"/>
      <c r="FQ8" s="8"/>
      <c r="FR8" s="343"/>
      <c r="FS8" s="343"/>
      <c r="FT8" s="8"/>
      <c r="FU8" s="87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</row>
    <row r="9" ht="12.75" customHeight="1">
      <c r="A9" s="1">
        <v>36.0</v>
      </c>
      <c r="B9" s="1"/>
      <c r="C9" s="50">
        <f>(549+22.5)*D51</f>
        <v>571.5</v>
      </c>
      <c r="D9" s="338">
        <f>(124+22.5)*G51</f>
        <v>146.5</v>
      </c>
      <c r="E9" s="1"/>
      <c r="F9" s="1"/>
      <c r="G9" s="7">
        <f>D58</f>
        <v>20</v>
      </c>
      <c r="H9" s="8">
        <f t="shared" si="3"/>
        <v>0</v>
      </c>
      <c r="I9" s="8">
        <f t="shared" si="4"/>
        <v>0</v>
      </c>
      <c r="J9" s="8"/>
      <c r="K9" s="9"/>
      <c r="L9" s="7" t="str">
        <f>D60</f>
        <v/>
      </c>
      <c r="M9" s="4">
        <f t="shared" si="5"/>
        <v>0</v>
      </c>
      <c r="N9" s="4">
        <f t="shared" si="6"/>
        <v>0</v>
      </c>
      <c r="O9" s="8"/>
      <c r="P9" s="8"/>
      <c r="Q9" s="8"/>
      <c r="R9" s="8"/>
      <c r="S9" s="344"/>
      <c r="T9" s="7" t="str">
        <f>D62</f>
        <v/>
      </c>
      <c r="U9" s="340">
        <f t="shared" si="7"/>
        <v>0</v>
      </c>
      <c r="V9" s="4">
        <f t="shared" si="8"/>
        <v>0</v>
      </c>
      <c r="W9" s="8"/>
      <c r="X9" s="9"/>
      <c r="Y9" s="7" t="str">
        <f>D64</f>
        <v/>
      </c>
      <c r="Z9" s="4">
        <f t="shared" si="9"/>
        <v>0</v>
      </c>
      <c r="AA9" s="4">
        <f t="shared" si="10"/>
        <v>0</v>
      </c>
      <c r="AB9" s="8"/>
      <c r="AC9" s="9"/>
      <c r="AD9" s="1"/>
      <c r="AE9" s="1"/>
      <c r="AF9" s="1" t="str">
        <f t="shared" si="11"/>
        <v/>
      </c>
      <c r="AG9" s="1">
        <f t="shared" si="14"/>
        <v>0</v>
      </c>
      <c r="AH9" s="1">
        <f t="shared" si="15"/>
        <v>0</v>
      </c>
      <c r="AI9" s="1"/>
      <c r="AJ9" s="1"/>
      <c r="AK9" s="1"/>
      <c r="AL9" s="1" t="str">
        <f t="shared" si="12"/>
        <v/>
      </c>
      <c r="AM9" s="1">
        <f t="shared" ref="AM9:AN9" si="22">IF($AL9=$A9,C9,0)</f>
        <v>0</v>
      </c>
      <c r="AN9" s="1">
        <f t="shared" si="22"/>
        <v>0</v>
      </c>
      <c r="AO9" s="1"/>
      <c r="AP9" s="8"/>
      <c r="AQ9" s="1"/>
      <c r="AR9" s="87"/>
      <c r="AS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87"/>
      <c r="BK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87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8"/>
      <c r="CT9" s="1"/>
      <c r="CU9" s="1"/>
      <c r="CV9" s="1"/>
      <c r="CW9" s="1"/>
      <c r="CX9" s="1"/>
      <c r="CY9" s="1"/>
      <c r="CZ9" s="87"/>
      <c r="DA9" s="1"/>
      <c r="DB9" s="1"/>
      <c r="DC9" s="1"/>
      <c r="DD9" s="1"/>
      <c r="DE9" s="1"/>
      <c r="DF9" s="1"/>
      <c r="DG9" s="1"/>
      <c r="DH9" s="1"/>
      <c r="DI9" s="341"/>
      <c r="DJ9" s="1"/>
      <c r="DK9" s="1"/>
      <c r="DL9" s="1"/>
      <c r="DM9" s="1"/>
      <c r="DN9" s="1"/>
      <c r="DO9" s="1"/>
      <c r="DP9" s="1"/>
      <c r="DQ9" s="1"/>
      <c r="DR9" s="1"/>
      <c r="EU9" s="1"/>
      <c r="EV9" s="1"/>
      <c r="EW9" s="1"/>
      <c r="EX9" s="1"/>
      <c r="EZ9" s="1"/>
      <c r="FA9" s="1"/>
      <c r="FC9" s="1"/>
      <c r="FD9" s="87"/>
      <c r="FE9" s="1"/>
      <c r="FF9" s="142"/>
      <c r="FG9" s="342"/>
      <c r="FH9" s="1"/>
      <c r="FI9" s="342"/>
      <c r="FJ9" s="232"/>
      <c r="FK9" s="343"/>
      <c r="FL9" s="343"/>
      <c r="FM9" s="343"/>
      <c r="FN9" s="343"/>
      <c r="FO9" s="8"/>
      <c r="FP9" s="8"/>
      <c r="FQ9" s="8"/>
      <c r="FR9" s="343"/>
      <c r="FS9" s="343"/>
      <c r="FT9" s="8"/>
      <c r="FU9" s="87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</row>
    <row r="10" ht="12.75" customHeight="1">
      <c r="A10" s="1">
        <v>40.0</v>
      </c>
      <c r="B10" s="1"/>
      <c r="C10" s="50">
        <f>(583+25)*D51</f>
        <v>608</v>
      </c>
      <c r="D10" s="338">
        <f>(136+25)*G51</f>
        <v>161</v>
      </c>
      <c r="E10" s="1"/>
      <c r="F10" s="1"/>
      <c r="G10" s="7">
        <f>D58</f>
        <v>20</v>
      </c>
      <c r="H10" s="8">
        <f t="shared" si="3"/>
        <v>0</v>
      </c>
      <c r="I10" s="8">
        <f t="shared" si="4"/>
        <v>0</v>
      </c>
      <c r="J10" s="8"/>
      <c r="K10" s="9"/>
      <c r="L10" s="7" t="str">
        <f>D60</f>
        <v/>
      </c>
      <c r="M10" s="4">
        <f t="shared" si="5"/>
        <v>0</v>
      </c>
      <c r="N10" s="4">
        <f t="shared" si="6"/>
        <v>0</v>
      </c>
      <c r="O10" s="8"/>
      <c r="P10" s="8"/>
      <c r="Q10" s="8"/>
      <c r="R10" s="8"/>
      <c r="S10" s="344"/>
      <c r="T10" s="7" t="str">
        <f>D62</f>
        <v/>
      </c>
      <c r="U10" s="340">
        <f t="shared" si="7"/>
        <v>0</v>
      </c>
      <c r="V10" s="4">
        <f t="shared" si="8"/>
        <v>0</v>
      </c>
      <c r="W10" s="8"/>
      <c r="X10" s="9"/>
      <c r="Y10" s="7" t="str">
        <f>D64</f>
        <v/>
      </c>
      <c r="Z10" s="4">
        <f t="shared" si="9"/>
        <v>0</v>
      </c>
      <c r="AA10" s="4">
        <f t="shared" si="10"/>
        <v>0</v>
      </c>
      <c r="AB10" s="8"/>
      <c r="AC10" s="9"/>
      <c r="AD10" s="1"/>
      <c r="AE10" s="1"/>
      <c r="AF10" s="1" t="str">
        <f t="shared" si="11"/>
        <v/>
      </c>
      <c r="AG10" s="1">
        <f t="shared" si="14"/>
        <v>0</v>
      </c>
      <c r="AH10" s="1">
        <f t="shared" si="15"/>
        <v>0</v>
      </c>
      <c r="AI10" s="1"/>
      <c r="AJ10" s="1"/>
      <c r="AK10" s="1"/>
      <c r="AL10" s="1" t="str">
        <f t="shared" si="12"/>
        <v/>
      </c>
      <c r="AM10" s="1">
        <f t="shared" ref="AM10:AN10" si="23">IF($AL10=$A10,C10,0)</f>
        <v>0</v>
      </c>
      <c r="AN10" s="1">
        <f t="shared" si="23"/>
        <v>0</v>
      </c>
      <c r="AO10" s="1"/>
      <c r="AP10" s="8"/>
      <c r="AQ10" s="1"/>
      <c r="AR10" s="87"/>
      <c r="AS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87"/>
      <c r="BK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87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8"/>
      <c r="CT10" s="1"/>
      <c r="CU10" s="1"/>
      <c r="CV10" s="1"/>
      <c r="CW10" s="1"/>
      <c r="CX10" s="1"/>
      <c r="CY10" s="1"/>
      <c r="CZ10" s="87"/>
      <c r="DA10" s="1"/>
      <c r="DB10" s="1"/>
      <c r="DC10" s="1"/>
      <c r="DD10" s="1"/>
      <c r="DE10" s="1"/>
      <c r="DF10" s="1"/>
      <c r="DG10" s="1"/>
      <c r="DH10" s="1"/>
      <c r="DI10" s="341"/>
      <c r="DJ10" s="1"/>
      <c r="DK10" s="1"/>
      <c r="DL10" s="1"/>
      <c r="DM10" s="1"/>
      <c r="DN10" s="1"/>
      <c r="DO10" s="1"/>
      <c r="DP10" s="1"/>
      <c r="DQ10" s="1"/>
      <c r="DR10" s="1"/>
      <c r="EU10" s="1"/>
      <c r="EV10" s="1"/>
      <c r="EW10" s="1"/>
      <c r="EX10" s="1"/>
      <c r="EZ10" s="1"/>
      <c r="FA10" s="1"/>
      <c r="FC10" s="1"/>
      <c r="FD10" s="87"/>
      <c r="FE10" s="1"/>
      <c r="FF10" s="142"/>
      <c r="FG10" s="342"/>
      <c r="FH10" s="1"/>
      <c r="FI10" s="342"/>
      <c r="FJ10" s="232"/>
      <c r="FK10" s="343"/>
      <c r="FL10" s="343"/>
      <c r="FM10" s="343"/>
      <c r="FN10" s="343"/>
      <c r="FO10" s="8"/>
      <c r="FP10" s="8"/>
      <c r="FQ10" s="8"/>
      <c r="FR10" s="343"/>
      <c r="FS10" s="343"/>
      <c r="FT10" s="8"/>
      <c r="FU10" s="87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</row>
    <row r="11" ht="12.75" customHeight="1">
      <c r="A11" s="1">
        <v>44.0</v>
      </c>
      <c r="B11" s="1"/>
      <c r="C11" s="50">
        <f>(665+27.5)*D51</f>
        <v>692.5</v>
      </c>
      <c r="D11" s="338">
        <f>(152+27.5)*G51</f>
        <v>179.5</v>
      </c>
      <c r="E11" s="1"/>
      <c r="F11" s="1"/>
      <c r="G11" s="7">
        <f>D58</f>
        <v>20</v>
      </c>
      <c r="H11" s="8">
        <f t="shared" si="3"/>
        <v>0</v>
      </c>
      <c r="I11" s="8">
        <f t="shared" si="4"/>
        <v>0</v>
      </c>
      <c r="J11" s="8"/>
      <c r="K11" s="9"/>
      <c r="L11" s="7" t="str">
        <f>D60</f>
        <v/>
      </c>
      <c r="M11" s="4">
        <f t="shared" si="5"/>
        <v>0</v>
      </c>
      <c r="N11" s="4">
        <f t="shared" si="6"/>
        <v>0</v>
      </c>
      <c r="O11" s="8"/>
      <c r="P11" s="8"/>
      <c r="Q11" s="8"/>
      <c r="R11" s="8"/>
      <c r="S11" s="344"/>
      <c r="T11" s="7" t="str">
        <f>D62</f>
        <v/>
      </c>
      <c r="U11" s="340">
        <f t="shared" si="7"/>
        <v>0</v>
      </c>
      <c r="V11" s="4">
        <f t="shared" si="8"/>
        <v>0</v>
      </c>
      <c r="W11" s="8"/>
      <c r="X11" s="9"/>
      <c r="Y11" s="7" t="str">
        <f>D64</f>
        <v/>
      </c>
      <c r="Z11" s="4">
        <f t="shared" si="9"/>
        <v>0</v>
      </c>
      <c r="AA11" s="4">
        <f t="shared" si="10"/>
        <v>0</v>
      </c>
      <c r="AB11" s="8"/>
      <c r="AC11" s="9"/>
      <c r="AD11" s="1"/>
      <c r="AE11" s="1"/>
      <c r="AF11" s="1" t="str">
        <f t="shared" si="11"/>
        <v/>
      </c>
      <c r="AG11" s="1">
        <f t="shared" si="14"/>
        <v>0</v>
      </c>
      <c r="AH11" s="1">
        <f t="shared" si="15"/>
        <v>0</v>
      </c>
      <c r="AI11" s="1"/>
      <c r="AJ11" s="1"/>
      <c r="AK11" s="1"/>
      <c r="AL11" s="1" t="str">
        <f t="shared" si="12"/>
        <v/>
      </c>
      <c r="AM11" s="1">
        <f t="shared" ref="AM11:AN11" si="24">IF($AL11=$A11,C11,0)</f>
        <v>0</v>
      </c>
      <c r="AN11" s="1">
        <f t="shared" si="24"/>
        <v>0</v>
      </c>
      <c r="AO11" s="1"/>
      <c r="AP11" s="8"/>
      <c r="AQ11" s="1"/>
      <c r="AR11" s="87"/>
      <c r="AS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87"/>
      <c r="BK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87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8"/>
      <c r="CT11" s="1"/>
      <c r="CU11" s="1"/>
      <c r="CV11" s="1"/>
      <c r="CW11" s="1"/>
      <c r="CX11" s="1"/>
      <c r="CY11" s="1"/>
      <c r="CZ11" s="87"/>
      <c r="DA11" s="1"/>
      <c r="DB11" s="1"/>
      <c r="DC11" s="1"/>
      <c r="DD11" s="1"/>
      <c r="DE11" s="1"/>
      <c r="DF11" s="1"/>
      <c r="DG11" s="1"/>
      <c r="DH11" s="1"/>
      <c r="DI11" s="341"/>
      <c r="DJ11" s="1"/>
      <c r="DK11" s="1"/>
      <c r="DL11" s="1"/>
      <c r="DM11" s="1"/>
      <c r="DN11" s="1"/>
      <c r="DO11" s="1"/>
      <c r="DP11" s="1"/>
      <c r="DQ11" s="1"/>
      <c r="DR11" s="1"/>
      <c r="EU11" s="1"/>
      <c r="EV11" s="1"/>
      <c r="EW11" s="1"/>
      <c r="EX11" s="1"/>
      <c r="EZ11" s="1"/>
      <c r="FA11" s="1"/>
      <c r="FC11" s="1"/>
      <c r="FD11" s="87"/>
      <c r="FE11" s="1"/>
      <c r="FF11" s="142"/>
      <c r="FG11" s="342"/>
      <c r="FH11" s="1"/>
      <c r="FI11" s="342"/>
      <c r="FJ11" s="232"/>
      <c r="FK11" s="343"/>
      <c r="FL11" s="343"/>
      <c r="FM11" s="343"/>
      <c r="FN11" s="343"/>
      <c r="FO11" s="8"/>
      <c r="FP11" s="8"/>
      <c r="FQ11" s="8"/>
      <c r="FR11" s="343"/>
      <c r="FS11" s="343"/>
      <c r="FT11" s="8"/>
      <c r="FU11" s="87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</row>
    <row r="12" ht="12.75" customHeight="1">
      <c r="A12" s="1">
        <v>48.0</v>
      </c>
      <c r="B12" s="1"/>
      <c r="C12" s="50">
        <f>(701+30)*D51</f>
        <v>731</v>
      </c>
      <c r="D12" s="338">
        <f>(164+30)*G51</f>
        <v>194</v>
      </c>
      <c r="E12" s="1"/>
      <c r="F12" s="1"/>
      <c r="G12" s="7">
        <f>D58</f>
        <v>20</v>
      </c>
      <c r="H12" s="8">
        <f t="shared" si="3"/>
        <v>0</v>
      </c>
      <c r="I12" s="8">
        <f t="shared" si="4"/>
        <v>0</v>
      </c>
      <c r="J12" s="8" t="s">
        <v>40</v>
      </c>
      <c r="K12" s="9" t="s">
        <v>5</v>
      </c>
      <c r="L12" s="7" t="str">
        <f>D60</f>
        <v/>
      </c>
      <c r="M12" s="4">
        <f t="shared" si="5"/>
        <v>0</v>
      </c>
      <c r="N12" s="4">
        <f t="shared" si="6"/>
        <v>0</v>
      </c>
      <c r="O12" s="8"/>
      <c r="P12" s="8"/>
      <c r="Q12" s="8"/>
      <c r="R12" s="8" t="s">
        <v>40</v>
      </c>
      <c r="S12" s="344" t="s">
        <v>5</v>
      </c>
      <c r="T12" s="7" t="str">
        <f>D62</f>
        <v/>
      </c>
      <c r="U12" s="340">
        <f t="shared" si="7"/>
        <v>0</v>
      </c>
      <c r="V12" s="4">
        <f t="shared" si="8"/>
        <v>0</v>
      </c>
      <c r="W12" s="8" t="s">
        <v>40</v>
      </c>
      <c r="X12" s="9" t="s">
        <v>5</v>
      </c>
      <c r="Y12" s="7" t="str">
        <f>D64</f>
        <v/>
      </c>
      <c r="Z12" s="4">
        <f t="shared" si="9"/>
        <v>0</v>
      </c>
      <c r="AA12" s="4">
        <f t="shared" si="10"/>
        <v>0</v>
      </c>
      <c r="AB12" s="8" t="s">
        <v>40</v>
      </c>
      <c r="AC12" s="9" t="s">
        <v>5</v>
      </c>
      <c r="AD12" s="1"/>
      <c r="AE12" s="1"/>
      <c r="AF12" s="1" t="str">
        <f t="shared" si="11"/>
        <v/>
      </c>
      <c r="AG12" s="1">
        <f t="shared" si="14"/>
        <v>0</v>
      </c>
      <c r="AH12" s="1">
        <f t="shared" si="15"/>
        <v>0</v>
      </c>
      <c r="AI12" s="8" t="s">
        <v>40</v>
      </c>
      <c r="AJ12" s="9" t="s">
        <v>5</v>
      </c>
      <c r="AK12" s="1"/>
      <c r="AL12" s="1" t="str">
        <f t="shared" si="12"/>
        <v/>
      </c>
      <c r="AM12" s="1">
        <f t="shared" ref="AM12:AN12" si="25">IF($AL12=$A12,C12,0)</f>
        <v>0</v>
      </c>
      <c r="AN12" s="1">
        <f t="shared" si="25"/>
        <v>0</v>
      </c>
      <c r="AO12" s="8" t="s">
        <v>40</v>
      </c>
      <c r="AP12" s="9" t="s">
        <v>5</v>
      </c>
      <c r="AQ12" s="1"/>
      <c r="AR12" s="87"/>
      <c r="AS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87"/>
      <c r="BK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87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8"/>
      <c r="CT12" s="1"/>
      <c r="CU12" s="1"/>
      <c r="CV12" s="1"/>
      <c r="CW12" s="1"/>
      <c r="CX12" s="1"/>
      <c r="CY12" s="1"/>
      <c r="CZ12" s="87"/>
      <c r="DA12" s="1"/>
      <c r="DB12" s="1"/>
      <c r="DC12" s="1"/>
      <c r="DD12" s="1"/>
      <c r="DE12" s="1"/>
      <c r="DF12" s="1"/>
      <c r="DG12" s="1"/>
      <c r="DH12" s="1"/>
      <c r="DI12" s="341"/>
      <c r="DJ12" s="1"/>
      <c r="DK12" s="1"/>
      <c r="DL12" s="1"/>
      <c r="DM12" s="1"/>
      <c r="DN12" s="1"/>
      <c r="DO12" s="1"/>
      <c r="DP12" s="1"/>
      <c r="DQ12" s="1"/>
      <c r="DR12" s="1"/>
      <c r="EU12" s="1"/>
      <c r="EV12" s="1"/>
      <c r="EW12" s="1"/>
      <c r="EX12" s="1"/>
      <c r="EZ12" s="1"/>
      <c r="FA12" s="1"/>
      <c r="FC12" s="1"/>
      <c r="FD12" s="87"/>
      <c r="FE12" s="1"/>
      <c r="FF12" s="142"/>
      <c r="FG12" s="342"/>
      <c r="FH12" s="1"/>
      <c r="FI12" s="342"/>
      <c r="FJ12" s="232"/>
      <c r="FK12" s="343"/>
      <c r="FL12" s="343"/>
      <c r="FM12" s="343"/>
      <c r="FN12" s="343"/>
      <c r="FO12" s="8"/>
      <c r="FP12" s="8"/>
      <c r="FQ12" s="8"/>
      <c r="FR12" s="343"/>
      <c r="FS12" s="343"/>
      <c r="FT12" s="8"/>
      <c r="FU12" s="87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</row>
    <row r="13" ht="12.75" customHeight="1">
      <c r="A13" s="1">
        <v>52.0</v>
      </c>
      <c r="B13" s="1"/>
      <c r="C13" s="50">
        <f>(798+32.5)*D51</f>
        <v>830.5</v>
      </c>
      <c r="D13" s="338">
        <f>(182+32.5)*G51</f>
        <v>214.5</v>
      </c>
      <c r="E13" s="1"/>
      <c r="F13" s="1"/>
      <c r="G13" s="7">
        <f>D58</f>
        <v>20</v>
      </c>
      <c r="H13" s="8">
        <f t="shared" si="3"/>
        <v>0</v>
      </c>
      <c r="I13" s="8">
        <f t="shared" si="4"/>
        <v>0</v>
      </c>
      <c r="J13" s="8">
        <f>H17+D43+D46</f>
        <v>335.5</v>
      </c>
      <c r="K13" s="9">
        <f>I18+G43+G46</f>
        <v>0</v>
      </c>
      <c r="L13" s="7" t="str">
        <f>D60</f>
        <v/>
      </c>
      <c r="M13" s="4">
        <f t="shared" si="5"/>
        <v>0</v>
      </c>
      <c r="N13" s="4">
        <f t="shared" si="6"/>
        <v>0</v>
      </c>
      <c r="O13" s="8"/>
      <c r="P13" s="8"/>
      <c r="Q13" s="8"/>
      <c r="R13" s="8">
        <f>M17</f>
        <v>0</v>
      </c>
      <c r="S13" s="344">
        <f>N18</f>
        <v>0</v>
      </c>
      <c r="T13" s="7" t="str">
        <f>D62</f>
        <v/>
      </c>
      <c r="U13" s="340">
        <f t="shared" si="7"/>
        <v>0</v>
      </c>
      <c r="V13" s="4">
        <f t="shared" si="8"/>
        <v>0</v>
      </c>
      <c r="W13" s="8">
        <f>U17</f>
        <v>0</v>
      </c>
      <c r="X13" s="9">
        <f>V18</f>
        <v>0</v>
      </c>
      <c r="Y13" s="7" t="str">
        <f>D64</f>
        <v/>
      </c>
      <c r="Z13" s="4">
        <f t="shared" si="9"/>
        <v>0</v>
      </c>
      <c r="AA13" s="4">
        <f t="shared" si="10"/>
        <v>0</v>
      </c>
      <c r="AB13" s="8">
        <f>Z17</f>
        <v>0</v>
      </c>
      <c r="AC13" s="9">
        <f>AA18</f>
        <v>0</v>
      </c>
      <c r="AD13" s="1"/>
      <c r="AE13" s="1"/>
      <c r="AF13" s="1" t="str">
        <f t="shared" si="11"/>
        <v/>
      </c>
      <c r="AG13" s="1">
        <f t="shared" si="14"/>
        <v>0</v>
      </c>
      <c r="AH13" s="1">
        <f t="shared" si="15"/>
        <v>0</v>
      </c>
      <c r="AI13" s="1">
        <f t="shared" ref="AI13:AJ13" si="26">AG17</f>
        <v>0</v>
      </c>
      <c r="AJ13" s="1">
        <f t="shared" si="26"/>
        <v>0</v>
      </c>
      <c r="AK13" s="1"/>
      <c r="AL13" s="1" t="str">
        <f t="shared" si="12"/>
        <v/>
      </c>
      <c r="AM13" s="1">
        <f t="shared" ref="AM13:AN13" si="27">IF($AL13=$A13,C13,0)</f>
        <v>0</v>
      </c>
      <c r="AN13" s="1">
        <f t="shared" si="27"/>
        <v>0</v>
      </c>
      <c r="AO13" s="1">
        <f t="shared" ref="AO13:AP13" si="28">AM17</f>
        <v>0</v>
      </c>
      <c r="AP13" s="8">
        <f t="shared" si="28"/>
        <v>0</v>
      </c>
      <c r="AQ13" s="1"/>
      <c r="AR13" s="87"/>
      <c r="AS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87"/>
      <c r="BK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87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8"/>
      <c r="CT13" s="1"/>
      <c r="CU13" s="1"/>
      <c r="CV13" s="1"/>
      <c r="CW13" s="1"/>
      <c r="CX13" s="1"/>
      <c r="CY13" s="1"/>
      <c r="CZ13" s="87"/>
      <c r="DA13" s="1"/>
      <c r="DB13" s="1"/>
      <c r="DC13" s="1"/>
      <c r="DD13" s="1"/>
      <c r="DE13" s="1"/>
      <c r="DF13" s="1"/>
      <c r="DG13" s="1"/>
      <c r="DH13" s="1"/>
      <c r="DI13" s="341"/>
      <c r="DJ13" s="1"/>
      <c r="DK13" s="1"/>
      <c r="DL13" s="1"/>
      <c r="DM13" s="1"/>
      <c r="DN13" s="1"/>
      <c r="DO13" s="1"/>
      <c r="DP13" s="1"/>
      <c r="DQ13" s="1"/>
      <c r="DR13" s="1"/>
      <c r="EU13" s="1"/>
      <c r="EV13" s="1"/>
      <c r="EW13" s="1"/>
      <c r="EX13" s="1"/>
      <c r="EZ13" s="1"/>
      <c r="FA13" s="1"/>
      <c r="FC13" s="1"/>
      <c r="FD13" s="87"/>
      <c r="FE13" s="1"/>
      <c r="FF13" s="142"/>
      <c r="FG13" s="342"/>
      <c r="FH13" s="1"/>
      <c r="FI13" s="342"/>
      <c r="FJ13" s="232"/>
      <c r="FK13" s="343"/>
      <c r="FL13" s="343"/>
      <c r="FM13" s="343"/>
      <c r="FN13" s="343"/>
      <c r="FO13" s="8"/>
      <c r="FP13" s="8"/>
      <c r="FQ13" s="8"/>
      <c r="FR13" s="343"/>
      <c r="FS13" s="343"/>
      <c r="FT13" s="8"/>
      <c r="FU13" s="87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</row>
    <row r="14" ht="12.75" customHeight="1">
      <c r="A14" s="1">
        <v>56.0</v>
      </c>
      <c r="B14" s="1"/>
      <c r="C14" s="50">
        <f>(841+35)*D51</f>
        <v>876</v>
      </c>
      <c r="D14" s="338">
        <f>(194+35)*G51</f>
        <v>229</v>
      </c>
      <c r="E14" s="1"/>
      <c r="F14" s="1"/>
      <c r="G14" s="7">
        <f>D58</f>
        <v>20</v>
      </c>
      <c r="H14" s="8">
        <f t="shared" si="3"/>
        <v>0</v>
      </c>
      <c r="I14" s="8">
        <f t="shared" si="4"/>
        <v>0</v>
      </c>
      <c r="J14" s="8"/>
      <c r="K14" s="9">
        <f>I18+(G43+G46)*D52</f>
        <v>0</v>
      </c>
      <c r="L14" s="7" t="str">
        <f>D60</f>
        <v/>
      </c>
      <c r="M14" s="4">
        <f t="shared" si="5"/>
        <v>0</v>
      </c>
      <c r="N14" s="4">
        <f t="shared" si="6"/>
        <v>0</v>
      </c>
      <c r="O14" s="8"/>
      <c r="P14" s="8"/>
      <c r="Q14" s="8"/>
      <c r="R14" s="8"/>
      <c r="S14" s="344"/>
      <c r="T14" s="7" t="str">
        <f>D62</f>
        <v/>
      </c>
      <c r="U14" s="340">
        <f t="shared" si="7"/>
        <v>0</v>
      </c>
      <c r="V14" s="4">
        <f t="shared" si="8"/>
        <v>0</v>
      </c>
      <c r="W14" s="8"/>
      <c r="X14" s="9"/>
      <c r="Y14" s="7" t="str">
        <f>D64</f>
        <v/>
      </c>
      <c r="Z14" s="4">
        <f t="shared" si="9"/>
        <v>0</v>
      </c>
      <c r="AA14" s="4">
        <f t="shared" si="10"/>
        <v>0</v>
      </c>
      <c r="AB14" s="8"/>
      <c r="AC14" s="9"/>
      <c r="AD14" s="1"/>
      <c r="AE14" s="1"/>
      <c r="AF14" s="1" t="str">
        <f t="shared" si="11"/>
        <v/>
      </c>
      <c r="AG14" s="1">
        <f t="shared" si="14"/>
        <v>0</v>
      </c>
      <c r="AH14" s="1">
        <f t="shared" si="15"/>
        <v>0</v>
      </c>
      <c r="AI14" s="1"/>
      <c r="AJ14" s="1"/>
      <c r="AK14" s="1"/>
      <c r="AL14" s="1" t="str">
        <f t="shared" si="12"/>
        <v/>
      </c>
      <c r="AM14" s="1">
        <f t="shared" ref="AM14:AN14" si="29">IF($AL14=$A14,C14,0)</f>
        <v>0</v>
      </c>
      <c r="AN14" s="1">
        <f t="shared" si="29"/>
        <v>0</v>
      </c>
      <c r="AO14" s="1"/>
      <c r="AP14" s="8"/>
      <c r="AQ14" s="1"/>
      <c r="AR14" s="87"/>
      <c r="AS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87"/>
      <c r="BK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87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8"/>
      <c r="CT14" s="1"/>
      <c r="CU14" s="1"/>
      <c r="CV14" s="1"/>
      <c r="CW14" s="1"/>
      <c r="CX14" s="1"/>
      <c r="CY14" s="1"/>
      <c r="CZ14" s="87"/>
      <c r="DA14" s="1"/>
      <c r="DB14" s="1"/>
      <c r="DC14" s="1"/>
      <c r="DD14" s="1"/>
      <c r="DE14" s="1"/>
      <c r="DF14" s="1"/>
      <c r="DG14" s="1"/>
      <c r="DH14" s="1"/>
      <c r="DI14" s="341"/>
      <c r="DJ14" s="1"/>
      <c r="DK14" s="1"/>
      <c r="DL14" s="1"/>
      <c r="DM14" s="1"/>
      <c r="DN14" s="1"/>
      <c r="DO14" s="1"/>
      <c r="DP14" s="1"/>
      <c r="DQ14" s="1"/>
      <c r="DR14" s="1"/>
      <c r="EU14" s="1"/>
      <c r="EV14" s="1"/>
      <c r="EW14" s="1"/>
      <c r="EX14" s="1"/>
      <c r="EZ14" s="1"/>
      <c r="FA14" s="1"/>
      <c r="FC14" s="1"/>
      <c r="FD14" s="87"/>
      <c r="FE14" s="1"/>
      <c r="FF14" s="142"/>
      <c r="FG14" s="342"/>
      <c r="FH14" s="1"/>
      <c r="FI14" s="342"/>
      <c r="FJ14" s="232"/>
      <c r="FK14" s="343"/>
      <c r="FL14" s="343"/>
      <c r="FM14" s="343"/>
      <c r="FN14" s="343"/>
      <c r="FO14" s="8"/>
      <c r="FP14" s="8"/>
      <c r="FQ14" s="8"/>
      <c r="FR14" s="343"/>
      <c r="FS14" s="343"/>
      <c r="FT14" s="8"/>
      <c r="FU14" s="87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</row>
    <row r="15" ht="12.75" customHeight="1">
      <c r="A15" s="1">
        <v>60.0</v>
      </c>
      <c r="B15" s="1"/>
      <c r="C15" s="50">
        <f>(938+37.5)*D51</f>
        <v>975.5</v>
      </c>
      <c r="D15" s="338">
        <f>(212+37.5)*G51</f>
        <v>249.5</v>
      </c>
      <c r="E15" s="1"/>
      <c r="F15" s="1"/>
      <c r="G15" s="7">
        <f>D58</f>
        <v>20</v>
      </c>
      <c r="H15" s="8">
        <f t="shared" si="3"/>
        <v>0</v>
      </c>
      <c r="I15" s="8">
        <f t="shared" si="4"/>
        <v>0</v>
      </c>
      <c r="J15" s="8"/>
      <c r="K15" s="9"/>
      <c r="L15" s="7" t="str">
        <f>D60</f>
        <v/>
      </c>
      <c r="M15" s="4">
        <f t="shared" si="5"/>
        <v>0</v>
      </c>
      <c r="N15" s="4">
        <f t="shared" si="6"/>
        <v>0</v>
      </c>
      <c r="O15" s="8"/>
      <c r="P15" s="8"/>
      <c r="Q15" s="8"/>
      <c r="R15" s="8"/>
      <c r="S15" s="344"/>
      <c r="T15" s="7" t="str">
        <f>D62</f>
        <v/>
      </c>
      <c r="U15" s="340">
        <f t="shared" si="7"/>
        <v>0</v>
      </c>
      <c r="V15" s="4">
        <f t="shared" si="8"/>
        <v>0</v>
      </c>
      <c r="W15" s="8"/>
      <c r="X15" s="9"/>
      <c r="Y15" s="7" t="str">
        <f>D64</f>
        <v/>
      </c>
      <c r="Z15" s="4">
        <f t="shared" si="9"/>
        <v>0</v>
      </c>
      <c r="AA15" s="4">
        <f t="shared" si="10"/>
        <v>0</v>
      </c>
      <c r="AB15" s="8"/>
      <c r="AC15" s="9"/>
      <c r="AD15" s="1"/>
      <c r="AE15" s="1"/>
      <c r="AF15" s="1" t="str">
        <f t="shared" si="11"/>
        <v/>
      </c>
      <c r="AG15" s="1">
        <f t="shared" si="14"/>
        <v>0</v>
      </c>
      <c r="AH15" s="1">
        <f t="shared" si="15"/>
        <v>0</v>
      </c>
      <c r="AI15" s="1"/>
      <c r="AJ15" s="1"/>
      <c r="AK15" s="1"/>
      <c r="AL15" s="1" t="str">
        <f t="shared" si="12"/>
        <v/>
      </c>
      <c r="AM15" s="1">
        <f t="shared" ref="AM15:AN15" si="30">IF($AL15=$A15,C15,0)</f>
        <v>0</v>
      </c>
      <c r="AN15" s="1">
        <f t="shared" si="30"/>
        <v>0</v>
      </c>
      <c r="AO15" s="1"/>
      <c r="AP15" s="8"/>
      <c r="AQ15" s="1"/>
      <c r="AR15" s="87"/>
      <c r="AS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87"/>
      <c r="BK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87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8"/>
      <c r="CT15" s="1"/>
      <c r="CU15" s="1"/>
      <c r="CV15" s="1"/>
      <c r="CW15" s="1"/>
      <c r="CX15" s="1"/>
      <c r="CY15" s="1"/>
      <c r="CZ15" s="87"/>
      <c r="DA15" s="1"/>
      <c r="DB15" s="1"/>
      <c r="DC15" s="1"/>
      <c r="DD15" s="1"/>
      <c r="DE15" s="1"/>
      <c r="DF15" s="1"/>
      <c r="DG15" s="1"/>
      <c r="DH15" s="1"/>
      <c r="DI15" s="341"/>
      <c r="DJ15" s="1"/>
      <c r="DK15" s="1"/>
      <c r="DL15" s="1"/>
      <c r="DM15" s="1"/>
      <c r="DN15" s="1"/>
      <c r="DO15" s="1"/>
      <c r="DP15" s="1"/>
      <c r="DQ15" s="1"/>
      <c r="DR15" s="1"/>
      <c r="EU15" s="1"/>
      <c r="EV15" s="1"/>
      <c r="EW15" s="1"/>
      <c r="EX15" s="1"/>
      <c r="EZ15" s="1"/>
      <c r="FA15" s="1"/>
      <c r="FC15" s="1"/>
      <c r="FD15" s="87"/>
      <c r="FE15" s="1"/>
      <c r="FF15" s="142"/>
      <c r="FG15" s="342"/>
      <c r="FH15" s="1"/>
      <c r="FI15" s="342"/>
      <c r="FJ15" s="232"/>
      <c r="FK15" s="343"/>
      <c r="FL15" s="343"/>
      <c r="FM15" s="343"/>
      <c r="FN15" s="343"/>
      <c r="FO15" s="8"/>
      <c r="FP15" s="8"/>
      <c r="FQ15" s="8"/>
      <c r="FR15" s="343"/>
      <c r="FS15" s="343"/>
      <c r="FT15" s="8"/>
      <c r="FU15" s="87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</row>
    <row r="16" ht="12.75" customHeight="1">
      <c r="A16" s="1">
        <v>64.0</v>
      </c>
      <c r="B16" s="1"/>
      <c r="C16" s="50">
        <f>(981+40)*D51</f>
        <v>1021</v>
      </c>
      <c r="D16" s="338">
        <f>(224+40)*G51</f>
        <v>264</v>
      </c>
      <c r="E16" s="1"/>
      <c r="F16" s="1"/>
      <c r="G16" s="7">
        <f>D58</f>
        <v>20</v>
      </c>
      <c r="H16" s="8">
        <f t="shared" si="3"/>
        <v>0</v>
      </c>
      <c r="I16" s="8">
        <f t="shared" si="4"/>
        <v>0</v>
      </c>
      <c r="J16" s="8"/>
      <c r="K16" s="9"/>
      <c r="L16" s="7" t="str">
        <f>D60</f>
        <v/>
      </c>
      <c r="M16" s="4">
        <f t="shared" si="5"/>
        <v>0</v>
      </c>
      <c r="N16" s="4">
        <f t="shared" si="6"/>
        <v>0</v>
      </c>
      <c r="O16" s="8"/>
      <c r="P16" s="8"/>
      <c r="Q16" s="8"/>
      <c r="R16" s="8"/>
      <c r="S16" s="344"/>
      <c r="T16" s="7" t="str">
        <f>D62</f>
        <v/>
      </c>
      <c r="U16" s="340">
        <f t="shared" si="7"/>
        <v>0</v>
      </c>
      <c r="V16" s="4">
        <f t="shared" si="8"/>
        <v>0</v>
      </c>
      <c r="W16" s="8"/>
      <c r="X16" s="9"/>
      <c r="Y16" s="7" t="str">
        <f>D64</f>
        <v/>
      </c>
      <c r="Z16" s="4">
        <f t="shared" si="9"/>
        <v>0</v>
      </c>
      <c r="AA16" s="4">
        <f t="shared" si="10"/>
        <v>0</v>
      </c>
      <c r="AB16" s="8"/>
      <c r="AC16" s="9"/>
      <c r="AD16" s="1"/>
      <c r="AE16" s="1"/>
      <c r="AF16" s="1" t="str">
        <f t="shared" si="11"/>
        <v/>
      </c>
      <c r="AG16" s="1">
        <f t="shared" si="14"/>
        <v>0</v>
      </c>
      <c r="AH16" s="1">
        <f t="shared" si="15"/>
        <v>0</v>
      </c>
      <c r="AI16" s="1"/>
      <c r="AJ16" s="1"/>
      <c r="AK16" s="1"/>
      <c r="AL16" s="1" t="str">
        <f t="shared" si="12"/>
        <v/>
      </c>
      <c r="AM16" s="1">
        <f t="shared" ref="AM16:AN16" si="31">IF($AL16=$A16,C16,0)</f>
        <v>0</v>
      </c>
      <c r="AN16" s="1">
        <f t="shared" si="31"/>
        <v>0</v>
      </c>
      <c r="AO16" s="1"/>
      <c r="AP16" s="8"/>
      <c r="AQ16" s="1"/>
      <c r="AR16" s="87"/>
      <c r="AS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87"/>
      <c r="BK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87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8"/>
      <c r="CT16" s="1"/>
      <c r="CU16" s="1"/>
      <c r="CV16" s="1"/>
      <c r="CW16" s="1"/>
      <c r="CX16" s="1"/>
      <c r="CY16" s="1"/>
      <c r="CZ16" s="87"/>
      <c r="DA16" s="1"/>
      <c r="DB16" s="1"/>
      <c r="DC16" s="1"/>
      <c r="DD16" s="1"/>
      <c r="DE16" s="1"/>
      <c r="DF16" s="1"/>
      <c r="DG16" s="1"/>
      <c r="DH16" s="1"/>
      <c r="DI16" s="341"/>
      <c r="DJ16" s="1"/>
      <c r="DK16" s="1"/>
      <c r="DL16" s="1"/>
      <c r="DM16" s="1"/>
      <c r="DN16" s="1"/>
      <c r="DO16" s="1"/>
      <c r="DP16" s="1"/>
      <c r="DQ16" s="1"/>
      <c r="DR16" s="1"/>
      <c r="EU16" s="1"/>
      <c r="EV16" s="1"/>
      <c r="EW16" s="1"/>
      <c r="EX16" s="1"/>
      <c r="EZ16" s="1"/>
      <c r="FA16" s="1"/>
      <c r="FC16" s="1"/>
      <c r="FD16" s="87"/>
      <c r="FE16" s="1"/>
      <c r="FF16" s="142"/>
      <c r="FG16" s="342"/>
      <c r="FH16" s="1"/>
      <c r="FI16" s="342"/>
      <c r="FJ16" s="232"/>
      <c r="FK16" s="343"/>
      <c r="FL16" s="343"/>
      <c r="FM16" s="343"/>
      <c r="FN16" s="343"/>
      <c r="FO16" s="8"/>
      <c r="FP16" s="8"/>
      <c r="FQ16" s="8"/>
      <c r="FR16" s="343"/>
      <c r="FS16" s="343"/>
      <c r="FT16" s="8"/>
      <c r="FU16" s="87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</row>
    <row r="17" ht="12.75" customHeight="1">
      <c r="A17" s="1"/>
      <c r="B17" s="1"/>
      <c r="C17" s="63"/>
      <c r="D17" s="1"/>
      <c r="E17" s="1"/>
      <c r="F17" s="1"/>
      <c r="G17" s="7"/>
      <c r="H17" s="8">
        <f t="shared" ref="H17:I17" si="32">SUM(H1:H16)</f>
        <v>335.5</v>
      </c>
      <c r="I17" s="8">
        <f t="shared" si="32"/>
        <v>82.5</v>
      </c>
      <c r="J17" s="8"/>
      <c r="K17" s="9"/>
      <c r="L17" s="7"/>
      <c r="M17" s="8">
        <f t="shared" ref="M17:N17" si="33">SUM(M2:M16,M1)</f>
        <v>0</v>
      </c>
      <c r="N17" s="8">
        <f t="shared" si="33"/>
        <v>0</v>
      </c>
      <c r="O17" s="8"/>
      <c r="P17" s="8"/>
      <c r="Q17" s="8"/>
      <c r="R17" s="8"/>
      <c r="S17" s="344"/>
      <c r="T17" s="7"/>
      <c r="U17" s="87">
        <f t="shared" ref="U17:V17" si="34">SUM(U2:U16,U1)</f>
        <v>0</v>
      </c>
      <c r="V17" s="8">
        <f t="shared" si="34"/>
        <v>0</v>
      </c>
      <c r="W17" s="8"/>
      <c r="X17" s="9"/>
      <c r="Y17" s="7"/>
      <c r="Z17" s="8">
        <f t="shared" ref="Z17:AA17" si="35">SUM(Z2:Z16,Z1)</f>
        <v>0</v>
      </c>
      <c r="AA17" s="8">
        <f t="shared" si="35"/>
        <v>0</v>
      </c>
      <c r="AB17" s="8"/>
      <c r="AC17" s="9"/>
      <c r="AD17" s="1"/>
      <c r="AE17" s="1"/>
      <c r="AF17" s="1"/>
      <c r="AG17" s="1">
        <f t="shared" ref="AG17:AH17" si="36">SUM(AG1:AG16)</f>
        <v>0</v>
      </c>
      <c r="AH17" s="1">
        <f t="shared" si="36"/>
        <v>0</v>
      </c>
      <c r="AI17" s="1"/>
      <c r="AJ17" s="1"/>
      <c r="AK17" s="1"/>
      <c r="AL17" s="1"/>
      <c r="AM17" s="1">
        <f t="shared" ref="AM17:AN17" si="37">SUM(AM1:AM16)</f>
        <v>0</v>
      </c>
      <c r="AN17" s="1">
        <f t="shared" si="37"/>
        <v>0</v>
      </c>
      <c r="AO17" s="1"/>
      <c r="AP17" s="8"/>
      <c r="AQ17" s="1"/>
      <c r="AR17" s="87"/>
      <c r="AS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87"/>
      <c r="BK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87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8"/>
      <c r="CT17" s="1"/>
      <c r="CU17" s="1"/>
      <c r="CV17" s="1"/>
      <c r="CW17" s="1"/>
      <c r="CX17" s="1"/>
      <c r="CY17" s="1"/>
      <c r="CZ17" s="87"/>
      <c r="DA17" s="1"/>
      <c r="DB17" s="1"/>
      <c r="DC17" s="1"/>
      <c r="DD17" s="1"/>
      <c r="DE17" s="1"/>
      <c r="DF17" s="1"/>
      <c r="DG17" s="1"/>
      <c r="DH17" s="1"/>
      <c r="DI17" s="341"/>
      <c r="DJ17" s="1"/>
      <c r="DK17" s="1"/>
      <c r="DL17" s="1"/>
      <c r="DM17" s="1"/>
      <c r="DN17" s="1"/>
      <c r="DO17" s="1"/>
      <c r="DP17" s="1"/>
      <c r="DQ17" s="1"/>
      <c r="DR17" s="1"/>
      <c r="EU17" s="1"/>
      <c r="EV17" s="1"/>
      <c r="EW17" s="1"/>
      <c r="EX17" s="1"/>
      <c r="EZ17" s="1"/>
      <c r="FA17" s="1"/>
      <c r="FC17" s="1"/>
      <c r="FD17" s="87"/>
      <c r="FE17" s="1"/>
      <c r="FF17" s="142"/>
      <c r="FG17" s="342"/>
      <c r="FH17" s="1"/>
      <c r="FI17" s="342"/>
      <c r="FJ17" s="232"/>
      <c r="FK17" s="343"/>
      <c r="FL17" s="343"/>
      <c r="FM17" s="343"/>
      <c r="FN17" s="343"/>
      <c r="FO17" s="8"/>
      <c r="FP17" s="8"/>
      <c r="FQ17" s="8"/>
      <c r="FR17" s="343"/>
      <c r="FS17" s="343"/>
      <c r="FT17" s="8"/>
      <c r="FU17" s="87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</row>
    <row r="18" ht="12.75" customHeight="1">
      <c r="A18" s="1"/>
      <c r="B18" s="1"/>
      <c r="C18" s="63"/>
      <c r="D18" s="1"/>
      <c r="E18" s="1"/>
      <c r="F18" s="1"/>
      <c r="G18" s="12" t="s">
        <v>261</v>
      </c>
      <c r="H18" s="13"/>
      <c r="I18" s="13">
        <f>I17*D52</f>
        <v>0</v>
      </c>
      <c r="J18" s="13"/>
      <c r="K18" s="15"/>
      <c r="L18" s="12" t="s">
        <v>262</v>
      </c>
      <c r="M18" s="13"/>
      <c r="N18" s="13">
        <f>N17*D52</f>
        <v>0</v>
      </c>
      <c r="O18" s="13"/>
      <c r="P18" s="13"/>
      <c r="Q18" s="13"/>
      <c r="R18" s="13"/>
      <c r="S18" s="345"/>
      <c r="T18" s="12" t="s">
        <v>263</v>
      </c>
      <c r="U18" s="346"/>
      <c r="V18" s="13">
        <f>V17*D52</f>
        <v>0</v>
      </c>
      <c r="W18" s="13"/>
      <c r="X18" s="15"/>
      <c r="Y18" s="12" t="s">
        <v>264</v>
      </c>
      <c r="Z18" s="13"/>
      <c r="AA18" s="13">
        <f>AA17*D52</f>
        <v>0</v>
      </c>
      <c r="AB18" s="13"/>
      <c r="AC18" s="15"/>
      <c r="AD18" s="1"/>
      <c r="AE18" s="1"/>
      <c r="AF18" s="1" t="s">
        <v>265</v>
      </c>
      <c r="AG18" s="1"/>
      <c r="AH18" s="1"/>
      <c r="AI18" s="1"/>
      <c r="AJ18" s="1"/>
      <c r="AK18" s="1"/>
      <c r="AL18" s="1" t="s">
        <v>266</v>
      </c>
      <c r="AM18" s="1"/>
      <c r="AN18" s="1"/>
      <c r="AO18" s="1"/>
      <c r="AP18" s="8"/>
      <c r="AQ18" s="1"/>
      <c r="AR18" s="87"/>
      <c r="AS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87"/>
      <c r="BK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87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8"/>
      <c r="CT18" s="1"/>
      <c r="CU18" s="1"/>
      <c r="CV18" s="1"/>
      <c r="CW18" s="1"/>
      <c r="CX18" s="1"/>
      <c r="CY18" s="1"/>
      <c r="CZ18" s="87"/>
      <c r="DA18" s="1"/>
      <c r="DB18" s="1"/>
      <c r="DC18" s="1"/>
      <c r="DD18" s="1"/>
      <c r="DE18" s="1"/>
      <c r="DF18" s="1"/>
      <c r="DG18" s="1"/>
      <c r="DH18" s="1"/>
      <c r="DI18" s="341"/>
      <c r="DJ18" s="1"/>
      <c r="DK18" s="1"/>
      <c r="DL18" s="1"/>
      <c r="DM18" s="1"/>
      <c r="DN18" s="1"/>
      <c r="DO18" s="1"/>
      <c r="DP18" s="1"/>
      <c r="DQ18" s="1"/>
      <c r="DR18" s="1"/>
      <c r="EU18" s="1"/>
      <c r="EV18" s="1"/>
      <c r="EW18" s="1"/>
      <c r="EX18" s="1"/>
      <c r="EZ18" s="1"/>
      <c r="FA18" s="1"/>
      <c r="FC18" s="1"/>
      <c r="FD18" s="87"/>
      <c r="FE18" s="1"/>
      <c r="FF18" s="142"/>
      <c r="FG18" s="342"/>
      <c r="FH18" s="1"/>
      <c r="FI18" s="342"/>
      <c r="FJ18" s="232"/>
      <c r="FK18" s="343"/>
      <c r="FL18" s="343"/>
      <c r="FM18" s="343"/>
      <c r="FN18" s="343"/>
      <c r="FO18" s="8"/>
      <c r="FP18" s="8"/>
      <c r="FQ18" s="8"/>
      <c r="FR18" s="343"/>
      <c r="FS18" s="343"/>
      <c r="FT18" s="8"/>
      <c r="FU18" s="87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</row>
    <row r="19" ht="9.0" customHeight="1">
      <c r="A19" s="1" t="s">
        <v>267</v>
      </c>
      <c r="B19" s="1"/>
      <c r="C19" s="63"/>
      <c r="D19" s="1"/>
      <c r="E19" s="347" t="s">
        <v>268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S19" s="63"/>
      <c r="T19" s="1"/>
      <c r="U19" s="87" t="s">
        <v>269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8"/>
      <c r="AQ19" s="1"/>
      <c r="AR19" s="87"/>
      <c r="AS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87"/>
      <c r="BK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87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8"/>
      <c r="CT19" s="1"/>
      <c r="CU19" s="1"/>
      <c r="CV19" s="1"/>
      <c r="CW19" s="1"/>
      <c r="CX19" s="1"/>
      <c r="CY19" s="1"/>
      <c r="CZ19" s="87"/>
      <c r="DA19" s="1"/>
      <c r="DB19" s="1"/>
      <c r="DC19" s="1"/>
      <c r="DD19" s="1"/>
      <c r="DE19" s="1"/>
      <c r="DF19" s="1"/>
      <c r="DG19" s="1"/>
      <c r="DH19" s="1"/>
      <c r="DI19" s="341"/>
      <c r="DJ19" s="1"/>
      <c r="DK19" s="1"/>
      <c r="DL19" s="1"/>
      <c r="DM19" s="1"/>
      <c r="DN19" s="1"/>
      <c r="DO19" s="1"/>
      <c r="DP19" s="1"/>
      <c r="DQ19" s="1"/>
      <c r="DR19" s="1"/>
      <c r="EU19" s="1"/>
      <c r="EV19" s="1"/>
      <c r="EW19" s="1"/>
      <c r="EX19" s="1"/>
      <c r="EZ19" s="1"/>
      <c r="FA19" s="1"/>
      <c r="FC19" s="1"/>
      <c r="FD19" s="87"/>
      <c r="FE19" s="1"/>
      <c r="FF19" s="142"/>
      <c r="FG19" s="342"/>
      <c r="FH19" s="1"/>
      <c r="FI19" s="342"/>
      <c r="FJ19" s="232"/>
      <c r="FK19" s="343"/>
      <c r="FL19" s="343"/>
      <c r="FM19" s="343"/>
      <c r="FN19" s="343"/>
      <c r="FO19" s="8"/>
      <c r="FP19" s="8"/>
      <c r="FQ19" s="8"/>
      <c r="FR19" s="343"/>
      <c r="FS19" s="343"/>
      <c r="FT19" s="8"/>
      <c r="FU19" s="87"/>
      <c r="FV19" s="1" t="s">
        <v>270</v>
      </c>
      <c r="FW19" s="8"/>
      <c r="FX19" s="8"/>
      <c r="FY19" s="8"/>
      <c r="FZ19" s="8"/>
      <c r="GA19" s="8"/>
      <c r="GB19" s="8"/>
      <c r="GC19" s="8"/>
      <c r="GD19" s="8"/>
      <c r="GE19" s="8"/>
      <c r="GF19" s="8"/>
    </row>
    <row r="20" ht="24.0" customHeight="1">
      <c r="A20" s="348" t="s">
        <v>11</v>
      </c>
      <c r="B20" s="348" t="s">
        <v>12</v>
      </c>
      <c r="C20" s="349" t="s">
        <v>13</v>
      </c>
      <c r="D20" s="348" t="s">
        <v>14</v>
      </c>
      <c r="E20" s="350" t="s">
        <v>271</v>
      </c>
      <c r="F20" s="351"/>
      <c r="G20" s="351" t="s">
        <v>272</v>
      </c>
      <c r="H20" s="351" t="s">
        <v>273</v>
      </c>
      <c r="I20" s="351" t="s">
        <v>274</v>
      </c>
      <c r="J20" s="351" t="s">
        <v>275</v>
      </c>
      <c r="K20" s="351" t="s">
        <v>276</v>
      </c>
      <c r="L20" s="351" t="s">
        <v>277</v>
      </c>
      <c r="M20" s="352" t="s">
        <v>278</v>
      </c>
      <c r="N20" s="348"/>
      <c r="O20" s="348"/>
      <c r="P20" s="348"/>
      <c r="Q20" s="348"/>
      <c r="R20" s="353" t="s">
        <v>279</v>
      </c>
      <c r="S20" s="349"/>
      <c r="T20" s="348"/>
      <c r="U20" s="354"/>
      <c r="V20" s="348"/>
      <c r="W20" s="348"/>
      <c r="X20" s="348"/>
      <c r="Y20" s="348"/>
      <c r="Z20" s="348"/>
      <c r="AA20" s="348"/>
      <c r="AB20" s="348"/>
      <c r="AC20" s="348"/>
      <c r="AD20" s="348"/>
      <c r="AE20" s="348"/>
      <c r="AF20" s="348"/>
      <c r="AG20" s="348"/>
      <c r="AH20" s="348"/>
      <c r="AI20" s="348"/>
      <c r="AJ20" s="348"/>
      <c r="AK20" s="348"/>
      <c r="AL20" s="348"/>
      <c r="AM20" s="348"/>
      <c r="AN20" s="348"/>
      <c r="AO20" s="348"/>
      <c r="AP20" s="348"/>
      <c r="AQ20" s="348"/>
      <c r="AR20" s="354" t="s">
        <v>280</v>
      </c>
      <c r="AS20" s="348"/>
      <c r="AT20" s="348"/>
      <c r="AU20" s="348"/>
      <c r="AV20" s="348"/>
      <c r="AW20" s="348"/>
      <c r="AX20" s="348"/>
      <c r="AY20" s="348"/>
      <c r="AZ20" s="348"/>
      <c r="BA20" s="348"/>
      <c r="BB20" s="348"/>
      <c r="BC20" s="348"/>
      <c r="BD20" s="348"/>
      <c r="BE20" s="348"/>
      <c r="BF20" s="348"/>
      <c r="BG20" s="348"/>
      <c r="BH20" s="348"/>
      <c r="BI20" s="348"/>
      <c r="BJ20" s="354"/>
      <c r="BK20" s="348"/>
      <c r="BL20" s="348"/>
      <c r="BM20" s="348"/>
      <c r="BN20" s="348"/>
      <c r="BO20" s="348"/>
      <c r="BP20" s="348"/>
      <c r="BQ20" s="348"/>
      <c r="BR20" s="348"/>
      <c r="BS20" s="348"/>
      <c r="BT20" s="348"/>
      <c r="BU20" s="348"/>
      <c r="BV20" s="348"/>
      <c r="BW20" s="348"/>
      <c r="BX20" s="348"/>
      <c r="BY20" s="348"/>
      <c r="BZ20" s="348"/>
      <c r="CA20" s="348"/>
      <c r="CB20" s="348"/>
      <c r="CC20" s="348"/>
      <c r="CD20" s="354"/>
      <c r="CE20" s="348"/>
      <c r="CF20" s="348"/>
      <c r="CG20" s="348"/>
      <c r="CH20" s="348"/>
      <c r="CI20" s="348"/>
      <c r="CJ20" s="348"/>
      <c r="CK20" s="348"/>
      <c r="CL20" s="348"/>
      <c r="CM20" s="348"/>
      <c r="CN20" s="348"/>
      <c r="CO20" s="348"/>
      <c r="CP20" s="348"/>
      <c r="CQ20" s="348"/>
      <c r="CR20" s="348"/>
      <c r="CS20" s="348"/>
      <c r="CT20" s="348"/>
      <c r="CU20" s="348"/>
      <c r="CV20" s="348"/>
      <c r="CW20" s="348"/>
      <c r="CX20" s="348"/>
      <c r="CY20" s="348"/>
      <c r="CZ20" s="354"/>
      <c r="DA20" s="348"/>
      <c r="DB20" s="348"/>
      <c r="DC20" s="348"/>
      <c r="DD20" s="348"/>
      <c r="DE20" s="348"/>
      <c r="DF20" s="348"/>
      <c r="DG20" s="348"/>
      <c r="DH20" s="348"/>
      <c r="DI20" s="355"/>
      <c r="DJ20" s="348"/>
      <c r="DK20" s="348"/>
      <c r="DL20" s="348"/>
      <c r="DM20" s="348"/>
      <c r="DN20" s="348"/>
      <c r="DO20" s="348"/>
      <c r="DP20" s="348"/>
      <c r="DQ20" s="348"/>
      <c r="DR20" s="348"/>
      <c r="DS20" s="348"/>
      <c r="DT20" s="348"/>
      <c r="DU20" s="348"/>
      <c r="DV20" s="348"/>
      <c r="DW20" s="348"/>
      <c r="DX20" s="348"/>
      <c r="DY20" s="348"/>
      <c r="DZ20" s="348"/>
      <c r="EA20" s="348"/>
      <c r="EB20" s="348"/>
      <c r="EC20" s="348"/>
      <c r="ED20" s="348"/>
      <c r="EE20" s="348"/>
      <c r="EF20" s="348"/>
      <c r="EG20" s="348"/>
      <c r="EH20" s="348"/>
      <c r="EI20" s="348"/>
      <c r="EJ20" s="348"/>
      <c r="EK20" s="348"/>
      <c r="EL20" s="348"/>
      <c r="EM20" s="348"/>
      <c r="EN20" s="348"/>
      <c r="EO20" s="348"/>
      <c r="EP20" s="348"/>
      <c r="EQ20" s="348"/>
      <c r="ER20" s="348"/>
      <c r="ES20" s="348"/>
      <c r="ET20" s="348"/>
      <c r="EU20" s="348"/>
      <c r="EV20" s="348"/>
      <c r="EW20" s="348"/>
      <c r="EX20" s="348"/>
      <c r="EY20" s="348"/>
      <c r="EZ20" s="348"/>
      <c r="FA20" s="348"/>
      <c r="FB20" s="348"/>
      <c r="FC20" s="348"/>
      <c r="FD20" s="354"/>
      <c r="FE20" s="348"/>
      <c r="FF20" s="142" t="s">
        <v>281</v>
      </c>
      <c r="FG20" s="342" t="s">
        <v>118</v>
      </c>
      <c r="FH20" s="348"/>
      <c r="FI20" s="356"/>
      <c r="FJ20" s="356"/>
      <c r="FK20" s="357"/>
      <c r="FL20" s="357"/>
      <c r="FM20" s="357"/>
      <c r="FN20" s="357"/>
      <c r="FO20" s="348"/>
      <c r="FP20" s="348"/>
      <c r="FQ20" s="348"/>
      <c r="FR20" s="357"/>
      <c r="FS20" s="357"/>
      <c r="FT20" s="348"/>
      <c r="FU20" s="354"/>
      <c r="FV20" s="348"/>
      <c r="FW20" s="348"/>
      <c r="FX20" s="348"/>
      <c r="FY20" s="348"/>
      <c r="FZ20" s="348"/>
      <c r="GA20" s="348"/>
      <c r="GB20" s="348"/>
      <c r="GC20" s="348"/>
      <c r="GD20" s="348"/>
      <c r="GE20" s="348"/>
      <c r="GF20" s="348"/>
    </row>
    <row r="21" ht="12.75" customHeight="1">
      <c r="A21" s="1">
        <v>4.0</v>
      </c>
      <c r="B21" s="1">
        <v>2.0</v>
      </c>
      <c r="C21" s="63">
        <v>8.0</v>
      </c>
      <c r="D21" s="358">
        <v>1.0</v>
      </c>
      <c r="E21" s="38">
        <f>C1+D43+D46</f>
        <v>131</v>
      </c>
      <c r="F21" s="8">
        <f>G43+G46</f>
        <v>0</v>
      </c>
      <c r="G21" s="8">
        <f t="shared" ref="G21:G36" si="38">E21+((F21+D1))</f>
        <v>155</v>
      </c>
      <c r="H21" s="8">
        <f t="shared" ref="H21:H36" si="39">E21+((F21+D1)*2)</f>
        <v>179</v>
      </c>
      <c r="I21" s="8">
        <f t="shared" ref="I21:I36" si="40">E21+((F21+D1)*3)</f>
        <v>203</v>
      </c>
      <c r="J21" s="8">
        <f t="shared" ref="J21:J36" si="41">E21+((F21+D1)*4)</f>
        <v>227</v>
      </c>
      <c r="K21" s="8">
        <f t="shared" ref="K21:K36" si="42">E21+((F21+D1)*5)</f>
        <v>251</v>
      </c>
      <c r="L21" s="8">
        <f t="shared" ref="L21:L36" si="43">E21+((F21+D1)*6)</f>
        <v>275</v>
      </c>
      <c r="M21" s="359">
        <f t="shared" ref="M21:M36" si="44">E21+((F21+D1)*7)</f>
        <v>299</v>
      </c>
      <c r="N21" s="1"/>
      <c r="O21" s="1"/>
      <c r="P21" s="1"/>
      <c r="Q21" s="1"/>
      <c r="R21" s="360">
        <f>D1+G43+G46</f>
        <v>24</v>
      </c>
      <c r="S21" s="63"/>
      <c r="T21" s="1"/>
      <c r="U21" s="87"/>
      <c r="W21" s="1" t="s">
        <v>282</v>
      </c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8"/>
      <c r="AQ21" s="1"/>
      <c r="AR21" s="87"/>
      <c r="AS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87" t="s">
        <v>283</v>
      </c>
      <c r="BK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87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8"/>
      <c r="CT21" s="1"/>
      <c r="CU21" s="1"/>
      <c r="CV21" s="1"/>
      <c r="CW21" s="1"/>
      <c r="CX21" s="1"/>
      <c r="CY21" s="1"/>
      <c r="CZ21" s="87"/>
      <c r="DA21" s="1"/>
      <c r="DB21" s="1"/>
      <c r="DC21" s="1"/>
      <c r="DD21" s="1"/>
      <c r="DE21" s="1"/>
      <c r="DF21" s="1"/>
      <c r="DG21" s="1"/>
      <c r="DH21" s="1"/>
      <c r="DI21" s="341"/>
      <c r="DJ21" s="1"/>
      <c r="DK21" s="1"/>
      <c r="DL21" s="1"/>
      <c r="DM21" s="1"/>
      <c r="DN21" s="1"/>
      <c r="DO21" s="1"/>
      <c r="DP21" s="1"/>
      <c r="DQ21" s="1"/>
      <c r="DR21" s="1"/>
      <c r="EU21" s="1"/>
      <c r="EV21" s="1"/>
      <c r="EW21" s="1"/>
      <c r="EX21" s="1"/>
      <c r="EZ21" s="1"/>
      <c r="FA21" s="1"/>
      <c r="FC21" s="1"/>
      <c r="FD21" s="87"/>
      <c r="FE21" s="1"/>
      <c r="FF21" s="142" t="s">
        <v>284</v>
      </c>
      <c r="FG21" s="342" t="s">
        <v>120</v>
      </c>
      <c r="FH21" s="1"/>
      <c r="FI21" s="342"/>
      <c r="FJ21" s="232"/>
      <c r="FK21" s="343"/>
      <c r="FL21" s="343"/>
      <c r="FM21" s="343"/>
      <c r="FN21" s="343"/>
      <c r="FO21" s="8"/>
      <c r="FP21" s="8"/>
      <c r="FQ21" s="8"/>
      <c r="FR21" s="343"/>
      <c r="FS21" s="343"/>
      <c r="FT21" s="8"/>
      <c r="FU21" s="87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</row>
    <row r="22" ht="12.75" customHeight="1">
      <c r="A22" s="1">
        <v>8.0</v>
      </c>
      <c r="B22" s="1">
        <v>4.0</v>
      </c>
      <c r="C22" s="63">
        <v>16.0</v>
      </c>
      <c r="D22" s="361">
        <v>1.5</v>
      </c>
      <c r="E22" s="38">
        <f>C2+D43+D46</f>
        <v>158</v>
      </c>
      <c r="F22" s="8">
        <f>(G43+G46)</f>
        <v>0</v>
      </c>
      <c r="G22" s="8">
        <f t="shared" si="38"/>
        <v>193</v>
      </c>
      <c r="H22" s="8">
        <f t="shared" si="39"/>
        <v>228</v>
      </c>
      <c r="I22" s="8">
        <f t="shared" si="40"/>
        <v>263</v>
      </c>
      <c r="J22" s="8">
        <f t="shared" si="41"/>
        <v>298</v>
      </c>
      <c r="K22" s="8">
        <f t="shared" si="42"/>
        <v>333</v>
      </c>
      <c r="L22" s="8">
        <f t="shared" si="43"/>
        <v>368</v>
      </c>
      <c r="M22" s="359">
        <f t="shared" si="44"/>
        <v>403</v>
      </c>
      <c r="N22" s="1"/>
      <c r="O22" s="1"/>
      <c r="P22" s="1"/>
      <c r="Q22" s="1"/>
      <c r="R22" s="360">
        <f>D2+G43+G46</f>
        <v>35</v>
      </c>
      <c r="S22" s="63"/>
      <c r="T22" s="1"/>
      <c r="U22" s="87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8"/>
      <c r="AQ22" s="1"/>
      <c r="AR22" s="87"/>
      <c r="AS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87"/>
      <c r="BK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87" t="s">
        <v>285</v>
      </c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8"/>
      <c r="CT22" s="1"/>
      <c r="CU22" s="1"/>
      <c r="CV22" s="1"/>
      <c r="CW22" s="1"/>
      <c r="CX22" s="1"/>
      <c r="CY22" s="1"/>
      <c r="CZ22" s="87"/>
      <c r="DA22" s="1"/>
      <c r="DB22" s="1"/>
      <c r="DC22" s="1"/>
      <c r="DD22" s="1"/>
      <c r="DE22" s="1"/>
      <c r="DF22" s="1"/>
      <c r="DG22" s="1"/>
      <c r="DH22" s="1"/>
      <c r="DI22" s="341"/>
      <c r="DJ22" s="1"/>
      <c r="DK22" s="1"/>
      <c r="DL22" s="1"/>
      <c r="DM22" s="1"/>
      <c r="DN22" s="1"/>
      <c r="DO22" s="1"/>
      <c r="DP22" s="1"/>
      <c r="DQ22" s="1"/>
      <c r="DR22" s="1"/>
      <c r="EU22" s="1"/>
      <c r="EV22" s="1"/>
      <c r="EW22" s="1"/>
      <c r="EX22" s="1"/>
      <c r="EZ22" s="1"/>
      <c r="FA22" s="1"/>
      <c r="FC22" s="1"/>
      <c r="FD22" s="87"/>
      <c r="FE22" s="1"/>
      <c r="FF22" s="142" t="s">
        <v>286</v>
      </c>
      <c r="FG22" s="342" t="s">
        <v>287</v>
      </c>
      <c r="FH22" s="1"/>
      <c r="FI22" s="342"/>
      <c r="FJ22" s="232"/>
      <c r="FK22" s="343"/>
      <c r="FL22" s="343"/>
      <c r="FM22" s="343"/>
      <c r="FN22" s="343"/>
      <c r="FO22" s="8"/>
      <c r="FP22" s="8"/>
      <c r="FQ22" s="8"/>
      <c r="FR22" s="343"/>
      <c r="FS22" s="343"/>
      <c r="FT22" s="8"/>
      <c r="FU22" s="87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</row>
    <row r="23" ht="12.75" customHeight="1">
      <c r="A23" s="1">
        <v>12.0</v>
      </c>
      <c r="B23" s="1">
        <v>6.0</v>
      </c>
      <c r="C23" s="63">
        <v>24.0</v>
      </c>
      <c r="D23" s="361">
        <v>2.0</v>
      </c>
      <c r="E23" s="38">
        <f>C3+D43+D46</f>
        <v>226.5</v>
      </c>
      <c r="F23" s="8">
        <f>(G43+G46)</f>
        <v>0</v>
      </c>
      <c r="G23" s="8">
        <f t="shared" si="38"/>
        <v>277</v>
      </c>
      <c r="H23" s="8">
        <f t="shared" si="39"/>
        <v>327.5</v>
      </c>
      <c r="I23" s="8">
        <f t="shared" si="40"/>
        <v>378</v>
      </c>
      <c r="J23" s="8">
        <f t="shared" si="41"/>
        <v>428.5</v>
      </c>
      <c r="K23" s="8">
        <f t="shared" si="42"/>
        <v>479</v>
      </c>
      <c r="L23" s="8">
        <f t="shared" si="43"/>
        <v>529.5</v>
      </c>
      <c r="M23" s="359">
        <f t="shared" si="44"/>
        <v>580</v>
      </c>
      <c r="N23" s="1"/>
      <c r="O23" s="1"/>
      <c r="P23" s="1"/>
      <c r="Q23" s="1"/>
      <c r="R23" s="360">
        <f>D3+G43+G46</f>
        <v>50.5</v>
      </c>
      <c r="S23" s="63"/>
      <c r="T23" s="1"/>
      <c r="U23" s="87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8"/>
      <c r="AQ23" s="1"/>
      <c r="AR23" s="87"/>
      <c r="AS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87"/>
      <c r="BK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87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8"/>
      <c r="CT23" s="1"/>
      <c r="CU23" s="1"/>
      <c r="CV23" s="1"/>
      <c r="CW23" s="1"/>
      <c r="CX23" s="1"/>
      <c r="CY23" s="1"/>
      <c r="CZ23" s="87" t="s">
        <v>288</v>
      </c>
      <c r="DA23" s="1"/>
      <c r="DB23" s="1"/>
      <c r="DC23" s="1"/>
      <c r="DD23" s="1"/>
      <c r="DE23" s="1"/>
      <c r="DF23" s="1"/>
      <c r="DG23" s="1"/>
      <c r="DH23" s="1"/>
      <c r="DI23" s="341"/>
      <c r="DJ23" s="1"/>
      <c r="DK23" s="1"/>
      <c r="DL23" s="1"/>
      <c r="DM23" s="1"/>
      <c r="DN23" s="1"/>
      <c r="DO23" s="1"/>
      <c r="DP23" s="1"/>
      <c r="DQ23" s="1"/>
      <c r="DR23" s="1"/>
      <c r="EU23" s="1"/>
      <c r="EV23" s="1"/>
      <c r="EW23" s="1"/>
      <c r="EX23" s="1"/>
      <c r="EZ23" s="1"/>
      <c r="FA23" s="1"/>
      <c r="FC23" s="1"/>
      <c r="FD23" s="87"/>
      <c r="FE23" s="1"/>
      <c r="FF23" s="142" t="s">
        <v>88</v>
      </c>
      <c r="FG23" s="342" t="s">
        <v>289</v>
      </c>
      <c r="FH23" s="1"/>
      <c r="FI23" s="342"/>
      <c r="FJ23" s="232"/>
      <c r="FK23" s="343"/>
      <c r="FL23" s="343"/>
      <c r="FM23" s="343"/>
      <c r="FN23" s="343"/>
      <c r="FO23" s="8"/>
      <c r="FP23" s="8"/>
      <c r="FQ23" s="8"/>
      <c r="FR23" s="343"/>
      <c r="FS23" s="343"/>
      <c r="FT23" s="8"/>
      <c r="FU23" s="87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</row>
    <row r="24" ht="12.75" customHeight="1">
      <c r="A24" s="1">
        <v>16.0</v>
      </c>
      <c r="B24" s="1">
        <v>8.0</v>
      </c>
      <c r="C24" s="63">
        <v>32.0</v>
      </c>
      <c r="D24" s="361">
        <v>2.5</v>
      </c>
      <c r="E24" s="38">
        <f>C4+D43+D46</f>
        <v>260</v>
      </c>
      <c r="F24" s="8">
        <f>(G43+G46)</f>
        <v>0</v>
      </c>
      <c r="G24" s="8">
        <f t="shared" si="38"/>
        <v>325</v>
      </c>
      <c r="H24" s="8">
        <f t="shared" si="39"/>
        <v>390</v>
      </c>
      <c r="I24" s="8">
        <f t="shared" si="40"/>
        <v>455</v>
      </c>
      <c r="J24" s="8">
        <f t="shared" si="41"/>
        <v>520</v>
      </c>
      <c r="K24" s="8">
        <f t="shared" si="42"/>
        <v>585</v>
      </c>
      <c r="L24" s="8">
        <f t="shared" si="43"/>
        <v>650</v>
      </c>
      <c r="M24" s="359">
        <f t="shared" si="44"/>
        <v>715</v>
      </c>
      <c r="N24" s="1"/>
      <c r="O24" s="1"/>
      <c r="P24" s="1"/>
      <c r="Q24" s="1"/>
      <c r="R24" s="360">
        <f>D4+G43+G46</f>
        <v>65</v>
      </c>
      <c r="S24" s="63"/>
      <c r="T24" s="1"/>
      <c r="U24" s="87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8"/>
      <c r="AQ24" s="1"/>
      <c r="AR24" s="87"/>
      <c r="AS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87"/>
      <c r="BK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87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8"/>
      <c r="CT24" s="1"/>
      <c r="CU24" s="1"/>
      <c r="CV24" s="1"/>
      <c r="CW24" s="1"/>
      <c r="CX24" s="1"/>
      <c r="CY24" s="1"/>
      <c r="CZ24" s="87"/>
      <c r="DA24" s="1"/>
      <c r="DB24" s="1"/>
      <c r="DC24" s="1"/>
      <c r="DD24" s="1"/>
      <c r="DE24" s="1"/>
      <c r="DF24" s="1"/>
      <c r="DG24" s="1"/>
      <c r="DH24" s="1"/>
      <c r="DI24" s="341"/>
      <c r="DJ24" s="1"/>
      <c r="DK24" s="1"/>
      <c r="DL24" s="1"/>
      <c r="DM24" s="1"/>
      <c r="DN24" s="1"/>
      <c r="DO24" s="1"/>
      <c r="DP24" s="1"/>
      <c r="DQ24" s="1"/>
      <c r="DR24" s="1"/>
      <c r="EU24" s="1"/>
      <c r="EV24" s="1"/>
      <c r="EW24" s="1"/>
      <c r="EX24" s="1"/>
      <c r="EZ24" s="1"/>
      <c r="FA24" s="1"/>
      <c r="FC24" s="1"/>
      <c r="FD24" s="87" t="s">
        <v>290</v>
      </c>
      <c r="FE24" s="1"/>
      <c r="FF24" s="142" t="s">
        <v>291</v>
      </c>
      <c r="FG24" s="342" t="s">
        <v>292</v>
      </c>
      <c r="FH24" s="1" t="str">
        <f>IF(FH26=1,FI27,IF(FH26=2,FI30,IF(FH26=3,FI33,IF(FH26=4,FI38,IF(FH26=5,FI44,IF(FH26=6,FI48,""))))))</f>
        <v/>
      </c>
      <c r="FI24" s="342"/>
      <c r="FJ24" s="232"/>
      <c r="FK24" s="343"/>
      <c r="FL24" s="343"/>
      <c r="FM24" s="343"/>
      <c r="FN24" s="343"/>
      <c r="FO24" s="8"/>
      <c r="FP24" s="8"/>
      <c r="FQ24" s="8"/>
      <c r="FR24" s="343"/>
      <c r="FS24" s="343"/>
      <c r="FT24" s="8"/>
      <c r="FU24" s="87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</row>
    <row r="25" ht="12.75" customHeight="1">
      <c r="A25" s="1">
        <v>20.0</v>
      </c>
      <c r="B25" s="1">
        <v>10.0</v>
      </c>
      <c r="C25" s="63">
        <v>40.0</v>
      </c>
      <c r="D25" s="361">
        <v>3.0</v>
      </c>
      <c r="E25" s="38">
        <f>C5+D43+D46</f>
        <v>335.5</v>
      </c>
      <c r="F25" s="8">
        <f>(G43+G46)</f>
        <v>0</v>
      </c>
      <c r="G25" s="8">
        <f t="shared" si="38"/>
        <v>418</v>
      </c>
      <c r="H25" s="8">
        <f t="shared" si="39"/>
        <v>500.5</v>
      </c>
      <c r="I25" s="8">
        <f t="shared" si="40"/>
        <v>583</v>
      </c>
      <c r="J25" s="8">
        <f t="shared" si="41"/>
        <v>665.5</v>
      </c>
      <c r="K25" s="8">
        <f t="shared" si="42"/>
        <v>748</v>
      </c>
      <c r="L25" s="8">
        <f t="shared" si="43"/>
        <v>830.5</v>
      </c>
      <c r="M25" s="359">
        <f t="shared" si="44"/>
        <v>913</v>
      </c>
      <c r="N25" s="1"/>
      <c r="O25" s="1"/>
      <c r="P25" s="1"/>
      <c r="Q25" s="1"/>
      <c r="R25" s="360">
        <f>D5+G43+G46</f>
        <v>82.5</v>
      </c>
      <c r="S25" s="63"/>
      <c r="T25" s="1"/>
      <c r="U25" s="87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8"/>
      <c r="AQ25" s="1"/>
      <c r="AR25" s="87"/>
      <c r="AS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87"/>
      <c r="BK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87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8"/>
      <c r="CT25" s="1"/>
      <c r="CU25" s="1"/>
      <c r="CV25" s="1"/>
      <c r="CW25" s="1"/>
      <c r="CX25" s="1"/>
      <c r="CY25" s="1"/>
      <c r="CZ25" s="87"/>
      <c r="DA25" s="1"/>
      <c r="DB25" s="1"/>
      <c r="DC25" s="1"/>
      <c r="DD25" s="1"/>
      <c r="DE25" s="1"/>
      <c r="DF25" s="1"/>
      <c r="DG25" s="1"/>
      <c r="DH25" s="1"/>
      <c r="DI25" s="341"/>
      <c r="DJ25" s="1"/>
      <c r="DK25" s="1"/>
      <c r="DL25" s="1"/>
      <c r="DM25" s="1"/>
      <c r="DN25" s="1"/>
      <c r="DO25" s="1"/>
      <c r="DP25" s="1"/>
      <c r="DQ25" s="1"/>
      <c r="DR25" s="1"/>
      <c r="EU25" s="1"/>
      <c r="EV25" s="1"/>
      <c r="EW25" s="1"/>
      <c r="EX25" s="1"/>
      <c r="EZ25" s="1"/>
      <c r="FA25" s="1"/>
      <c r="FC25" s="1"/>
      <c r="FD25" s="87"/>
      <c r="FE25" s="1"/>
      <c r="FF25" s="142" t="s">
        <v>293</v>
      </c>
      <c r="FG25" s="342"/>
      <c r="FH25" s="343">
        <f>FH26</f>
        <v>0</v>
      </c>
      <c r="FI25" s="342"/>
      <c r="FJ25" s="232"/>
      <c r="FK25" s="343"/>
      <c r="FL25" s="343"/>
      <c r="FM25" s="343"/>
      <c r="FN25" s="343"/>
      <c r="FO25" s="8"/>
      <c r="FP25" s="8"/>
      <c r="FQ25" s="8"/>
      <c r="FR25" s="343"/>
      <c r="FS25" s="343"/>
      <c r="FT25" s="8"/>
      <c r="FU25" s="87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</row>
    <row r="26" ht="12.75" customHeight="1">
      <c r="A26" s="1">
        <v>24.0</v>
      </c>
      <c r="B26" s="1">
        <v>12.0</v>
      </c>
      <c r="C26" s="63">
        <v>48.0</v>
      </c>
      <c r="D26" s="361">
        <v>3.5</v>
      </c>
      <c r="E26" s="38">
        <f>C6+D43+D46</f>
        <v>374</v>
      </c>
      <c r="F26" s="8">
        <f>(G43+G46)</f>
        <v>0</v>
      </c>
      <c r="G26" s="8">
        <f t="shared" si="38"/>
        <v>471</v>
      </c>
      <c r="H26" s="8">
        <f t="shared" si="39"/>
        <v>568</v>
      </c>
      <c r="I26" s="8">
        <f t="shared" si="40"/>
        <v>665</v>
      </c>
      <c r="J26" s="8">
        <f t="shared" si="41"/>
        <v>762</v>
      </c>
      <c r="K26" s="8">
        <f t="shared" si="42"/>
        <v>859</v>
      </c>
      <c r="L26" s="8">
        <f t="shared" si="43"/>
        <v>956</v>
      </c>
      <c r="M26" s="359">
        <f t="shared" si="44"/>
        <v>1053</v>
      </c>
      <c r="N26" s="1"/>
      <c r="O26" s="1"/>
      <c r="P26" s="1"/>
      <c r="Q26" s="1"/>
      <c r="R26" s="360">
        <f>D6+G43+G46</f>
        <v>97</v>
      </c>
      <c r="S26" s="63"/>
      <c r="T26" s="1"/>
      <c r="U26" s="87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8"/>
      <c r="AQ26" s="1"/>
      <c r="AR26" s="87"/>
      <c r="AS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87"/>
      <c r="BK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87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8"/>
      <c r="CT26" s="1"/>
      <c r="CU26" s="1"/>
      <c r="CV26" s="1"/>
      <c r="CW26" s="1"/>
      <c r="CX26" s="1"/>
      <c r="CY26" s="1"/>
      <c r="CZ26" s="87"/>
      <c r="DA26" s="1"/>
      <c r="DB26" s="1"/>
      <c r="DC26" s="1"/>
      <c r="DD26" s="1"/>
      <c r="DE26" s="1"/>
      <c r="DF26" s="1"/>
      <c r="DG26" s="1"/>
      <c r="DH26" s="1"/>
      <c r="DI26" s="341"/>
      <c r="DJ26" s="1"/>
      <c r="DK26" s="1"/>
      <c r="DL26" s="1"/>
      <c r="DM26" s="1"/>
      <c r="DN26" s="1"/>
      <c r="DO26" s="1"/>
      <c r="DP26" s="1"/>
      <c r="DQ26" s="1"/>
      <c r="DR26" s="1"/>
      <c r="EU26" s="1"/>
      <c r="EV26" s="1"/>
      <c r="EW26" s="1"/>
      <c r="EX26" s="1"/>
      <c r="EZ26" s="1"/>
      <c r="FA26" s="1"/>
      <c r="FC26" s="1"/>
      <c r="FD26" s="87"/>
      <c r="FE26" s="1"/>
      <c r="FF26" s="142"/>
      <c r="FG26" s="342"/>
      <c r="FH26" s="343">
        <f>SUM(FH27:FH52)</f>
        <v>0</v>
      </c>
      <c r="FI26" s="342"/>
      <c r="FJ26" s="232"/>
      <c r="FK26" s="343"/>
      <c r="FL26" s="343" t="s">
        <v>40</v>
      </c>
      <c r="FM26" s="343" t="s">
        <v>5</v>
      </c>
      <c r="FN26" s="343" t="s">
        <v>294</v>
      </c>
      <c r="FO26" s="8"/>
      <c r="FP26" s="8"/>
      <c r="FQ26" s="8"/>
      <c r="FR26" s="343"/>
      <c r="FS26" s="343"/>
      <c r="FT26" s="8"/>
      <c r="FU26" s="87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</row>
    <row r="27" ht="12.75" customHeight="1">
      <c r="A27" s="1">
        <v>28.0</v>
      </c>
      <c r="B27" s="1">
        <v>14.0</v>
      </c>
      <c r="C27" s="63"/>
      <c r="D27" s="361">
        <v>4.0</v>
      </c>
      <c r="E27" s="38">
        <f>C7+D43+D46</f>
        <v>447.5</v>
      </c>
      <c r="F27" s="8">
        <f>(G43+G46)</f>
        <v>0</v>
      </c>
      <c r="G27" s="8">
        <f t="shared" si="38"/>
        <v>561</v>
      </c>
      <c r="H27" s="8">
        <f t="shared" si="39"/>
        <v>674.5</v>
      </c>
      <c r="I27" s="8">
        <f t="shared" si="40"/>
        <v>788</v>
      </c>
      <c r="J27" s="8">
        <f t="shared" si="41"/>
        <v>901.5</v>
      </c>
      <c r="K27" s="8">
        <f t="shared" si="42"/>
        <v>1015</v>
      </c>
      <c r="L27" s="8">
        <f t="shared" si="43"/>
        <v>1128.5</v>
      </c>
      <c r="M27" s="359">
        <f t="shared" si="44"/>
        <v>1242</v>
      </c>
      <c r="N27" s="1"/>
      <c r="O27" s="1"/>
      <c r="P27" s="1"/>
      <c r="Q27" s="1"/>
      <c r="R27" s="360">
        <f>D7+G43+G46</f>
        <v>113.5</v>
      </c>
      <c r="S27" s="63"/>
      <c r="T27" s="1"/>
      <c r="U27" s="87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8"/>
      <c r="AQ27" s="1"/>
      <c r="AR27" s="87"/>
      <c r="AS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87"/>
      <c r="BK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87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8"/>
      <c r="CT27" s="1"/>
      <c r="CU27" s="1"/>
      <c r="CV27" s="1"/>
      <c r="CW27" s="1"/>
      <c r="CX27" s="1"/>
      <c r="CY27" s="1"/>
      <c r="CZ27" s="87"/>
      <c r="DA27" s="1"/>
      <c r="DB27" s="1"/>
      <c r="DC27" s="1"/>
      <c r="DD27" s="1"/>
      <c r="DE27" s="1"/>
      <c r="DF27" s="1"/>
      <c r="DG27" s="1"/>
      <c r="DH27" s="1"/>
      <c r="DI27" s="341"/>
      <c r="DJ27" s="1"/>
      <c r="DK27" s="1"/>
      <c r="DL27" s="1"/>
      <c r="DM27" s="1"/>
      <c r="DN27" s="1"/>
      <c r="DO27" s="1"/>
      <c r="DP27" s="1"/>
      <c r="DQ27" s="1"/>
      <c r="DR27" s="1"/>
      <c r="EU27" s="1"/>
      <c r="EV27" s="1"/>
      <c r="EW27" s="1"/>
      <c r="EX27" s="1"/>
      <c r="EZ27" s="1"/>
      <c r="FA27" s="1"/>
      <c r="FC27" s="1"/>
      <c r="FD27" s="87"/>
      <c r="FE27" s="1"/>
      <c r="FF27" s="142"/>
      <c r="FG27" s="342"/>
      <c r="FH27" s="1">
        <f t="shared" ref="FH27:FH29" si="45">IF(FO27=FI27,IF(FP27=FJ27,1,0),0)</f>
        <v>0</v>
      </c>
      <c r="FI27" s="342" t="s">
        <v>281</v>
      </c>
      <c r="FJ27" s="232" t="s">
        <v>287</v>
      </c>
      <c r="FK27" s="343" t="str">
        <f>D154</f>
        <v/>
      </c>
      <c r="FL27" s="343">
        <v>435.0</v>
      </c>
      <c r="FM27" s="343">
        <v>150.0</v>
      </c>
      <c r="FN27" s="343">
        <v>16000.0</v>
      </c>
      <c r="FO27" s="8" t="str">
        <f>D151</f>
        <v/>
      </c>
      <c r="FP27" s="8" t="str">
        <f>D152</f>
        <v/>
      </c>
      <c r="FQ27" s="8">
        <f t="shared" ref="FQ27:FQ52" si="47">IF(FO27=FI27,IF(FP27=FJ27,FL27,0),0)</f>
        <v>0</v>
      </c>
      <c r="FR27" s="343">
        <f t="shared" ref="FR27:FR52" si="48">IF(FI27=FO27,IF(FJ27=FP27,FM27,0),0)</f>
        <v>0</v>
      </c>
      <c r="FS27" s="343">
        <f t="shared" ref="FS27:FS52" si="49">IF(FI27=FO27,IF(FJ27=FP27,FN27,0),0)</f>
        <v>0</v>
      </c>
      <c r="FT27" s="8"/>
      <c r="FU27" s="87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</row>
    <row r="28" ht="12.75" customHeight="1">
      <c r="A28" s="1">
        <v>32.0</v>
      </c>
      <c r="B28" s="1">
        <v>16.0</v>
      </c>
      <c r="C28" s="63"/>
      <c r="D28" s="361">
        <v>4.5</v>
      </c>
      <c r="E28" s="38">
        <f>C8+D43+D46</f>
        <v>484</v>
      </c>
      <c r="F28" s="8">
        <f>(G43+G46)</f>
        <v>0</v>
      </c>
      <c r="G28" s="8">
        <f t="shared" si="38"/>
        <v>612</v>
      </c>
      <c r="H28" s="8">
        <f t="shared" si="39"/>
        <v>740</v>
      </c>
      <c r="I28" s="8">
        <f t="shared" si="40"/>
        <v>868</v>
      </c>
      <c r="J28" s="8">
        <f t="shared" si="41"/>
        <v>996</v>
      </c>
      <c r="K28" s="8">
        <f t="shared" si="42"/>
        <v>1124</v>
      </c>
      <c r="L28" s="8">
        <f t="shared" si="43"/>
        <v>1252</v>
      </c>
      <c r="M28" s="359">
        <f t="shared" si="44"/>
        <v>1380</v>
      </c>
      <c r="N28" s="1"/>
      <c r="O28" s="1"/>
      <c r="P28" s="1"/>
      <c r="Q28" s="1"/>
      <c r="R28" s="360">
        <f>D8+G43+G46</f>
        <v>128</v>
      </c>
      <c r="S28" s="63"/>
      <c r="T28" s="1"/>
      <c r="U28" s="87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8"/>
      <c r="AQ28" s="1"/>
      <c r="AR28" s="87"/>
      <c r="AS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87"/>
      <c r="BK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87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8"/>
      <c r="CT28" s="1"/>
      <c r="CU28" s="1"/>
      <c r="CV28" s="1"/>
      <c r="CW28" s="1"/>
      <c r="CX28" s="1"/>
      <c r="CY28" s="1"/>
      <c r="CZ28" s="87"/>
      <c r="DA28" s="1"/>
      <c r="DB28" s="1"/>
      <c r="DC28" s="1"/>
      <c r="DD28" s="1"/>
      <c r="DE28" s="1"/>
      <c r="DF28" s="1"/>
      <c r="DG28" s="1"/>
      <c r="DH28" s="1"/>
      <c r="DI28" s="341"/>
      <c r="DJ28" s="1"/>
      <c r="DK28" s="1"/>
      <c r="DL28" s="1"/>
      <c r="DM28" s="1"/>
      <c r="DN28" s="1"/>
      <c r="DO28" s="1"/>
      <c r="DP28" s="1"/>
      <c r="DQ28" s="1"/>
      <c r="DR28" s="1"/>
      <c r="EU28" s="1"/>
      <c r="EV28" s="1"/>
      <c r="EW28" s="1"/>
      <c r="EX28" s="1"/>
      <c r="EZ28" s="1"/>
      <c r="FA28" s="1"/>
      <c r="FC28" s="1"/>
      <c r="FD28" s="87"/>
      <c r="FE28" s="1"/>
      <c r="FF28" s="142"/>
      <c r="FG28" s="342"/>
      <c r="FH28" s="1">
        <f t="shared" si="45"/>
        <v>0</v>
      </c>
      <c r="FI28" s="342" t="s">
        <v>281</v>
      </c>
      <c r="FJ28" s="232" t="s">
        <v>289</v>
      </c>
      <c r="FK28" s="343" t="str">
        <f t="shared" ref="FK28:FK52" si="50">FK27</f>
        <v/>
      </c>
      <c r="FL28" s="343">
        <v>520.0</v>
      </c>
      <c r="FM28" s="343">
        <v>160.0</v>
      </c>
      <c r="FN28" s="343">
        <v>16000.0</v>
      </c>
      <c r="FO28" s="8" t="str">
        <f t="shared" ref="FO28:FP28" si="46">FO27</f>
        <v/>
      </c>
      <c r="FP28" s="8" t="str">
        <f t="shared" si="46"/>
        <v/>
      </c>
      <c r="FQ28" s="8">
        <f t="shared" si="47"/>
        <v>0</v>
      </c>
      <c r="FR28" s="343">
        <f t="shared" si="48"/>
        <v>0</v>
      </c>
      <c r="FS28" s="343">
        <f t="shared" si="49"/>
        <v>0</v>
      </c>
      <c r="FT28" s="8"/>
      <c r="FU28" s="87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</row>
    <row r="29" ht="12.75" customHeight="1">
      <c r="A29" s="1">
        <v>36.0</v>
      </c>
      <c r="B29" s="1">
        <v>18.0</v>
      </c>
      <c r="C29" s="63"/>
      <c r="D29" s="361">
        <v>5.0</v>
      </c>
      <c r="E29" s="38">
        <f>C9+D43+D46</f>
        <v>571.5</v>
      </c>
      <c r="F29" s="8">
        <f>(G43+G46)</f>
        <v>0</v>
      </c>
      <c r="G29" s="8">
        <f t="shared" si="38"/>
        <v>718</v>
      </c>
      <c r="H29" s="8">
        <f t="shared" si="39"/>
        <v>864.5</v>
      </c>
      <c r="I29" s="8">
        <f t="shared" si="40"/>
        <v>1011</v>
      </c>
      <c r="J29" s="8">
        <f t="shared" si="41"/>
        <v>1157.5</v>
      </c>
      <c r="K29" s="8">
        <f t="shared" si="42"/>
        <v>1304</v>
      </c>
      <c r="L29" s="8">
        <f t="shared" si="43"/>
        <v>1450.5</v>
      </c>
      <c r="M29" s="359">
        <f t="shared" si="44"/>
        <v>1597</v>
      </c>
      <c r="N29" s="1"/>
      <c r="O29" s="1"/>
      <c r="P29" s="1"/>
      <c r="Q29" s="1"/>
      <c r="R29" s="360">
        <f>D9+G43+G46</f>
        <v>146.5</v>
      </c>
      <c r="S29" s="63"/>
      <c r="T29" s="1"/>
      <c r="U29" s="87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8"/>
      <c r="AQ29" s="1"/>
      <c r="AR29" s="87"/>
      <c r="AS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87"/>
      <c r="BK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87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8"/>
      <c r="CT29" s="1"/>
      <c r="CU29" s="1"/>
      <c r="CV29" s="1"/>
      <c r="CW29" s="1"/>
      <c r="CX29" s="1"/>
      <c r="CY29" s="1"/>
      <c r="CZ29" s="87"/>
      <c r="DA29" s="1"/>
      <c r="DB29" s="1"/>
      <c r="DC29" s="1"/>
      <c r="DD29" s="1"/>
      <c r="DE29" s="1"/>
      <c r="DF29" s="1"/>
      <c r="DG29" s="1"/>
      <c r="DH29" s="1"/>
      <c r="DI29" s="341"/>
      <c r="DJ29" s="1"/>
      <c r="DK29" s="1"/>
      <c r="DL29" s="1"/>
      <c r="DM29" s="1"/>
      <c r="DN29" s="1"/>
      <c r="DO29" s="1"/>
      <c r="DP29" s="1"/>
      <c r="DQ29" s="1"/>
      <c r="DR29" s="1"/>
      <c r="EU29" s="1"/>
      <c r="EV29" s="1"/>
      <c r="EW29" s="1"/>
      <c r="EX29" s="1"/>
      <c r="EZ29" s="1"/>
      <c r="FA29" s="1"/>
      <c r="FC29" s="1"/>
      <c r="FD29" s="87"/>
      <c r="FE29" s="1"/>
      <c r="FF29" s="142"/>
      <c r="FG29" s="342"/>
      <c r="FH29" s="1">
        <f t="shared" si="45"/>
        <v>0</v>
      </c>
      <c r="FI29" s="342" t="s">
        <v>281</v>
      </c>
      <c r="FJ29" s="232" t="s">
        <v>292</v>
      </c>
      <c r="FK29" s="343" t="str">
        <f t="shared" si="50"/>
        <v/>
      </c>
      <c r="FL29" s="343">
        <v>600.0</v>
      </c>
      <c r="FM29" s="343">
        <v>175.0</v>
      </c>
      <c r="FN29" s="343">
        <v>16000.0</v>
      </c>
      <c r="FO29" s="8" t="str">
        <f t="shared" ref="FO29:FP29" si="51">FO28</f>
        <v/>
      </c>
      <c r="FP29" s="8" t="str">
        <f t="shared" si="51"/>
        <v/>
      </c>
      <c r="FQ29" s="8">
        <f t="shared" si="47"/>
        <v>0</v>
      </c>
      <c r="FR29" s="343">
        <f t="shared" si="48"/>
        <v>0</v>
      </c>
      <c r="FS29" s="343">
        <f t="shared" si="49"/>
        <v>0</v>
      </c>
      <c r="FT29" s="8"/>
      <c r="FU29" s="87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</row>
    <row r="30" ht="12.75" customHeight="1">
      <c r="A30" s="1">
        <v>40.0</v>
      </c>
      <c r="B30" s="1">
        <v>20.0</v>
      </c>
      <c r="C30" s="63"/>
      <c r="D30" s="361">
        <v>5.5</v>
      </c>
      <c r="E30" s="38">
        <f>C10+D43+D46</f>
        <v>608</v>
      </c>
      <c r="F30" s="8">
        <f>(G43+G46)</f>
        <v>0</v>
      </c>
      <c r="G30" s="8">
        <f t="shared" si="38"/>
        <v>769</v>
      </c>
      <c r="H30" s="8">
        <f t="shared" si="39"/>
        <v>930</v>
      </c>
      <c r="I30" s="8">
        <f t="shared" si="40"/>
        <v>1091</v>
      </c>
      <c r="J30" s="8">
        <f t="shared" si="41"/>
        <v>1252</v>
      </c>
      <c r="K30" s="8">
        <f t="shared" si="42"/>
        <v>1413</v>
      </c>
      <c r="L30" s="8">
        <f t="shared" si="43"/>
        <v>1574</v>
      </c>
      <c r="M30" s="359">
        <f t="shared" si="44"/>
        <v>1735</v>
      </c>
      <c r="N30" s="1"/>
      <c r="O30" s="1"/>
      <c r="P30" s="1"/>
      <c r="Q30" s="1"/>
      <c r="R30" s="360">
        <f>D10+G43+G46</f>
        <v>161</v>
      </c>
      <c r="S30" s="63"/>
      <c r="T30" s="1"/>
      <c r="U30" s="87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8"/>
      <c r="AQ30" s="1"/>
      <c r="AR30" s="87"/>
      <c r="AS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87"/>
      <c r="BK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87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8"/>
      <c r="CT30" s="1"/>
      <c r="CU30" s="1"/>
      <c r="CV30" s="1"/>
      <c r="CW30" s="1"/>
      <c r="CX30" s="1"/>
      <c r="CY30" s="1"/>
      <c r="CZ30" s="87"/>
      <c r="DA30" s="1"/>
      <c r="DB30" s="1"/>
      <c r="DC30" s="1"/>
      <c r="DD30" s="1"/>
      <c r="DE30" s="1"/>
      <c r="DF30" s="1"/>
      <c r="DG30" s="1"/>
      <c r="DH30" s="1"/>
      <c r="DI30" s="341"/>
      <c r="DJ30" s="1"/>
      <c r="DK30" s="1"/>
      <c r="DL30" s="1"/>
      <c r="DM30" s="1"/>
      <c r="DN30" s="1"/>
      <c r="DO30" s="1"/>
      <c r="DP30" s="1"/>
      <c r="DQ30" s="1"/>
      <c r="DR30" s="1"/>
      <c r="EU30" s="1"/>
      <c r="EV30" s="1"/>
      <c r="EW30" s="1"/>
      <c r="EX30" s="1"/>
      <c r="EZ30" s="1"/>
      <c r="FA30" s="1"/>
      <c r="FC30" s="1"/>
      <c r="FD30" s="87"/>
      <c r="FE30" s="1"/>
      <c r="FF30" s="142"/>
      <c r="FG30" s="342"/>
      <c r="FH30" s="1">
        <f t="shared" ref="FH30:FH32" si="53">IF(FO30=FI30,IF(FP30=FJ30,2,0),0)</f>
        <v>0</v>
      </c>
      <c r="FI30" s="86" t="s">
        <v>284</v>
      </c>
      <c r="FJ30" s="232" t="s">
        <v>287</v>
      </c>
      <c r="FK30" s="343" t="str">
        <f t="shared" si="50"/>
        <v/>
      </c>
      <c r="FL30" s="343">
        <v>435.0</v>
      </c>
      <c r="FM30" s="343">
        <v>150.0</v>
      </c>
      <c r="FN30" s="343">
        <v>8000.0</v>
      </c>
      <c r="FO30" s="8" t="str">
        <f t="shared" ref="FO30:FP30" si="52">FO29</f>
        <v/>
      </c>
      <c r="FP30" s="8" t="str">
        <f t="shared" si="52"/>
        <v/>
      </c>
      <c r="FQ30" s="8">
        <f t="shared" si="47"/>
        <v>0</v>
      </c>
      <c r="FR30" s="343">
        <f t="shared" si="48"/>
        <v>0</v>
      </c>
      <c r="FS30" s="343">
        <f t="shared" si="49"/>
        <v>0</v>
      </c>
      <c r="FT30" s="8"/>
      <c r="FU30" s="87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</row>
    <row r="31" ht="12.75" customHeight="1">
      <c r="A31" s="1">
        <v>44.0</v>
      </c>
      <c r="B31" s="1">
        <v>22.0</v>
      </c>
      <c r="C31" s="63"/>
      <c r="D31" s="361">
        <v>6.0</v>
      </c>
      <c r="E31" s="38">
        <f>C11+D43+D46</f>
        <v>692.5</v>
      </c>
      <c r="F31" s="8">
        <f>(G43+G46)</f>
        <v>0</v>
      </c>
      <c r="G31" s="8">
        <f t="shared" si="38"/>
        <v>872</v>
      </c>
      <c r="H31" s="8">
        <f t="shared" si="39"/>
        <v>1051.5</v>
      </c>
      <c r="I31" s="8">
        <f t="shared" si="40"/>
        <v>1231</v>
      </c>
      <c r="J31" s="8">
        <f t="shared" si="41"/>
        <v>1410.5</v>
      </c>
      <c r="K31" s="8">
        <f t="shared" si="42"/>
        <v>1590</v>
      </c>
      <c r="L31" s="8">
        <f t="shared" si="43"/>
        <v>1769.5</v>
      </c>
      <c r="M31" s="359">
        <f t="shared" si="44"/>
        <v>1949</v>
      </c>
      <c r="N31" s="1"/>
      <c r="O31" s="1"/>
      <c r="P31" s="1"/>
      <c r="Q31" s="1"/>
      <c r="R31" s="360">
        <f>D11+G43+G46</f>
        <v>179.5</v>
      </c>
      <c r="S31" s="63"/>
      <c r="T31" s="1"/>
      <c r="U31" s="87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8"/>
      <c r="AQ31" s="1"/>
      <c r="AR31" s="87"/>
      <c r="AS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87"/>
      <c r="BK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87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8"/>
      <c r="CT31" s="1"/>
      <c r="CU31" s="1"/>
      <c r="CV31" s="1"/>
      <c r="CW31" s="1"/>
      <c r="CX31" s="1"/>
      <c r="CY31" s="1"/>
      <c r="CZ31" s="87"/>
      <c r="DA31" s="1"/>
      <c r="DB31" s="1"/>
      <c r="DC31" s="1"/>
      <c r="DD31" s="1"/>
      <c r="DE31" s="1"/>
      <c r="DF31" s="1"/>
      <c r="DG31" s="1"/>
      <c r="DH31" s="1"/>
      <c r="DI31" s="341"/>
      <c r="DJ31" s="1"/>
      <c r="DK31" s="1"/>
      <c r="DL31" s="1"/>
      <c r="DM31" s="1"/>
      <c r="DN31" s="1"/>
      <c r="DO31" s="1"/>
      <c r="DP31" s="1"/>
      <c r="DQ31" s="1"/>
      <c r="DR31" s="1"/>
      <c r="EU31" s="1"/>
      <c r="EV31" s="1"/>
      <c r="EW31" s="1"/>
      <c r="EX31" s="1"/>
      <c r="EZ31" s="1"/>
      <c r="FA31" s="1"/>
      <c r="FC31" s="1"/>
      <c r="FD31" s="87"/>
      <c r="FE31" s="1"/>
      <c r="FF31" s="142"/>
      <c r="FG31" s="342"/>
      <c r="FH31" s="1">
        <f t="shared" si="53"/>
        <v>0</v>
      </c>
      <c r="FI31" s="86" t="s">
        <v>284</v>
      </c>
      <c r="FJ31" s="232" t="s">
        <v>289</v>
      </c>
      <c r="FK31" s="343" t="str">
        <f t="shared" si="50"/>
        <v/>
      </c>
      <c r="FL31" s="343">
        <v>520.0</v>
      </c>
      <c r="FM31" s="343">
        <v>160.0</v>
      </c>
      <c r="FN31" s="343">
        <v>8000.0</v>
      </c>
      <c r="FO31" s="8" t="str">
        <f t="shared" ref="FO31:FP31" si="54">FO30</f>
        <v/>
      </c>
      <c r="FP31" s="8" t="str">
        <f t="shared" si="54"/>
        <v/>
      </c>
      <c r="FQ31" s="8">
        <f t="shared" si="47"/>
        <v>0</v>
      </c>
      <c r="FR31" s="343">
        <f t="shared" si="48"/>
        <v>0</v>
      </c>
      <c r="FS31" s="343">
        <f t="shared" si="49"/>
        <v>0</v>
      </c>
      <c r="FT31" s="8"/>
      <c r="FU31" s="87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</row>
    <row r="32" ht="12.75" customHeight="1">
      <c r="A32" s="1">
        <v>48.0</v>
      </c>
      <c r="B32" s="1">
        <v>24.0</v>
      </c>
      <c r="C32" s="63"/>
      <c r="D32" s="361">
        <v>6.5</v>
      </c>
      <c r="E32" s="38">
        <f>C12+D43+D46</f>
        <v>731</v>
      </c>
      <c r="F32" s="8">
        <f>(G43+G46)</f>
        <v>0</v>
      </c>
      <c r="G32" s="8">
        <f t="shared" si="38"/>
        <v>925</v>
      </c>
      <c r="H32" s="8">
        <f t="shared" si="39"/>
        <v>1119</v>
      </c>
      <c r="I32" s="8">
        <f t="shared" si="40"/>
        <v>1313</v>
      </c>
      <c r="J32" s="8">
        <f t="shared" si="41"/>
        <v>1507</v>
      </c>
      <c r="K32" s="8">
        <f t="shared" si="42"/>
        <v>1701</v>
      </c>
      <c r="L32" s="8">
        <f t="shared" si="43"/>
        <v>1895</v>
      </c>
      <c r="M32" s="359">
        <f t="shared" si="44"/>
        <v>2089</v>
      </c>
      <c r="N32" s="1"/>
      <c r="O32" s="1"/>
      <c r="P32" s="1"/>
      <c r="Q32" s="1"/>
      <c r="R32" s="360">
        <f>D12+G43+G46</f>
        <v>194</v>
      </c>
      <c r="S32" s="63"/>
      <c r="T32" s="1"/>
      <c r="U32" s="87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8"/>
      <c r="AQ32" s="1"/>
      <c r="AR32" s="87"/>
      <c r="AS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87"/>
      <c r="BK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87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8"/>
      <c r="CT32" s="1"/>
      <c r="CU32" s="1"/>
      <c r="CV32" s="1"/>
      <c r="CW32" s="1"/>
      <c r="CX32" s="1"/>
      <c r="CY32" s="1"/>
      <c r="CZ32" s="87"/>
      <c r="DA32" s="1"/>
      <c r="DB32" s="1"/>
      <c r="DC32" s="1"/>
      <c r="DD32" s="1"/>
      <c r="DE32" s="1"/>
      <c r="DF32" s="1"/>
      <c r="DG32" s="1"/>
      <c r="DH32" s="1"/>
      <c r="DI32" s="341"/>
      <c r="DJ32" s="1"/>
      <c r="DK32" s="1"/>
      <c r="DL32" s="1"/>
      <c r="DM32" s="1"/>
      <c r="DN32" s="1"/>
      <c r="DO32" s="1"/>
      <c r="DP32" s="1"/>
      <c r="DQ32" s="1"/>
      <c r="DR32" s="1"/>
      <c r="EU32" s="1"/>
      <c r="EV32" s="1"/>
      <c r="EW32" s="1"/>
      <c r="EX32" s="1"/>
      <c r="EZ32" s="1"/>
      <c r="FA32" s="1"/>
      <c r="FC32" s="1"/>
      <c r="FD32" s="87"/>
      <c r="FE32" s="1"/>
      <c r="FF32" s="142"/>
      <c r="FG32" s="342"/>
      <c r="FH32" s="1">
        <f t="shared" si="53"/>
        <v>0</v>
      </c>
      <c r="FI32" s="362" t="s">
        <v>284</v>
      </c>
      <c r="FJ32" s="363" t="s">
        <v>292</v>
      </c>
      <c r="FK32" s="343" t="str">
        <f t="shared" si="50"/>
        <v/>
      </c>
      <c r="FL32" s="364">
        <v>600.0</v>
      </c>
      <c r="FM32" s="364">
        <v>175.0</v>
      </c>
      <c r="FN32" s="343">
        <v>8000.0</v>
      </c>
      <c r="FO32" s="8" t="str">
        <f t="shared" ref="FO32:FP32" si="55">FO31</f>
        <v/>
      </c>
      <c r="FP32" s="8" t="str">
        <f t="shared" si="55"/>
        <v/>
      </c>
      <c r="FQ32" s="8">
        <f t="shared" si="47"/>
        <v>0</v>
      </c>
      <c r="FR32" s="343">
        <f t="shared" si="48"/>
        <v>0</v>
      </c>
      <c r="FS32" s="343">
        <f t="shared" si="49"/>
        <v>0</v>
      </c>
      <c r="FT32" s="8"/>
      <c r="FU32" s="87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</row>
    <row r="33" ht="12.75" customHeight="1">
      <c r="A33" s="1">
        <v>52.0</v>
      </c>
      <c r="B33" s="1">
        <v>26.0</v>
      </c>
      <c r="C33" s="63"/>
      <c r="D33" s="361">
        <v>7.0</v>
      </c>
      <c r="E33" s="38">
        <f>C13+D43+D46</f>
        <v>830.5</v>
      </c>
      <c r="F33" s="8">
        <f>(G43+G46)</f>
        <v>0</v>
      </c>
      <c r="G33" s="8">
        <f t="shared" si="38"/>
        <v>1045</v>
      </c>
      <c r="H33" s="8">
        <f t="shared" si="39"/>
        <v>1259.5</v>
      </c>
      <c r="I33" s="8">
        <f t="shared" si="40"/>
        <v>1474</v>
      </c>
      <c r="J33" s="8">
        <f t="shared" si="41"/>
        <v>1688.5</v>
      </c>
      <c r="K33" s="8">
        <f t="shared" si="42"/>
        <v>1903</v>
      </c>
      <c r="L33" s="8">
        <f t="shared" si="43"/>
        <v>2117.5</v>
      </c>
      <c r="M33" s="359">
        <f t="shared" si="44"/>
        <v>2332</v>
      </c>
      <c r="N33" s="1"/>
      <c r="O33" s="1"/>
      <c r="P33" s="1"/>
      <c r="Q33" s="1"/>
      <c r="R33" s="360">
        <f>D13+G43+G46</f>
        <v>214.5</v>
      </c>
      <c r="S33" s="63"/>
      <c r="T33" s="1"/>
      <c r="U33" s="87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8"/>
      <c r="AQ33" s="1"/>
      <c r="AR33" s="87"/>
      <c r="AS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87"/>
      <c r="BK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87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8"/>
      <c r="CT33" s="1"/>
      <c r="CU33" s="1"/>
      <c r="CV33" s="1"/>
      <c r="CW33" s="1"/>
      <c r="CX33" s="1"/>
      <c r="CY33" s="1"/>
      <c r="CZ33" s="87"/>
      <c r="DA33" s="1"/>
      <c r="DB33" s="1"/>
      <c r="DC33" s="1"/>
      <c r="DD33" s="1"/>
      <c r="DE33" s="1"/>
      <c r="DF33" s="1"/>
      <c r="DG33" s="1"/>
      <c r="DH33" s="1"/>
      <c r="DI33" s="341"/>
      <c r="DJ33" s="1"/>
      <c r="DK33" s="1"/>
      <c r="DL33" s="1"/>
      <c r="DM33" s="1"/>
      <c r="DN33" s="1"/>
      <c r="DO33" s="1"/>
      <c r="DP33" s="1"/>
      <c r="DQ33" s="1"/>
      <c r="DR33" s="1"/>
      <c r="EU33" s="1"/>
      <c r="EV33" s="1"/>
      <c r="EW33" s="1"/>
      <c r="EX33" s="1"/>
      <c r="EZ33" s="1"/>
      <c r="FA33" s="1"/>
      <c r="FC33" s="1"/>
      <c r="FD33" s="87"/>
      <c r="FE33" s="1"/>
      <c r="FF33" s="142"/>
      <c r="FG33" s="342"/>
      <c r="FH33" s="1">
        <f t="shared" ref="FH33:FH37" si="57">IF(FO33=FI33,IF(FP33=FJ33,3,0),0)</f>
        <v>0</v>
      </c>
      <c r="FI33" s="86" t="s">
        <v>286</v>
      </c>
      <c r="FJ33" s="232" t="s">
        <v>118</v>
      </c>
      <c r="FK33" s="343" t="str">
        <f t="shared" si="50"/>
        <v/>
      </c>
      <c r="FL33" s="343">
        <v>155.0</v>
      </c>
      <c r="FM33" s="343">
        <v>65.0</v>
      </c>
      <c r="FN33" s="343">
        <v>1000.0</v>
      </c>
      <c r="FO33" s="8" t="str">
        <f t="shared" ref="FO33:FP33" si="56">FO32</f>
        <v/>
      </c>
      <c r="FP33" s="8" t="str">
        <f t="shared" si="56"/>
        <v/>
      </c>
      <c r="FQ33" s="8">
        <f t="shared" si="47"/>
        <v>0</v>
      </c>
      <c r="FR33" s="343">
        <f t="shared" si="48"/>
        <v>0</v>
      </c>
      <c r="FS33" s="343">
        <f t="shared" si="49"/>
        <v>0</v>
      </c>
      <c r="FT33" s="8"/>
      <c r="FU33" s="87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</row>
    <row r="34" ht="12.75" customHeight="1">
      <c r="A34" s="1">
        <v>56.0</v>
      </c>
      <c r="B34" s="1">
        <v>28.0</v>
      </c>
      <c r="C34" s="63"/>
      <c r="D34" s="361">
        <v>7.5</v>
      </c>
      <c r="E34" s="38">
        <f>C14+D43+D46</f>
        <v>876</v>
      </c>
      <c r="F34" s="8">
        <f>(G43+G46)</f>
        <v>0</v>
      </c>
      <c r="G34" s="8">
        <f t="shared" si="38"/>
        <v>1105</v>
      </c>
      <c r="H34" s="8">
        <f t="shared" si="39"/>
        <v>1334</v>
      </c>
      <c r="I34" s="8">
        <f t="shared" si="40"/>
        <v>1563</v>
      </c>
      <c r="J34" s="8">
        <f t="shared" si="41"/>
        <v>1792</v>
      </c>
      <c r="K34" s="8">
        <f t="shared" si="42"/>
        <v>2021</v>
      </c>
      <c r="L34" s="8">
        <f t="shared" si="43"/>
        <v>2250</v>
      </c>
      <c r="M34" s="359">
        <f t="shared" si="44"/>
        <v>2479</v>
      </c>
      <c r="N34" s="1"/>
      <c r="O34" s="1"/>
      <c r="P34" s="1"/>
      <c r="Q34" s="1"/>
      <c r="R34" s="360">
        <f>D14+G43+G46</f>
        <v>229</v>
      </c>
      <c r="S34" s="63"/>
      <c r="T34" s="1"/>
      <c r="U34" s="87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8"/>
      <c r="AQ34" s="1"/>
      <c r="AR34" s="87"/>
      <c r="AS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87"/>
      <c r="BK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87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8"/>
      <c r="CT34" s="1"/>
      <c r="CU34" s="1"/>
      <c r="CV34" s="1"/>
      <c r="CW34" s="1"/>
      <c r="CX34" s="1"/>
      <c r="CY34" s="1"/>
      <c r="CZ34" s="87"/>
      <c r="DA34" s="1"/>
      <c r="DB34" s="1"/>
      <c r="DC34" s="1"/>
      <c r="DD34" s="1"/>
      <c r="DE34" s="1"/>
      <c r="DF34" s="1"/>
      <c r="DG34" s="1"/>
      <c r="DH34" s="1"/>
      <c r="DI34" s="341"/>
      <c r="DJ34" s="1"/>
      <c r="DK34" s="1"/>
      <c r="DL34" s="1"/>
      <c r="DM34" s="1"/>
      <c r="DN34" s="1"/>
      <c r="DO34" s="1"/>
      <c r="DP34" s="1"/>
      <c r="DQ34" s="1"/>
      <c r="DR34" s="1"/>
      <c r="EU34" s="1"/>
      <c r="EV34" s="1"/>
      <c r="EW34" s="1"/>
      <c r="EX34" s="1"/>
      <c r="EZ34" s="1"/>
      <c r="FA34" s="1"/>
      <c r="FC34" s="1"/>
      <c r="FD34" s="87"/>
      <c r="FE34" s="1"/>
      <c r="FF34" s="142"/>
      <c r="FG34" s="342"/>
      <c r="FH34" s="1">
        <f t="shared" si="57"/>
        <v>0</v>
      </c>
      <c r="FI34" s="86" t="s">
        <v>286</v>
      </c>
      <c r="FJ34" s="232" t="s">
        <v>120</v>
      </c>
      <c r="FK34" s="343" t="str">
        <f t="shared" si="50"/>
        <v/>
      </c>
      <c r="FL34" s="343">
        <v>205.0</v>
      </c>
      <c r="FM34" s="343">
        <v>70.0</v>
      </c>
      <c r="FN34" s="343">
        <v>1000.0</v>
      </c>
      <c r="FO34" s="8" t="str">
        <f t="shared" ref="FO34:FP34" si="58">FO33</f>
        <v/>
      </c>
      <c r="FP34" s="8" t="str">
        <f t="shared" si="58"/>
        <v/>
      </c>
      <c r="FQ34" s="8">
        <f t="shared" si="47"/>
        <v>0</v>
      </c>
      <c r="FR34" s="343">
        <f t="shared" si="48"/>
        <v>0</v>
      </c>
      <c r="FS34" s="343">
        <f t="shared" si="49"/>
        <v>0</v>
      </c>
      <c r="FT34" s="8"/>
      <c r="FU34" s="87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</row>
    <row r="35" ht="12.75" customHeight="1">
      <c r="A35" s="1">
        <v>60.0</v>
      </c>
      <c r="B35" s="1">
        <v>30.0</v>
      </c>
      <c r="C35" s="63"/>
      <c r="D35" s="361">
        <v>8.0</v>
      </c>
      <c r="E35" s="38">
        <f>C15+D43+D46</f>
        <v>975.5</v>
      </c>
      <c r="F35" s="8">
        <f>(G43+G46)</f>
        <v>0</v>
      </c>
      <c r="G35" s="8">
        <f t="shared" si="38"/>
        <v>1225</v>
      </c>
      <c r="H35" s="8">
        <f t="shared" si="39"/>
        <v>1474.5</v>
      </c>
      <c r="I35" s="8">
        <f t="shared" si="40"/>
        <v>1724</v>
      </c>
      <c r="J35" s="8">
        <f t="shared" si="41"/>
        <v>1973.5</v>
      </c>
      <c r="K35" s="8">
        <f t="shared" si="42"/>
        <v>2223</v>
      </c>
      <c r="L35" s="8">
        <f t="shared" si="43"/>
        <v>2472.5</v>
      </c>
      <c r="M35" s="359">
        <f t="shared" si="44"/>
        <v>2722</v>
      </c>
      <c r="N35" s="1"/>
      <c r="O35" s="1"/>
      <c r="P35" s="1"/>
      <c r="Q35" s="1"/>
      <c r="R35" s="360">
        <f>D15+G43+G46</f>
        <v>249.5</v>
      </c>
      <c r="S35" s="63"/>
      <c r="T35" s="1"/>
      <c r="U35" s="87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8"/>
      <c r="AQ35" s="1"/>
      <c r="AR35" s="87"/>
      <c r="AS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87"/>
      <c r="BK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87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8"/>
      <c r="CT35" s="1"/>
      <c r="CU35" s="1"/>
      <c r="CV35" s="1"/>
      <c r="CW35" s="1"/>
      <c r="CX35" s="1"/>
      <c r="CY35" s="1"/>
      <c r="CZ35" s="87"/>
      <c r="DA35" s="1"/>
      <c r="DB35" s="1"/>
      <c r="DC35" s="1"/>
      <c r="DD35" s="1"/>
      <c r="DE35" s="1"/>
      <c r="DF35" s="1"/>
      <c r="DG35" s="1"/>
      <c r="DH35" s="1"/>
      <c r="DI35" s="341"/>
      <c r="DJ35" s="1"/>
      <c r="DK35" s="1"/>
      <c r="DL35" s="1"/>
      <c r="DM35" s="1"/>
      <c r="DN35" s="1"/>
      <c r="DO35" s="1"/>
      <c r="DP35" s="1"/>
      <c r="DQ35" s="1"/>
      <c r="DR35" s="1"/>
      <c r="EU35" s="1"/>
      <c r="EV35" s="1"/>
      <c r="EW35" s="1"/>
      <c r="EX35" s="1"/>
      <c r="EZ35" s="1"/>
      <c r="FA35" s="1"/>
      <c r="FC35" s="1"/>
      <c r="FD35" s="87"/>
      <c r="FE35" s="1"/>
      <c r="FF35" s="142"/>
      <c r="FG35" s="342"/>
      <c r="FH35" s="1">
        <f t="shared" si="57"/>
        <v>0</v>
      </c>
      <c r="FI35" s="86" t="s">
        <v>286</v>
      </c>
      <c r="FJ35" s="232" t="s">
        <v>287</v>
      </c>
      <c r="FK35" s="343" t="str">
        <f t="shared" si="50"/>
        <v/>
      </c>
      <c r="FL35" s="343">
        <v>350.0</v>
      </c>
      <c r="FM35" s="343">
        <v>80.0</v>
      </c>
      <c r="FN35" s="343">
        <v>1000.0</v>
      </c>
      <c r="FO35" s="8" t="str">
        <f t="shared" ref="FO35:FP35" si="59">FO34</f>
        <v/>
      </c>
      <c r="FP35" s="8" t="str">
        <f t="shared" si="59"/>
        <v/>
      </c>
      <c r="FQ35" s="8">
        <f t="shared" si="47"/>
        <v>0</v>
      </c>
      <c r="FR35" s="343">
        <f t="shared" si="48"/>
        <v>0</v>
      </c>
      <c r="FS35" s="343">
        <f t="shared" si="49"/>
        <v>0</v>
      </c>
      <c r="FT35" s="8"/>
      <c r="FU35" s="87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</row>
    <row r="36" ht="12.75" customHeight="1">
      <c r="A36" s="1">
        <v>64.0</v>
      </c>
      <c r="B36" s="1">
        <v>32.0</v>
      </c>
      <c r="C36" s="63"/>
      <c r="D36" s="365">
        <v>8.5</v>
      </c>
      <c r="E36" s="366">
        <f>C16+D43+D46</f>
        <v>1021</v>
      </c>
      <c r="F36" s="61">
        <f>(G43+G46)</f>
        <v>0</v>
      </c>
      <c r="G36" s="61">
        <f t="shared" si="38"/>
        <v>1285</v>
      </c>
      <c r="H36" s="61">
        <f t="shared" si="39"/>
        <v>1549</v>
      </c>
      <c r="I36" s="61">
        <f t="shared" si="40"/>
        <v>1813</v>
      </c>
      <c r="J36" s="61">
        <f t="shared" si="41"/>
        <v>2077</v>
      </c>
      <c r="K36" s="61">
        <f t="shared" si="42"/>
        <v>2341</v>
      </c>
      <c r="L36" s="61">
        <f t="shared" si="43"/>
        <v>2605</v>
      </c>
      <c r="M36" s="367">
        <f t="shared" si="44"/>
        <v>2869</v>
      </c>
      <c r="N36" s="1"/>
      <c r="O36" s="1"/>
      <c r="P36" s="1"/>
      <c r="Q36" s="1"/>
      <c r="R36" s="368">
        <f>D16+G43+G46</f>
        <v>264</v>
      </c>
      <c r="S36" s="63"/>
      <c r="T36" s="1"/>
      <c r="U36" s="87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8"/>
      <c r="AQ36" s="1"/>
      <c r="AR36" s="87"/>
      <c r="AS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87"/>
      <c r="BK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87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8"/>
      <c r="CT36" s="1"/>
      <c r="CU36" s="1"/>
      <c r="CV36" s="1"/>
      <c r="CW36" s="1"/>
      <c r="CX36" s="1"/>
      <c r="CY36" s="1"/>
      <c r="CZ36" s="87"/>
      <c r="DA36" s="1"/>
      <c r="DB36" s="1"/>
      <c r="DC36" s="1"/>
      <c r="DD36" s="1"/>
      <c r="DE36" s="1"/>
      <c r="DF36" s="1"/>
      <c r="DG36" s="1"/>
      <c r="DH36" s="1"/>
      <c r="DI36" s="341"/>
      <c r="DJ36" s="1"/>
      <c r="DK36" s="1"/>
      <c r="DL36" s="1"/>
      <c r="DM36" s="1"/>
      <c r="DN36" s="1"/>
      <c r="DO36" s="1"/>
      <c r="DP36" s="1"/>
      <c r="DQ36" s="1"/>
      <c r="DR36" s="1"/>
      <c r="EU36" s="1"/>
      <c r="EV36" s="1"/>
      <c r="EW36" s="1"/>
      <c r="EX36" s="1"/>
      <c r="EZ36" s="1"/>
      <c r="FA36" s="1"/>
      <c r="FC36" s="1"/>
      <c r="FD36" s="87"/>
      <c r="FE36" s="1"/>
      <c r="FF36" s="142"/>
      <c r="FG36" s="342"/>
      <c r="FH36" s="1">
        <f t="shared" si="57"/>
        <v>0</v>
      </c>
      <c r="FI36" s="86" t="s">
        <v>286</v>
      </c>
      <c r="FJ36" s="232" t="s">
        <v>289</v>
      </c>
      <c r="FK36" s="343" t="str">
        <f t="shared" si="50"/>
        <v/>
      </c>
      <c r="FL36" s="343">
        <v>430.0</v>
      </c>
      <c r="FM36" s="343">
        <v>90.0</v>
      </c>
      <c r="FN36" s="343">
        <v>1000.0</v>
      </c>
      <c r="FO36" s="8" t="str">
        <f t="shared" ref="FO36:FP36" si="60">FO35</f>
        <v/>
      </c>
      <c r="FP36" s="8" t="str">
        <f t="shared" si="60"/>
        <v/>
      </c>
      <c r="FQ36" s="8">
        <f t="shared" si="47"/>
        <v>0</v>
      </c>
      <c r="FR36" s="343">
        <f t="shared" si="48"/>
        <v>0</v>
      </c>
      <c r="FS36" s="343">
        <f t="shared" si="49"/>
        <v>0</v>
      </c>
      <c r="FT36" s="8"/>
      <c r="FU36" s="87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</row>
    <row r="37" ht="12.75" customHeight="1">
      <c r="A37" s="1"/>
      <c r="B37" s="1"/>
      <c r="C37" s="63"/>
      <c r="D37" s="1"/>
      <c r="E37" s="369" t="s">
        <v>295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S37" s="63"/>
      <c r="T37" s="1"/>
      <c r="U37" s="87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8"/>
      <c r="AQ37" s="1"/>
      <c r="AR37" s="87"/>
      <c r="AS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87"/>
      <c r="BK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87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8"/>
      <c r="CT37" s="1"/>
      <c r="CU37" s="1"/>
      <c r="CV37" s="1"/>
      <c r="CW37" s="1"/>
      <c r="CX37" s="1"/>
      <c r="CY37" s="1"/>
      <c r="CZ37" s="87"/>
      <c r="DA37" s="1"/>
      <c r="DB37" s="1"/>
      <c r="DC37" s="1"/>
      <c r="DD37" s="1"/>
      <c r="DE37" s="1"/>
      <c r="DF37" s="1"/>
      <c r="DG37" s="1"/>
      <c r="DH37" s="1"/>
      <c r="DI37" s="341"/>
      <c r="DJ37" s="1"/>
      <c r="DK37" s="1"/>
      <c r="DL37" s="1"/>
      <c r="DM37" s="1"/>
      <c r="DN37" s="1"/>
      <c r="DO37" s="1"/>
      <c r="DP37" s="1"/>
      <c r="DQ37" s="1"/>
      <c r="DR37" s="1"/>
      <c r="EU37" s="1"/>
      <c r="EV37" s="1"/>
      <c r="EW37" s="1"/>
      <c r="EX37" s="1"/>
      <c r="EZ37" s="1"/>
      <c r="FA37" s="1"/>
      <c r="FC37" s="1"/>
      <c r="FD37" s="87"/>
      <c r="FE37" s="1"/>
      <c r="FF37" s="142"/>
      <c r="FG37" s="342"/>
      <c r="FH37" s="1">
        <f t="shared" si="57"/>
        <v>0</v>
      </c>
      <c r="FI37" s="86" t="s">
        <v>286</v>
      </c>
      <c r="FJ37" s="232" t="s">
        <v>292</v>
      </c>
      <c r="FK37" s="343" t="str">
        <f t="shared" si="50"/>
        <v/>
      </c>
      <c r="FL37" s="343">
        <v>500.0</v>
      </c>
      <c r="FM37" s="343">
        <v>100.0</v>
      </c>
      <c r="FN37" s="343">
        <v>1000.0</v>
      </c>
      <c r="FO37" s="8" t="str">
        <f t="shared" ref="FO37:FP37" si="61">FO36</f>
        <v/>
      </c>
      <c r="FP37" s="8" t="str">
        <f t="shared" si="61"/>
        <v/>
      </c>
      <c r="FQ37" s="8">
        <f t="shared" si="47"/>
        <v>0</v>
      </c>
      <c r="FR37" s="343">
        <f t="shared" si="48"/>
        <v>0</v>
      </c>
      <c r="FS37" s="343">
        <f t="shared" si="49"/>
        <v>0</v>
      </c>
      <c r="FT37" s="8"/>
      <c r="FU37" s="87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</row>
    <row r="38" ht="15.75" customHeight="1">
      <c r="A38" s="1"/>
      <c r="B38" s="1"/>
      <c r="C38" s="63"/>
      <c r="D38" s="1"/>
      <c r="E38" s="1"/>
      <c r="F38" s="1"/>
      <c r="G38" s="1"/>
      <c r="H38" s="1"/>
      <c r="I38" s="1"/>
      <c r="J38" s="43" t="s">
        <v>296</v>
      </c>
      <c r="K38" s="44"/>
      <c r="L38" s="45"/>
      <c r="M38" s="1"/>
      <c r="N38" s="1"/>
      <c r="O38" s="1"/>
      <c r="P38" s="1"/>
      <c r="Q38" s="1"/>
      <c r="S38" s="63"/>
      <c r="T38" s="1"/>
      <c r="U38" s="87"/>
      <c r="W38" s="1" t="s">
        <v>69</v>
      </c>
      <c r="AA38" s="86"/>
      <c r="AB38" s="86"/>
      <c r="AC38" s="8"/>
      <c r="AD38" s="8"/>
      <c r="AE38" s="8"/>
      <c r="AF38" s="8"/>
      <c r="AG38" s="8"/>
      <c r="AH38" s="8"/>
      <c r="AI38" s="8"/>
      <c r="AJ38" s="1"/>
      <c r="AK38" s="1"/>
      <c r="AL38" s="1"/>
      <c r="AM38" s="1"/>
      <c r="AN38" s="86"/>
      <c r="AO38" s="86"/>
      <c r="AP38" s="8"/>
      <c r="AQ38" s="1"/>
      <c r="AR38" s="87"/>
      <c r="AS38" s="1" t="s">
        <v>70</v>
      </c>
      <c r="AU38" s="1"/>
      <c r="AV38" s="1"/>
      <c r="AW38" s="1"/>
      <c r="AX38" s="1"/>
      <c r="AY38" s="142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87"/>
      <c r="BK38" s="39" t="s">
        <v>71</v>
      </c>
      <c r="BM38" s="1"/>
      <c r="BN38" s="1"/>
      <c r="BO38" s="8"/>
      <c r="BP38" s="1"/>
      <c r="BQ38" s="343"/>
      <c r="BR38" s="343"/>
      <c r="BS38" s="1"/>
      <c r="BT38" s="39"/>
      <c r="BU38" s="1"/>
      <c r="BV38" s="1"/>
      <c r="BW38" s="1"/>
      <c r="BX38" s="1"/>
      <c r="BY38" s="1"/>
      <c r="BZ38" s="1"/>
      <c r="CA38" s="1"/>
      <c r="CB38" s="1"/>
      <c r="CC38" s="1"/>
      <c r="CD38" s="87"/>
      <c r="CE38" s="92" t="s">
        <v>72</v>
      </c>
      <c r="CF38" s="93"/>
      <c r="CG38" s="93"/>
      <c r="CH38" s="93"/>
      <c r="CI38" s="94" t="s">
        <v>73</v>
      </c>
      <c r="CJ38" s="93"/>
      <c r="CK38" s="93"/>
      <c r="CL38" s="93"/>
      <c r="CM38" s="93"/>
      <c r="CN38" s="93"/>
      <c r="CO38" s="93"/>
      <c r="CP38" s="93"/>
      <c r="CQ38" s="93"/>
      <c r="CR38" s="117"/>
      <c r="CS38" s="117"/>
      <c r="CT38" s="117"/>
      <c r="CU38" s="117"/>
      <c r="CV38" s="117"/>
      <c r="CW38" s="93"/>
      <c r="CX38" s="93"/>
      <c r="CY38" s="117"/>
      <c r="CZ38" s="370"/>
      <c r="DA38" s="1"/>
      <c r="DB38" s="1"/>
      <c r="DC38" s="1"/>
      <c r="DD38" s="1"/>
      <c r="DE38" s="1"/>
      <c r="DF38" s="1"/>
      <c r="DG38" s="1"/>
      <c r="DH38" s="1"/>
      <c r="DI38" s="341"/>
      <c r="DJ38" s="1"/>
      <c r="DK38" s="1"/>
      <c r="DL38" s="1"/>
      <c r="DM38" s="1"/>
      <c r="DN38" s="1"/>
      <c r="DO38" s="1"/>
      <c r="DP38" s="1"/>
      <c r="DQ38" s="1"/>
      <c r="DR38" s="1"/>
      <c r="EU38" s="1"/>
      <c r="EV38" s="1"/>
      <c r="EW38" s="1"/>
      <c r="EX38" s="1"/>
      <c r="EZ38" s="1"/>
      <c r="FA38" s="1"/>
      <c r="FC38" s="1"/>
      <c r="FD38" s="87"/>
      <c r="FE38" s="1"/>
      <c r="FF38" s="142"/>
      <c r="FG38" s="342"/>
      <c r="FH38" s="1">
        <f t="shared" ref="FH38:FH42" si="63">IF(FO38=FI38,IF(FP38=FJ38,4,0),0)</f>
        <v>0</v>
      </c>
      <c r="FI38" s="86" t="s">
        <v>88</v>
      </c>
      <c r="FJ38" s="232" t="s">
        <v>118</v>
      </c>
      <c r="FK38" s="343" t="str">
        <f t="shared" si="50"/>
        <v/>
      </c>
      <c r="FL38" s="343">
        <v>220.0</v>
      </c>
      <c r="FM38" s="343">
        <v>120.0</v>
      </c>
      <c r="FN38" s="343">
        <v>1000.0</v>
      </c>
      <c r="FO38" s="8" t="str">
        <f t="shared" ref="FO38:FP38" si="62">FO37</f>
        <v/>
      </c>
      <c r="FP38" s="8" t="str">
        <f t="shared" si="62"/>
        <v/>
      </c>
      <c r="FQ38" s="8">
        <f t="shared" si="47"/>
        <v>0</v>
      </c>
      <c r="FR38" s="343">
        <f t="shared" si="48"/>
        <v>0</v>
      </c>
      <c r="FS38" s="343">
        <f t="shared" si="49"/>
        <v>0</v>
      </c>
      <c r="FT38" s="8"/>
      <c r="FU38" s="87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</row>
    <row r="39" ht="12.75" hidden="1" customHeight="1">
      <c r="A39" s="2"/>
      <c r="B39" s="2"/>
      <c r="C39" s="47"/>
      <c r="D39" s="2"/>
      <c r="E39" s="2"/>
      <c r="F39" s="2"/>
      <c r="G39" s="2"/>
      <c r="H39" s="2"/>
      <c r="I39" s="2"/>
      <c r="J39" s="46"/>
      <c r="K39" s="47" t="s">
        <v>3</v>
      </c>
      <c r="L39" s="48" t="s">
        <v>4</v>
      </c>
      <c r="M39" s="2"/>
      <c r="N39" s="2"/>
      <c r="O39" s="2"/>
      <c r="P39" s="2"/>
      <c r="Q39" s="2"/>
      <c r="R39" s="2"/>
      <c r="S39" s="47"/>
      <c r="T39" s="2"/>
      <c r="U39" s="87"/>
      <c r="V39" s="2"/>
      <c r="W39" s="2"/>
      <c r="X39" s="2"/>
      <c r="Y39" s="2"/>
      <c r="Z39" s="2"/>
      <c r="AA39" s="95"/>
      <c r="AB39" s="95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95"/>
      <c r="AO39" s="95"/>
      <c r="AP39" s="2"/>
      <c r="AQ39" s="2"/>
      <c r="AR39" s="87"/>
      <c r="AS39" s="2" t="s">
        <v>74</v>
      </c>
      <c r="AT39" s="2"/>
      <c r="AU39" s="2"/>
      <c r="AV39" s="2"/>
      <c r="AW39" s="2"/>
      <c r="AX39" s="2"/>
      <c r="AY39" s="371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87"/>
      <c r="BK39" s="170" t="s">
        <v>75</v>
      </c>
      <c r="BL39" s="2"/>
      <c r="BM39" s="2"/>
      <c r="BN39" s="2"/>
      <c r="BO39" s="2"/>
      <c r="BP39" s="2"/>
      <c r="BQ39" s="372"/>
      <c r="BR39" s="372"/>
      <c r="BS39" s="2"/>
      <c r="BT39" s="170"/>
      <c r="BU39" s="2"/>
      <c r="BV39" s="2"/>
      <c r="BW39" s="2"/>
      <c r="BX39" s="2"/>
      <c r="BY39" s="2"/>
      <c r="BZ39" s="2"/>
      <c r="CA39" s="2"/>
      <c r="CB39" s="2"/>
      <c r="CC39" s="2"/>
      <c r="CD39" s="87"/>
      <c r="CE39" s="96" t="s">
        <v>76</v>
      </c>
      <c r="CF39" s="97"/>
      <c r="CG39" s="97"/>
      <c r="CH39" s="97"/>
      <c r="CI39" s="98" t="s">
        <v>77</v>
      </c>
      <c r="CJ39" s="99" t="s">
        <v>78</v>
      </c>
      <c r="CK39" s="97"/>
      <c r="CL39" s="97"/>
      <c r="CM39" s="97"/>
      <c r="CN39" s="97"/>
      <c r="CO39" s="97"/>
      <c r="CP39" s="97"/>
      <c r="CQ39" s="97"/>
      <c r="CR39" s="373"/>
      <c r="CS39" s="373"/>
      <c r="CT39" s="373"/>
      <c r="CU39" s="373"/>
      <c r="CV39" s="373"/>
      <c r="CW39" s="97"/>
      <c r="CX39" s="97"/>
      <c r="CY39" s="373"/>
      <c r="CZ39" s="370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87"/>
      <c r="FE39" s="2"/>
      <c r="FF39" s="371"/>
      <c r="FG39" s="374"/>
      <c r="FH39" s="1">
        <f t="shared" si="63"/>
        <v>0</v>
      </c>
      <c r="FI39" s="86" t="s">
        <v>88</v>
      </c>
      <c r="FJ39" s="375" t="s">
        <v>120</v>
      </c>
      <c r="FK39" s="343" t="str">
        <f t="shared" si="50"/>
        <v/>
      </c>
      <c r="FL39" s="376">
        <v>275.0</v>
      </c>
      <c r="FM39" s="377">
        <v>130.0</v>
      </c>
      <c r="FN39" s="343">
        <v>1000.0</v>
      </c>
      <c r="FO39" s="8" t="str">
        <f t="shared" ref="FO39:FP39" si="64">FO38</f>
        <v/>
      </c>
      <c r="FP39" s="8" t="str">
        <f t="shared" si="64"/>
        <v/>
      </c>
      <c r="FQ39" s="8">
        <f t="shared" si="47"/>
        <v>0</v>
      </c>
      <c r="FR39" s="343">
        <f t="shared" si="48"/>
        <v>0</v>
      </c>
      <c r="FS39" s="343">
        <f t="shared" si="49"/>
        <v>0</v>
      </c>
      <c r="FT39" s="2"/>
      <c r="FU39" s="87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</row>
    <row r="40" ht="15.75" customHeight="1">
      <c r="A40" s="92" t="s">
        <v>297</v>
      </c>
      <c r="B40" s="8"/>
      <c r="C40" s="63"/>
      <c r="D40" s="8"/>
      <c r="E40" s="8"/>
      <c r="F40" s="8"/>
      <c r="G40" s="8"/>
      <c r="H40" s="8"/>
      <c r="I40" s="1"/>
      <c r="J40" s="49" t="s">
        <v>42</v>
      </c>
      <c r="K40" s="378">
        <f>'WEB QUOTER'!J22</f>
        <v>225</v>
      </c>
      <c r="L40" s="51">
        <v>15.0</v>
      </c>
      <c r="M40" s="1"/>
      <c r="N40" s="1"/>
      <c r="O40" s="1">
        <f>IF(C42=J40,K40,0)</f>
        <v>0</v>
      </c>
      <c r="P40" s="1">
        <f>IF(C42=J40,L40,0)</f>
        <v>0</v>
      </c>
      <c r="Q40" s="1">
        <f>IF(J40=C42,4,0)</f>
        <v>0</v>
      </c>
      <c r="S40" s="63"/>
      <c r="T40" s="1"/>
      <c r="U40" s="87"/>
      <c r="V40" s="1" t="s">
        <v>16</v>
      </c>
      <c r="W40" s="39" t="s">
        <v>79</v>
      </c>
      <c r="AA40" s="86"/>
      <c r="AB40" s="86"/>
      <c r="AC40" s="8"/>
      <c r="AD40" s="8"/>
      <c r="AE40" s="8"/>
      <c r="AF40" s="8"/>
      <c r="AG40" s="8"/>
      <c r="AH40" s="8"/>
      <c r="AI40" s="8"/>
      <c r="AJ40" s="39" t="s">
        <v>80</v>
      </c>
      <c r="AK40" s="39"/>
      <c r="AL40" s="1"/>
      <c r="AM40" s="1"/>
      <c r="AN40" s="86"/>
      <c r="AO40" s="86"/>
      <c r="AP40" s="8"/>
      <c r="AQ40" s="1"/>
      <c r="AR40" s="87"/>
      <c r="AS40" s="1" t="s">
        <v>81</v>
      </c>
      <c r="AU40" s="1"/>
      <c r="AV40" s="1"/>
      <c r="AW40" s="1"/>
      <c r="AX40" s="1"/>
      <c r="AY40" s="142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87"/>
      <c r="BK40" s="39" t="s">
        <v>82</v>
      </c>
      <c r="BM40" s="1"/>
      <c r="BN40" s="1"/>
      <c r="BO40" s="8"/>
      <c r="BP40" s="1"/>
      <c r="BQ40" s="343"/>
      <c r="BR40" s="343"/>
      <c r="BS40" s="1"/>
      <c r="BT40" s="39"/>
      <c r="BU40" s="1"/>
      <c r="BV40" s="1"/>
      <c r="BW40" s="1"/>
      <c r="BX40" s="1"/>
      <c r="BY40" s="1"/>
      <c r="BZ40" s="1"/>
      <c r="CA40" s="1"/>
      <c r="CB40" s="1"/>
      <c r="CC40" s="1"/>
      <c r="CD40" s="87"/>
      <c r="CE40" s="92" t="s">
        <v>83</v>
      </c>
      <c r="CF40" s="93"/>
      <c r="CG40" s="93"/>
      <c r="CH40" s="93"/>
      <c r="CI40" s="100" t="s">
        <v>286</v>
      </c>
      <c r="CJ40" s="101" t="s">
        <v>85</v>
      </c>
      <c r="CK40" s="93"/>
      <c r="CL40" s="93"/>
      <c r="CM40" s="93"/>
      <c r="CN40" s="93"/>
      <c r="CO40" s="93"/>
      <c r="CP40" s="93"/>
      <c r="CQ40" s="93"/>
      <c r="CR40" s="117"/>
      <c r="CS40" s="117"/>
      <c r="CT40" s="117"/>
      <c r="CU40" s="117"/>
      <c r="CV40" s="117"/>
      <c r="CW40" s="93"/>
      <c r="CX40" s="93"/>
      <c r="CY40" s="117"/>
      <c r="CZ40" s="370"/>
      <c r="DA40" s="102" t="s">
        <v>86</v>
      </c>
      <c r="DB40" s="103" t="s">
        <v>74</v>
      </c>
      <c r="DC40" s="103" t="s">
        <v>286</v>
      </c>
      <c r="DD40" s="379"/>
      <c r="DE40" s="104" t="s">
        <v>88</v>
      </c>
      <c r="DF40" s="105" t="s">
        <v>89</v>
      </c>
      <c r="DG40" s="1"/>
      <c r="DH40" s="1"/>
      <c r="DI40" s="341"/>
      <c r="DJ40" s="380">
        <v>16.0</v>
      </c>
      <c r="DK40" s="381">
        <v>1.0</v>
      </c>
      <c r="DL40" s="1" t="str">
        <f>D82</f>
        <v/>
      </c>
      <c r="DM40" s="1">
        <f t="shared" ref="DM40:DM86" si="66">IF(DL40=DJ40,DK40,0)</f>
        <v>0</v>
      </c>
      <c r="DN40" s="382">
        <v>4.0</v>
      </c>
      <c r="DO40" s="348">
        <v>1.0</v>
      </c>
      <c r="DP40" s="1" t="str">
        <f>D83</f>
        <v/>
      </c>
      <c r="DQ40" s="1">
        <f t="shared" ref="DQ40:DQ65" si="67">IF(DP40=DN40,DO40,0)</f>
        <v>0</v>
      </c>
      <c r="DR40" s="1"/>
      <c r="EU40" s="1"/>
      <c r="EV40" s="1"/>
      <c r="EW40" s="1"/>
      <c r="EX40" s="1"/>
      <c r="EZ40" s="1"/>
      <c r="FA40" s="1"/>
      <c r="FC40" s="1"/>
      <c r="FD40" s="87"/>
      <c r="FE40" s="1"/>
      <c r="FF40" s="142"/>
      <c r="FG40" s="342"/>
      <c r="FH40" s="1">
        <f t="shared" si="63"/>
        <v>0</v>
      </c>
      <c r="FI40" s="86" t="s">
        <v>88</v>
      </c>
      <c r="FJ40" s="232" t="s">
        <v>287</v>
      </c>
      <c r="FK40" s="343" t="str">
        <f t="shared" si="50"/>
        <v/>
      </c>
      <c r="FL40" s="343">
        <v>435.0</v>
      </c>
      <c r="FM40" s="343">
        <v>150.0</v>
      </c>
      <c r="FN40" s="343">
        <v>1000.0</v>
      </c>
      <c r="FO40" s="8" t="str">
        <f t="shared" ref="FO40:FP40" si="65">FO39</f>
        <v/>
      </c>
      <c r="FP40" s="8" t="str">
        <f t="shared" si="65"/>
        <v/>
      </c>
      <c r="FQ40" s="8">
        <f t="shared" si="47"/>
        <v>0</v>
      </c>
      <c r="FR40" s="343">
        <f t="shared" si="48"/>
        <v>0</v>
      </c>
      <c r="FS40" s="343">
        <f t="shared" si="49"/>
        <v>0</v>
      </c>
      <c r="FT40" s="8"/>
      <c r="FU40" s="87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</row>
    <row r="41" ht="12.75" customHeight="1">
      <c r="A41" s="383" t="s">
        <v>298</v>
      </c>
      <c r="B41" s="384"/>
      <c r="C41" s="385"/>
      <c r="D41" s="384" t="s">
        <v>40</v>
      </c>
      <c r="E41" s="384"/>
      <c r="F41" s="384"/>
      <c r="G41" s="386" t="s">
        <v>5</v>
      </c>
      <c r="H41" s="387"/>
      <c r="I41" s="1"/>
      <c r="J41" s="49" t="s">
        <v>27</v>
      </c>
      <c r="K41" s="378">
        <f>'WEB QUOTER'!J23</f>
        <v>250</v>
      </c>
      <c r="L41" s="51">
        <v>15.0</v>
      </c>
      <c r="M41" s="1"/>
      <c r="N41" s="1"/>
      <c r="O41" s="1">
        <f>IF(C42=J41,K41,0)</f>
        <v>250</v>
      </c>
      <c r="P41" s="1">
        <f>IF(C42=J41,L41,0)</f>
        <v>15</v>
      </c>
      <c r="Q41" s="1">
        <f>IF(J41=C42,4,0)</f>
        <v>4</v>
      </c>
      <c r="S41" s="63"/>
      <c r="T41" s="1"/>
      <c r="U41" s="87"/>
      <c r="V41" s="1" t="s">
        <v>66</v>
      </c>
      <c r="W41" s="106" t="s">
        <v>90</v>
      </c>
      <c r="X41" s="107" t="s">
        <v>91</v>
      </c>
      <c r="Y41" s="107" t="s">
        <v>92</v>
      </c>
      <c r="Z41" s="107" t="s">
        <v>93</v>
      </c>
      <c r="AA41" s="108" t="s">
        <v>94</v>
      </c>
      <c r="AB41" s="109" t="s">
        <v>95</v>
      </c>
      <c r="AC41" s="39"/>
      <c r="AD41" s="39"/>
      <c r="AE41" s="39"/>
      <c r="AF41" s="39"/>
      <c r="AG41" s="39"/>
      <c r="AH41" s="39"/>
      <c r="AI41" s="39"/>
      <c r="AJ41" s="110" t="s">
        <v>90</v>
      </c>
      <c r="AK41" s="111"/>
      <c r="AL41" s="107" t="s">
        <v>91</v>
      </c>
      <c r="AM41" s="107" t="s">
        <v>93</v>
      </c>
      <c r="AN41" s="108" t="s">
        <v>96</v>
      </c>
      <c r="AO41" s="109" t="s">
        <v>95</v>
      </c>
      <c r="AP41" s="8"/>
      <c r="AQ41" s="1"/>
      <c r="AR41" s="87"/>
      <c r="AS41" s="39" t="s">
        <v>97</v>
      </c>
      <c r="AU41" s="1"/>
      <c r="AV41" s="1"/>
      <c r="AW41" s="1"/>
      <c r="AX41" s="1"/>
      <c r="AY41" s="142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87"/>
      <c r="BK41" s="39" t="s">
        <v>98</v>
      </c>
      <c r="BM41" s="1"/>
      <c r="BN41" s="1"/>
      <c r="BO41" s="8"/>
      <c r="BP41" s="1"/>
      <c r="BQ41" s="343"/>
      <c r="BR41" s="343"/>
      <c r="BS41" s="1"/>
      <c r="BT41" s="39"/>
      <c r="BU41" s="1"/>
      <c r="BV41" s="1"/>
      <c r="BW41" s="1"/>
      <c r="BX41" s="1"/>
      <c r="BY41" s="1"/>
      <c r="BZ41" s="1"/>
      <c r="CA41" s="1"/>
      <c r="CB41" s="1"/>
      <c r="CC41" s="1"/>
      <c r="CD41" s="87"/>
      <c r="CE41" s="92"/>
      <c r="CF41" s="93"/>
      <c r="CG41" s="93"/>
      <c r="CH41" s="93"/>
      <c r="CI41" s="93"/>
      <c r="CJ41" s="93"/>
      <c r="CK41" s="93"/>
      <c r="CL41" s="93"/>
      <c r="CM41" s="93"/>
      <c r="CN41" s="93"/>
      <c r="CO41" s="93"/>
      <c r="CP41" s="388" t="s">
        <v>299</v>
      </c>
      <c r="CQ41" s="389"/>
      <c r="CR41" s="244"/>
      <c r="CS41" s="244"/>
      <c r="CT41" s="244"/>
      <c r="CU41" s="244"/>
      <c r="CV41" s="244"/>
      <c r="CW41" s="389"/>
      <c r="CX41" s="390"/>
      <c r="CY41" s="117"/>
      <c r="CZ41" s="370"/>
      <c r="DA41" s="112" t="s">
        <v>99</v>
      </c>
      <c r="DB41" s="113">
        <v>5.0</v>
      </c>
      <c r="DC41" s="114">
        <v>10.0</v>
      </c>
      <c r="DD41" s="391"/>
      <c r="DE41" s="113">
        <v>20.0</v>
      </c>
      <c r="DF41" s="114">
        <v>20.0</v>
      </c>
      <c r="DG41" s="1"/>
      <c r="DH41" s="1"/>
      <c r="DI41" s="341"/>
      <c r="DJ41" s="392">
        <f t="shared" ref="DJ41:DJ63" si="69">DJ40+4</f>
        <v>20</v>
      </c>
      <c r="DK41" s="393">
        <v>2.0</v>
      </c>
      <c r="DL41" s="1" t="str">
        <f t="shared" ref="DL41:DL86" si="70">DL40</f>
        <v/>
      </c>
      <c r="DM41" s="1">
        <f t="shared" si="66"/>
        <v>0</v>
      </c>
      <c r="DN41" s="394">
        <v>8.0</v>
      </c>
      <c r="DO41" s="95">
        <v>1.0</v>
      </c>
      <c r="DP41" s="1" t="str">
        <f t="shared" ref="DP41:DP65" si="71">DP40</f>
        <v/>
      </c>
      <c r="DQ41" s="1">
        <f t="shared" si="67"/>
        <v>0</v>
      </c>
      <c r="DR41" s="1"/>
      <c r="EU41" s="1"/>
      <c r="EV41" s="1"/>
      <c r="EW41" s="1"/>
      <c r="EX41" s="1"/>
      <c r="EZ41" s="1"/>
      <c r="FA41" s="1"/>
      <c r="FC41" s="1"/>
      <c r="FD41" s="87"/>
      <c r="FE41" s="1"/>
      <c r="FF41" s="142"/>
      <c r="FG41" s="342"/>
      <c r="FH41" s="1">
        <f t="shared" si="63"/>
        <v>0</v>
      </c>
      <c r="FI41" s="86" t="s">
        <v>88</v>
      </c>
      <c r="FJ41" s="232" t="s">
        <v>289</v>
      </c>
      <c r="FK41" s="343" t="str">
        <f t="shared" si="50"/>
        <v/>
      </c>
      <c r="FL41" s="343">
        <v>520.0</v>
      </c>
      <c r="FM41" s="343">
        <v>160.0</v>
      </c>
      <c r="FN41" s="343">
        <v>1000.0</v>
      </c>
      <c r="FO41" s="8" t="str">
        <f t="shared" ref="FO41:FP41" si="68">FO40</f>
        <v/>
      </c>
      <c r="FP41" s="8" t="str">
        <f t="shared" si="68"/>
        <v/>
      </c>
      <c r="FQ41" s="8">
        <f t="shared" si="47"/>
        <v>0</v>
      </c>
      <c r="FR41" s="343">
        <f t="shared" si="48"/>
        <v>0</v>
      </c>
      <c r="FS41" s="343">
        <f t="shared" si="49"/>
        <v>0</v>
      </c>
      <c r="FT41" s="8"/>
      <c r="FU41" s="87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</row>
    <row r="42" ht="12.75" customHeight="1">
      <c r="A42" s="38" t="s">
        <v>25</v>
      </c>
      <c r="B42" s="39" t="s">
        <v>300</v>
      </c>
      <c r="C42" s="395" t="str">
        <f>'WEB QUOTER'!F15</f>
        <v>4/c opt 2</v>
      </c>
      <c r="D42" s="8"/>
      <c r="E42" s="8"/>
      <c r="F42" s="8"/>
      <c r="G42" s="359"/>
      <c r="H42" s="387"/>
      <c r="I42" s="1"/>
      <c r="J42" s="49" t="s">
        <v>45</v>
      </c>
      <c r="K42" s="378">
        <f>'WEB QUOTER'!J24</f>
        <v>300</v>
      </c>
      <c r="L42" s="51">
        <v>15.0</v>
      </c>
      <c r="M42" s="1"/>
      <c r="N42" s="1"/>
      <c r="O42" s="1">
        <f>IF(C42=J42,K42,0)</f>
        <v>0</v>
      </c>
      <c r="P42" s="1">
        <f>IF(C42=J42,L42,0)</f>
        <v>0</v>
      </c>
      <c r="Q42" s="1">
        <f>IF(J42=C42,4,0)</f>
        <v>0</v>
      </c>
      <c r="S42" s="63"/>
      <c r="T42" s="1"/>
      <c r="U42" s="87"/>
      <c r="V42" s="1" t="s">
        <v>67</v>
      </c>
      <c r="W42" s="110">
        <v>1.0</v>
      </c>
      <c r="X42" s="1">
        <v>175.0</v>
      </c>
      <c r="Y42" s="1">
        <v>25.0</v>
      </c>
      <c r="Z42" s="1">
        <v>20.0</v>
      </c>
      <c r="AA42" s="115">
        <v>220.0</v>
      </c>
      <c r="AB42" s="115">
        <v>45.0</v>
      </c>
      <c r="AC42" s="8"/>
      <c r="AD42" s="8">
        <f>IF(D75 &gt;0,D75,C75)</f>
        <v>1</v>
      </c>
      <c r="AE42" s="8">
        <f t="shared" ref="AE42:AE61" si="73">IF(AD42=W42,AA42,0)</f>
        <v>220</v>
      </c>
      <c r="AF42" s="8">
        <f t="shared" ref="AF42:AF61" si="74">IF(AD42=W42,AB42,0)</f>
        <v>45</v>
      </c>
      <c r="AG42" s="8"/>
      <c r="AH42" s="8"/>
      <c r="AI42" s="8"/>
      <c r="AJ42" s="116">
        <v>1.0</v>
      </c>
      <c r="AK42" s="39"/>
      <c r="AL42" s="1">
        <v>500.0</v>
      </c>
      <c r="AM42" s="1">
        <v>20.0</v>
      </c>
      <c r="AN42" s="115">
        <v>520.0</v>
      </c>
      <c r="AO42" s="115">
        <v>400.0</v>
      </c>
      <c r="AP42" s="8">
        <f t="shared" ref="AP42:AP61" si="75">IF(AD42=AJ42,AN42,0)</f>
        <v>520</v>
      </c>
      <c r="AQ42" s="1">
        <f t="shared" ref="AQ42:AQ59" si="76">IF(AD42=AJ42,AO42,0)</f>
        <v>400</v>
      </c>
      <c r="AR42" s="87"/>
      <c r="AS42" s="1" t="s">
        <v>100</v>
      </c>
      <c r="AU42" s="1"/>
      <c r="AV42" s="1"/>
      <c r="AW42" s="1"/>
      <c r="AX42" s="1"/>
      <c r="AY42" s="142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87"/>
      <c r="BK42" s="1"/>
      <c r="BM42" s="1"/>
      <c r="BN42" s="1"/>
      <c r="BO42" s="8"/>
      <c r="BP42" s="1"/>
      <c r="BQ42" s="343"/>
      <c r="BR42" s="343"/>
      <c r="BS42" s="1"/>
      <c r="BT42" s="39"/>
      <c r="BU42" s="1"/>
      <c r="BV42" s="1"/>
      <c r="BW42" s="1"/>
      <c r="BX42" s="1"/>
      <c r="BY42" s="1"/>
      <c r="BZ42" s="1"/>
      <c r="CA42" s="1"/>
      <c r="CB42" s="1"/>
      <c r="CC42" s="1"/>
      <c r="CD42" s="87"/>
      <c r="CE42" s="117"/>
      <c r="CF42" s="93" t="s">
        <v>3</v>
      </c>
      <c r="CG42" s="104" t="s">
        <v>5</v>
      </c>
      <c r="CH42" s="93"/>
      <c r="CI42" s="93" t="s">
        <v>3</v>
      </c>
      <c r="CJ42" s="118" t="s">
        <v>5</v>
      </c>
      <c r="CK42" s="93"/>
      <c r="CL42" s="93" t="s">
        <v>3</v>
      </c>
      <c r="CM42" s="119" t="s">
        <v>5</v>
      </c>
      <c r="CN42" s="93"/>
      <c r="CO42" s="93"/>
      <c r="CP42" s="396" t="s">
        <v>301</v>
      </c>
      <c r="CQ42" s="1"/>
      <c r="CR42" s="117"/>
      <c r="CS42" s="117"/>
      <c r="CT42" s="117"/>
      <c r="CU42" s="117"/>
      <c r="CV42" s="117"/>
      <c r="CW42" s="93"/>
      <c r="CX42" s="397"/>
      <c r="CY42" s="117"/>
      <c r="CZ42" s="370"/>
      <c r="DA42" s="120" t="s">
        <v>101</v>
      </c>
      <c r="DB42" s="121">
        <v>3.0</v>
      </c>
      <c r="DC42" s="122">
        <v>5.0</v>
      </c>
      <c r="DD42" s="391"/>
      <c r="DE42" s="121">
        <v>10.0</v>
      </c>
      <c r="DF42" s="122">
        <v>10.0</v>
      </c>
      <c r="DG42" s="1"/>
      <c r="DH42" s="1"/>
      <c r="DI42" s="341"/>
      <c r="DJ42" s="398">
        <f t="shared" si="69"/>
        <v>24</v>
      </c>
      <c r="DK42" s="399">
        <v>2.0</v>
      </c>
      <c r="DL42" s="1" t="str">
        <f t="shared" si="70"/>
        <v/>
      </c>
      <c r="DM42" s="1">
        <f t="shared" si="66"/>
        <v>0</v>
      </c>
      <c r="DN42" s="382">
        <f t="shared" ref="DN42:DN65" si="77">DN41+4</f>
        <v>12</v>
      </c>
      <c r="DO42" s="86">
        <v>2.0</v>
      </c>
      <c r="DP42" s="1" t="str">
        <f t="shared" si="71"/>
        <v/>
      </c>
      <c r="DQ42" s="1">
        <f t="shared" si="67"/>
        <v>0</v>
      </c>
      <c r="DR42" s="1"/>
      <c r="EU42" s="1"/>
      <c r="EV42" s="1"/>
      <c r="EW42" s="1"/>
      <c r="EX42" s="1"/>
      <c r="EZ42" s="1"/>
      <c r="FA42" s="1"/>
      <c r="FC42" s="1"/>
      <c r="FD42" s="87"/>
      <c r="FE42" s="1"/>
      <c r="FF42" s="142"/>
      <c r="FG42" s="342"/>
      <c r="FH42" s="1">
        <f t="shared" si="63"/>
        <v>0</v>
      </c>
      <c r="FI42" s="86" t="s">
        <v>88</v>
      </c>
      <c r="FJ42" s="232" t="s">
        <v>292</v>
      </c>
      <c r="FK42" s="343" t="str">
        <f t="shared" si="50"/>
        <v/>
      </c>
      <c r="FL42" s="343">
        <v>600.0</v>
      </c>
      <c r="FM42" s="343">
        <v>175.0</v>
      </c>
      <c r="FN42" s="343">
        <v>1000.0</v>
      </c>
      <c r="FO42" s="8" t="str">
        <f t="shared" ref="FO42:FP42" si="72">FO41</f>
        <v/>
      </c>
      <c r="FP42" s="8" t="str">
        <f t="shared" si="72"/>
        <v/>
      </c>
      <c r="FQ42" s="8">
        <f t="shared" si="47"/>
        <v>0</v>
      </c>
      <c r="FR42" s="343">
        <f t="shared" si="48"/>
        <v>0</v>
      </c>
      <c r="FS42" s="343">
        <f t="shared" si="49"/>
        <v>0</v>
      </c>
      <c r="FT42" s="8"/>
      <c r="FU42" s="87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</row>
    <row r="43" ht="12.75" customHeight="1">
      <c r="A43" s="38" t="s">
        <v>28</v>
      </c>
      <c r="B43" s="8" t="s">
        <v>29</v>
      </c>
      <c r="C43" s="400" t="str">
        <f>'WEB QUOTER'!F16</f>
        <v/>
      </c>
      <c r="D43" s="401">
        <f>O47*C43</f>
        <v>0</v>
      </c>
      <c r="E43" s="8"/>
      <c r="F43" s="8"/>
      <c r="G43" s="402">
        <f>P47*C43</f>
        <v>0</v>
      </c>
      <c r="H43" s="387"/>
      <c r="I43" s="1"/>
      <c r="J43" s="49" t="s">
        <v>47</v>
      </c>
      <c r="K43" s="378">
        <f>'WEB QUOTER'!J25</f>
        <v>350</v>
      </c>
      <c r="L43" s="51">
        <v>15.0</v>
      </c>
      <c r="M43" s="1"/>
      <c r="N43" s="1"/>
      <c r="O43" s="1">
        <f>IF(C42=J43,K43,0)</f>
        <v>0</v>
      </c>
      <c r="P43" s="1">
        <f>IF(C42=J43,L43,0)</f>
        <v>0</v>
      </c>
      <c r="Q43" s="1">
        <f>IF(J43=C42,4,0)</f>
        <v>0</v>
      </c>
      <c r="S43" s="63"/>
      <c r="T43" s="1"/>
      <c r="U43" s="87"/>
      <c r="W43" s="123">
        <f t="shared" ref="W43:W61" si="79">W42+1</f>
        <v>2</v>
      </c>
      <c r="X43" s="124">
        <v>175.0</v>
      </c>
      <c r="Y43" s="124">
        <v>40.0</v>
      </c>
      <c r="Z43" s="124">
        <f t="shared" ref="Z43:Z61" si="80">Z42+20</f>
        <v>40</v>
      </c>
      <c r="AA43" s="125">
        <v>255.0</v>
      </c>
      <c r="AB43" s="125">
        <v>80.0</v>
      </c>
      <c r="AC43" s="8"/>
      <c r="AD43" s="8">
        <f t="shared" ref="AD43:AD61" si="81">AD42</f>
        <v>1</v>
      </c>
      <c r="AE43" s="8">
        <f t="shared" si="73"/>
        <v>0</v>
      </c>
      <c r="AF43" s="8">
        <f t="shared" si="74"/>
        <v>0</v>
      </c>
      <c r="AG43" s="8"/>
      <c r="AH43" s="8"/>
      <c r="AI43" s="8"/>
      <c r="AJ43" s="123">
        <f t="shared" ref="AJ43:AJ61" si="82">AJ42+1</f>
        <v>2</v>
      </c>
      <c r="AK43" s="126"/>
      <c r="AL43" s="124">
        <v>500.0</v>
      </c>
      <c r="AM43" s="124">
        <v>40.0</v>
      </c>
      <c r="AN43" s="125">
        <f t="shared" ref="AN43:AN46" si="83">AN42+20</f>
        <v>540</v>
      </c>
      <c r="AO43" s="125">
        <v>400.0</v>
      </c>
      <c r="AP43" s="8">
        <f t="shared" si="75"/>
        <v>0</v>
      </c>
      <c r="AQ43" s="1">
        <f t="shared" si="76"/>
        <v>0</v>
      </c>
      <c r="AR43" s="87"/>
      <c r="AS43" s="1"/>
      <c r="AU43" s="1"/>
      <c r="AV43" s="1"/>
      <c r="AW43" s="1"/>
      <c r="AX43" s="1"/>
      <c r="AY43" s="403" t="s">
        <v>302</v>
      </c>
      <c r="AZ43" s="53"/>
      <c r="BA43" s="53"/>
      <c r="BB43" s="53"/>
      <c r="BC43" s="53"/>
      <c r="BD43" s="53"/>
      <c r="BE43" s="53"/>
      <c r="BF43" s="53"/>
      <c r="BG43" s="53"/>
      <c r="BH43" s="53"/>
      <c r="BI43" s="404"/>
      <c r="BJ43" s="87"/>
      <c r="BK43" s="1"/>
      <c r="BM43" s="1"/>
      <c r="BN43" s="1"/>
      <c r="BO43" s="8"/>
      <c r="BP43" s="1"/>
      <c r="BQ43" s="343"/>
      <c r="BR43" s="343"/>
      <c r="BS43" s="1"/>
      <c r="BT43" s="243" t="s">
        <v>303</v>
      </c>
      <c r="BU43" s="53"/>
      <c r="BV43" s="53"/>
      <c r="BW43" s="53"/>
      <c r="BX43" s="53"/>
      <c r="BY43" s="53"/>
      <c r="BZ43" s="53"/>
      <c r="CA43" s="53"/>
      <c r="CB43" s="53"/>
      <c r="CC43" s="404"/>
      <c r="CD43" s="87"/>
      <c r="CE43" s="136" t="s">
        <v>108</v>
      </c>
      <c r="CF43" s="103" t="s">
        <v>74</v>
      </c>
      <c r="CG43" s="103" t="s">
        <v>74</v>
      </c>
      <c r="CH43" s="137"/>
      <c r="CI43" s="103" t="s">
        <v>286</v>
      </c>
      <c r="CJ43" s="103" t="s">
        <v>286</v>
      </c>
      <c r="CK43" s="137"/>
      <c r="CL43" s="104" t="s">
        <v>88</v>
      </c>
      <c r="CM43" s="104" t="s">
        <v>88</v>
      </c>
      <c r="CN43" s="93"/>
      <c r="CO43" s="93"/>
      <c r="CP43" s="405" t="str">
        <f>D79</f>
        <v/>
      </c>
      <c r="CQ43" s="1"/>
      <c r="CR43" s="117"/>
      <c r="CS43" s="117"/>
      <c r="CT43" s="117"/>
      <c r="CU43" s="117"/>
      <c r="CV43" s="117"/>
      <c r="CW43" s="93"/>
      <c r="CX43" s="397"/>
      <c r="CY43" s="117"/>
      <c r="CZ43" s="370"/>
      <c r="DA43" s="138" t="s">
        <v>304</v>
      </c>
      <c r="DB43" s="139">
        <v>5.0</v>
      </c>
      <c r="DC43" s="140">
        <v>10.0</v>
      </c>
      <c r="DD43" s="391"/>
      <c r="DE43" s="139">
        <v>20.0</v>
      </c>
      <c r="DF43" s="140">
        <v>20.0</v>
      </c>
      <c r="DG43" s="1"/>
      <c r="DH43" s="1"/>
      <c r="DI43" s="341"/>
      <c r="DJ43" s="392">
        <f t="shared" si="69"/>
        <v>28</v>
      </c>
      <c r="DK43" s="393">
        <v>3.0</v>
      </c>
      <c r="DL43" s="1" t="str">
        <f t="shared" si="70"/>
        <v/>
      </c>
      <c r="DM43" s="1">
        <f t="shared" si="66"/>
        <v>0</v>
      </c>
      <c r="DN43" s="394">
        <f t="shared" si="77"/>
        <v>16</v>
      </c>
      <c r="DO43" s="95">
        <v>2.0</v>
      </c>
      <c r="DP43" s="1" t="str">
        <f t="shared" si="71"/>
        <v/>
      </c>
      <c r="DQ43" s="1">
        <f t="shared" si="67"/>
        <v>0</v>
      </c>
      <c r="DR43" s="1"/>
      <c r="EU43" s="1"/>
      <c r="EV43" s="1"/>
      <c r="EW43" s="1"/>
      <c r="EX43" s="1"/>
      <c r="EZ43" s="1"/>
      <c r="FA43" s="1"/>
      <c r="FC43" s="1"/>
      <c r="FD43" s="87"/>
      <c r="FE43" s="1"/>
      <c r="FF43" s="142"/>
      <c r="FG43" s="342"/>
      <c r="FH43" s="1">
        <f t="shared" ref="FH43:FH47" si="84">IF(FO43=FI43,IF(FP43=FJ43,5,0),0)</f>
        <v>0</v>
      </c>
      <c r="FI43" s="86" t="s">
        <v>291</v>
      </c>
      <c r="FJ43" s="232" t="s">
        <v>118</v>
      </c>
      <c r="FK43" s="343" t="str">
        <f t="shared" si="50"/>
        <v/>
      </c>
      <c r="FL43" s="343"/>
      <c r="FM43" s="343"/>
      <c r="FN43" s="343">
        <v>1000.0</v>
      </c>
      <c r="FO43" s="8" t="str">
        <f t="shared" ref="FO43:FP43" si="78">FO42</f>
        <v/>
      </c>
      <c r="FP43" s="8" t="str">
        <f t="shared" si="78"/>
        <v/>
      </c>
      <c r="FQ43" s="8">
        <f t="shared" si="47"/>
        <v>0</v>
      </c>
      <c r="FR43" s="343">
        <f t="shared" si="48"/>
        <v>0</v>
      </c>
      <c r="FS43" s="343">
        <f t="shared" si="49"/>
        <v>0</v>
      </c>
      <c r="FT43" s="8"/>
      <c r="FU43" s="87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</row>
    <row r="44" ht="12.75" customHeight="1">
      <c r="A44" s="38"/>
      <c r="B44" s="8"/>
      <c r="C44" s="63"/>
      <c r="D44" s="8"/>
      <c r="E44" s="8"/>
      <c r="F44" s="8"/>
      <c r="G44" s="359"/>
      <c r="H44" s="387"/>
      <c r="I44" s="1"/>
      <c r="J44" s="49" t="s">
        <v>52</v>
      </c>
      <c r="K44" s="378">
        <f>'WEB QUOTER'!J26</f>
        <v>200</v>
      </c>
      <c r="L44" s="51">
        <v>15.0</v>
      </c>
      <c r="M44" s="1"/>
      <c r="N44" s="1"/>
      <c r="O44" s="1">
        <f>IF(C42=J44,K44,0)</f>
        <v>0</v>
      </c>
      <c r="P44" s="1">
        <f>IF(C42=J44,L44,0)</f>
        <v>0</v>
      </c>
      <c r="Q44" s="1">
        <f>IF(J44=C42,4,0)</f>
        <v>0</v>
      </c>
      <c r="S44" s="63"/>
      <c r="T44" s="1"/>
      <c r="U44" s="87"/>
      <c r="W44" s="116">
        <f t="shared" si="79"/>
        <v>3</v>
      </c>
      <c r="X44" s="1">
        <v>175.0</v>
      </c>
      <c r="Y44" s="1">
        <f t="shared" ref="Y44:Y61" si="86">Y43+15</f>
        <v>55</v>
      </c>
      <c r="Z44" s="1">
        <f t="shared" si="80"/>
        <v>60</v>
      </c>
      <c r="AA44" s="141">
        <v>290.0</v>
      </c>
      <c r="AB44" s="141">
        <v>115.0</v>
      </c>
      <c r="AC44" s="8"/>
      <c r="AD44" s="8">
        <f t="shared" si="81"/>
        <v>1</v>
      </c>
      <c r="AE44" s="8">
        <f t="shared" si="73"/>
        <v>0</v>
      </c>
      <c r="AF44" s="8">
        <f t="shared" si="74"/>
        <v>0</v>
      </c>
      <c r="AG44" s="8"/>
      <c r="AH44" s="8"/>
      <c r="AI44" s="8"/>
      <c r="AJ44" s="116">
        <f t="shared" si="82"/>
        <v>3</v>
      </c>
      <c r="AK44" s="39"/>
      <c r="AL44" s="1">
        <v>500.0</v>
      </c>
      <c r="AM44" s="1">
        <v>60.0</v>
      </c>
      <c r="AN44" s="141">
        <f t="shared" si="83"/>
        <v>560</v>
      </c>
      <c r="AO44" s="141">
        <v>400.0</v>
      </c>
      <c r="AP44" s="8">
        <f t="shared" si="75"/>
        <v>0</v>
      </c>
      <c r="AQ44" s="1">
        <f t="shared" si="76"/>
        <v>0</v>
      </c>
      <c r="AR44" s="87"/>
      <c r="AS44" s="406" t="s">
        <v>110</v>
      </c>
      <c r="AT44" s="407" t="s">
        <v>107</v>
      </c>
      <c r="AU44" s="407" t="s">
        <v>113</v>
      </c>
      <c r="AV44" s="407" t="s">
        <v>114</v>
      </c>
      <c r="AW44" s="408" t="s">
        <v>115</v>
      </c>
      <c r="AX44" s="348"/>
      <c r="AY44" s="409"/>
      <c r="AZ44" s="348"/>
      <c r="BA44" s="348"/>
      <c r="BB44" s="348"/>
      <c r="BC44" s="348"/>
      <c r="BD44" s="348"/>
      <c r="BE44" s="348"/>
      <c r="BF44" s="348"/>
      <c r="BG44" s="348"/>
      <c r="BH44" s="348"/>
      <c r="BI44" s="410"/>
      <c r="BJ44" s="87"/>
      <c r="BK44" s="86"/>
      <c r="BL44" s="86"/>
      <c r="BM44" s="86"/>
      <c r="BN44" s="86"/>
      <c r="BO44" s="86"/>
      <c r="BP44" s="411">
        <v>0.85</v>
      </c>
      <c r="BQ44" s="411">
        <v>0.85</v>
      </c>
      <c r="BR44" s="411"/>
      <c r="BS44" s="86"/>
      <c r="BT44" s="412"/>
      <c r="BU44" s="8"/>
      <c r="BV44" s="8"/>
      <c r="BW44" s="8"/>
      <c r="BX44" s="8"/>
      <c r="BY44" s="8"/>
      <c r="BZ44" s="8"/>
      <c r="CA44" s="8"/>
      <c r="CB44" s="8"/>
      <c r="CC44" s="359"/>
      <c r="CD44" s="87"/>
      <c r="CE44" s="147" t="s">
        <v>118</v>
      </c>
      <c r="CF44" s="114">
        <v>98.0</v>
      </c>
      <c r="CG44" s="113">
        <v>58.0</v>
      </c>
      <c r="CH44" s="148"/>
      <c r="CI44" s="114">
        <v>155.0</v>
      </c>
      <c r="CJ44" s="149">
        <v>65.0</v>
      </c>
      <c r="CK44" s="148"/>
      <c r="CL44" s="114">
        <v>220.0</v>
      </c>
      <c r="CM44" s="150">
        <v>120.0</v>
      </c>
      <c r="CN44" s="151"/>
      <c r="CO44" s="93"/>
      <c r="CP44" s="93"/>
      <c r="CQ44" s="1"/>
      <c r="CR44" s="117"/>
      <c r="CS44" s="117" t="str">
        <f>D79</f>
        <v/>
      </c>
      <c r="CT44" s="117">
        <f>IF(CS44=CE44,IF(CF43=CP49,CF44,IF(CI43=CP49,CI44,IF(CL43=CP49,CL44,0))),0)</f>
        <v>0</v>
      </c>
      <c r="CU44" s="117">
        <f>IF(CS44=CE44,IF(CG43=CP49,CG44,IF(CJ43=CP49,CJ44,IF(CM43=CP49,CM44,0))),0)</f>
        <v>0</v>
      </c>
      <c r="CV44" s="117" t="s">
        <v>305</v>
      </c>
      <c r="CW44" s="93"/>
      <c r="CX44" s="397"/>
      <c r="CY44" s="117"/>
      <c r="CZ44" s="370"/>
      <c r="DA44" s="120" t="s">
        <v>306</v>
      </c>
      <c r="DB44" s="121">
        <v>8.0</v>
      </c>
      <c r="DC44" s="122">
        <v>15.0</v>
      </c>
      <c r="DD44" s="391"/>
      <c r="DE44" s="121">
        <v>30.0</v>
      </c>
      <c r="DF44" s="122">
        <v>60.0</v>
      </c>
      <c r="DG44" s="1"/>
      <c r="DH44" s="1"/>
      <c r="DI44" s="341"/>
      <c r="DJ44" s="398">
        <f t="shared" si="69"/>
        <v>32</v>
      </c>
      <c r="DK44" s="399">
        <v>2.0</v>
      </c>
      <c r="DL44" s="1" t="str">
        <f t="shared" si="70"/>
        <v/>
      </c>
      <c r="DM44" s="1">
        <f t="shared" si="66"/>
        <v>0</v>
      </c>
      <c r="DN44" s="382">
        <f t="shared" si="77"/>
        <v>20</v>
      </c>
      <c r="DO44" s="86">
        <v>3.0</v>
      </c>
      <c r="DP44" s="1" t="str">
        <f t="shared" si="71"/>
        <v/>
      </c>
      <c r="DQ44" s="1">
        <f t="shared" si="67"/>
        <v>0</v>
      </c>
      <c r="DR44" s="1"/>
      <c r="EU44" s="1"/>
      <c r="EV44" s="1"/>
      <c r="EW44" s="1"/>
      <c r="EX44" s="1"/>
      <c r="EZ44" s="1"/>
      <c r="FA44" s="1"/>
      <c r="FC44" s="1"/>
      <c r="FD44" s="87"/>
      <c r="FE44" s="1"/>
      <c r="FF44" s="142"/>
      <c r="FG44" s="342"/>
      <c r="FH44" s="1">
        <f t="shared" si="84"/>
        <v>0</v>
      </c>
      <c r="FI44" s="86" t="s">
        <v>291</v>
      </c>
      <c r="FJ44" s="375" t="s">
        <v>120</v>
      </c>
      <c r="FK44" s="343" t="str">
        <f t="shared" si="50"/>
        <v/>
      </c>
      <c r="FL44" s="376">
        <v>295.0</v>
      </c>
      <c r="FM44" s="377">
        <v>150.0</v>
      </c>
      <c r="FN44" s="343">
        <v>1000.0</v>
      </c>
      <c r="FO44" s="8" t="str">
        <f t="shared" ref="FO44:FP44" si="85">FO43</f>
        <v/>
      </c>
      <c r="FP44" s="8" t="str">
        <f t="shared" si="85"/>
        <v/>
      </c>
      <c r="FQ44" s="8">
        <f t="shared" si="47"/>
        <v>0</v>
      </c>
      <c r="FR44" s="343">
        <f t="shared" si="48"/>
        <v>0</v>
      </c>
      <c r="FS44" s="343">
        <f t="shared" si="49"/>
        <v>0</v>
      </c>
      <c r="FT44" s="8"/>
      <c r="FU44" s="87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</row>
    <row r="45" ht="12.75" customHeight="1">
      <c r="A45" s="38" t="s">
        <v>30</v>
      </c>
      <c r="B45" s="39" t="s">
        <v>307</v>
      </c>
      <c r="C45" s="400" t="str">
        <f>'WEB QUOTER'!F18</f>
        <v>35#</v>
      </c>
      <c r="D45" s="8"/>
      <c r="E45" s="8"/>
      <c r="F45" s="8"/>
      <c r="G45" s="359"/>
      <c r="H45" s="387"/>
      <c r="I45" s="1"/>
      <c r="J45" s="46" t="s">
        <v>53</v>
      </c>
      <c r="K45" s="378">
        <f>'WEB QUOTER'!J27</f>
        <v>85</v>
      </c>
      <c r="L45" s="51">
        <v>10.0</v>
      </c>
      <c r="M45" s="1"/>
      <c r="N45" s="7" t="s">
        <v>308</v>
      </c>
      <c r="O45" s="1">
        <f>IF(C42=J45,K45,0)</f>
        <v>0</v>
      </c>
      <c r="P45" s="1">
        <f>IF(C42=J45,L45,0)</f>
        <v>0</v>
      </c>
      <c r="Q45" s="1">
        <f>IF(J45=C42,1,0)</f>
        <v>0</v>
      </c>
      <c r="S45" s="63"/>
      <c r="T45" s="1"/>
      <c r="U45" s="87"/>
      <c r="W45" s="123">
        <f t="shared" si="79"/>
        <v>4</v>
      </c>
      <c r="X45" s="124">
        <v>175.0</v>
      </c>
      <c r="Y45" s="124">
        <f t="shared" si="86"/>
        <v>70</v>
      </c>
      <c r="Z45" s="124">
        <f t="shared" si="80"/>
        <v>80</v>
      </c>
      <c r="AA45" s="125">
        <v>325.0</v>
      </c>
      <c r="AB45" s="125">
        <v>150.0</v>
      </c>
      <c r="AC45" s="8"/>
      <c r="AD45" s="8">
        <f t="shared" si="81"/>
        <v>1</v>
      </c>
      <c r="AE45" s="8">
        <f t="shared" si="73"/>
        <v>0</v>
      </c>
      <c r="AF45" s="8">
        <f t="shared" si="74"/>
        <v>0</v>
      </c>
      <c r="AG45" s="8"/>
      <c r="AH45" s="8"/>
      <c r="AI45" s="8"/>
      <c r="AJ45" s="123">
        <f t="shared" si="82"/>
        <v>4</v>
      </c>
      <c r="AK45" s="126"/>
      <c r="AL45" s="124">
        <v>500.0</v>
      </c>
      <c r="AM45" s="124">
        <v>80.0</v>
      </c>
      <c r="AN45" s="125">
        <f t="shared" si="83"/>
        <v>580</v>
      </c>
      <c r="AO45" s="125">
        <v>400.0</v>
      </c>
      <c r="AP45" s="8">
        <f t="shared" si="75"/>
        <v>0</v>
      </c>
      <c r="AQ45" s="1">
        <f t="shared" si="76"/>
        <v>0</v>
      </c>
      <c r="AR45" s="87"/>
      <c r="AS45" s="380">
        <v>16.0</v>
      </c>
      <c r="AT45" s="381">
        <v>1.0</v>
      </c>
      <c r="AU45" s="413">
        <v>1.0</v>
      </c>
      <c r="AV45" s="381">
        <v>425.0</v>
      </c>
      <c r="AW45" s="381">
        <v>190.0</v>
      </c>
      <c r="AX45" s="86"/>
      <c r="AY45" s="409" t="s">
        <v>309</v>
      </c>
      <c r="AZ45" s="86" t="str">
        <f>AY46</f>
        <v/>
      </c>
      <c r="BA45" s="86">
        <f>AY52/100</f>
        <v>1</v>
      </c>
      <c r="BB45" s="86">
        <f>AY54/100</f>
        <v>1</v>
      </c>
      <c r="BC45" s="86">
        <f t="shared" ref="BC45:BC91" si="89">IF(AZ45=AS45,AV45,0)</f>
        <v>0</v>
      </c>
      <c r="BD45" s="86">
        <f t="shared" ref="BD45:BD91" si="90">IF(AS45=AZ45,AW45,0)</f>
        <v>0</v>
      </c>
      <c r="BE45" s="86">
        <f t="shared" ref="BE45:BE91" si="91">IF(AZ45=AS45,AT45,0)</f>
        <v>0</v>
      </c>
      <c r="BF45" s="86">
        <f t="shared" ref="BF45:BF91" si="92">IF(AZ45=AS45,AU45,0)</f>
        <v>0</v>
      </c>
      <c r="BG45" s="86"/>
      <c r="BH45" s="86"/>
      <c r="BI45" s="414"/>
      <c r="BJ45" s="87"/>
      <c r="BK45" s="415" t="s">
        <v>110</v>
      </c>
      <c r="BL45" s="416" t="s">
        <v>107</v>
      </c>
      <c r="BM45" s="417" t="s">
        <v>116</v>
      </c>
      <c r="BN45" s="417" t="s">
        <v>117</v>
      </c>
      <c r="BO45" s="418"/>
      <c r="BP45" s="417" t="s">
        <v>116</v>
      </c>
      <c r="BQ45" s="419" t="s">
        <v>117</v>
      </c>
      <c r="BR45" s="357"/>
      <c r="BS45" s="86"/>
      <c r="BT45" s="412" t="s">
        <v>310</v>
      </c>
      <c r="BU45" s="8"/>
      <c r="BV45" s="8"/>
      <c r="BW45" s="8"/>
      <c r="BX45" s="8"/>
      <c r="BY45" s="8"/>
      <c r="BZ45" s="8"/>
      <c r="CA45" s="8"/>
      <c r="CB45" s="8"/>
      <c r="CC45" s="359"/>
      <c r="CD45" s="87"/>
      <c r="CE45" s="156" t="s">
        <v>120</v>
      </c>
      <c r="CF45" s="122">
        <v>143.0</v>
      </c>
      <c r="CG45" s="121">
        <v>63.0</v>
      </c>
      <c r="CH45" s="148"/>
      <c r="CI45" s="122">
        <v>205.0</v>
      </c>
      <c r="CJ45" s="157">
        <v>70.0</v>
      </c>
      <c r="CK45" s="148"/>
      <c r="CL45" s="122">
        <v>275.0</v>
      </c>
      <c r="CM45" s="158">
        <v>130.0</v>
      </c>
      <c r="CN45" s="151"/>
      <c r="CO45" s="93"/>
      <c r="CP45" s="420" t="s">
        <v>305</v>
      </c>
      <c r="CQ45" s="1"/>
      <c r="CR45" s="117"/>
      <c r="CS45" s="117" t="str">
        <f t="shared" ref="CS45:CS55" si="95">CS44</f>
        <v/>
      </c>
      <c r="CT45" s="117">
        <f>IF(CS45=CE45,IF(CF43=CP49,CF45,IF(CI43=CP49,CI45,IF(CL43=CP49,CL45,0))),0)</f>
        <v>0</v>
      </c>
      <c r="CU45" s="117">
        <f>IF(CS45=CE45,IF(CG43=CP49,CG45,IF(CJ43=CP49,CJ45,IF(CM43=CP49,CM45,0))),0)</f>
        <v>0</v>
      </c>
      <c r="CV45" s="117" t="str">
        <f>IF(#REF!&lt;=1000,CT56-(((1000-#REF!)/1000)*CU56),CT56)</f>
        <v>#REF!</v>
      </c>
      <c r="CW45" s="93"/>
      <c r="CX45" s="397"/>
      <c r="CY45" s="117"/>
      <c r="CZ45" s="370"/>
      <c r="DA45" s="138" t="s">
        <v>119</v>
      </c>
      <c r="DB45" s="139">
        <v>25.0</v>
      </c>
      <c r="DC45" s="140">
        <v>50.0</v>
      </c>
      <c r="DD45" s="391"/>
      <c r="DE45" s="139">
        <v>100.0</v>
      </c>
      <c r="DF45" s="140">
        <v>100.0</v>
      </c>
      <c r="DG45" s="1"/>
      <c r="DH45" s="1"/>
      <c r="DI45" s="341"/>
      <c r="DJ45" s="392">
        <f t="shared" si="69"/>
        <v>36</v>
      </c>
      <c r="DK45" s="393">
        <v>3.0</v>
      </c>
      <c r="DL45" s="1" t="str">
        <f t="shared" si="70"/>
        <v/>
      </c>
      <c r="DM45" s="1">
        <f t="shared" si="66"/>
        <v>0</v>
      </c>
      <c r="DN45" s="394">
        <f t="shared" si="77"/>
        <v>24</v>
      </c>
      <c r="DO45" s="95">
        <v>3.0</v>
      </c>
      <c r="DP45" s="1" t="str">
        <f t="shared" si="71"/>
        <v/>
      </c>
      <c r="DQ45" s="1">
        <f t="shared" si="67"/>
        <v>0</v>
      </c>
      <c r="DR45" s="1"/>
      <c r="EU45" s="1"/>
      <c r="EV45" s="1"/>
      <c r="EW45" s="1"/>
      <c r="EX45" s="1"/>
      <c r="EZ45" s="1"/>
      <c r="FA45" s="1"/>
      <c r="FC45" s="1"/>
      <c r="FD45" s="87"/>
      <c r="FE45" s="1"/>
      <c r="FF45" s="142"/>
      <c r="FG45" s="342"/>
      <c r="FH45" s="1">
        <f t="shared" si="84"/>
        <v>0</v>
      </c>
      <c r="FI45" s="86" t="s">
        <v>291</v>
      </c>
      <c r="FJ45" s="232" t="s">
        <v>287</v>
      </c>
      <c r="FK45" s="343" t="str">
        <f t="shared" si="50"/>
        <v/>
      </c>
      <c r="FL45" s="376">
        <v>455.0</v>
      </c>
      <c r="FM45" s="377">
        <v>170.0</v>
      </c>
      <c r="FN45" s="343">
        <v>1000.0</v>
      </c>
      <c r="FO45" s="8" t="str">
        <f t="shared" ref="FO45:FP45" si="87">FO44</f>
        <v/>
      </c>
      <c r="FP45" s="8" t="str">
        <f t="shared" si="87"/>
        <v/>
      </c>
      <c r="FQ45" s="8">
        <f t="shared" si="47"/>
        <v>0</v>
      </c>
      <c r="FR45" s="343">
        <f t="shared" si="48"/>
        <v>0</v>
      </c>
      <c r="FS45" s="343">
        <f t="shared" si="49"/>
        <v>0</v>
      </c>
      <c r="FT45" s="8"/>
      <c r="FU45" s="87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</row>
    <row r="46" ht="12.75" customHeight="1">
      <c r="A46" s="38" t="s">
        <v>34</v>
      </c>
      <c r="B46" s="42" t="s">
        <v>35</v>
      </c>
      <c r="C46" s="400" t="str">
        <f>'WEB QUOTER'!F19</f>
        <v/>
      </c>
      <c r="D46" s="401">
        <f>O60*C46</f>
        <v>0</v>
      </c>
      <c r="E46" s="8"/>
      <c r="F46" s="8"/>
      <c r="G46" s="402">
        <f>P60*C46</f>
        <v>0</v>
      </c>
      <c r="H46" s="387"/>
      <c r="I46" s="1"/>
      <c r="J46" s="65" t="s">
        <v>56</v>
      </c>
      <c r="K46" s="378">
        <f>'WEB QUOTER'!J28</f>
        <v>170</v>
      </c>
      <c r="L46" s="378">
        <f>'WEB QUOTER'!K28</f>
        <v>20</v>
      </c>
      <c r="M46" s="1"/>
      <c r="N46" s="1"/>
      <c r="O46" s="1">
        <f>IF(C42=J46,K46,0)</f>
        <v>0</v>
      </c>
      <c r="P46" s="1">
        <f>IF(C42=J46,L46,0)</f>
        <v>0</v>
      </c>
      <c r="Q46" s="1">
        <f>IF(J46=C42,2,0)</f>
        <v>0</v>
      </c>
      <c r="S46" s="63"/>
      <c r="T46" s="1"/>
      <c r="U46" s="87"/>
      <c r="W46" s="116">
        <f t="shared" si="79"/>
        <v>5</v>
      </c>
      <c r="X46" s="1">
        <v>175.0</v>
      </c>
      <c r="Y46" s="1">
        <f t="shared" si="86"/>
        <v>85</v>
      </c>
      <c r="Z46" s="1">
        <f t="shared" si="80"/>
        <v>100</v>
      </c>
      <c r="AA46" s="141">
        <v>360.0</v>
      </c>
      <c r="AB46" s="141">
        <v>185.0</v>
      </c>
      <c r="AC46" s="8"/>
      <c r="AD46" s="8">
        <f t="shared" si="81"/>
        <v>1</v>
      </c>
      <c r="AE46" s="8">
        <f t="shared" si="73"/>
        <v>0</v>
      </c>
      <c r="AF46" s="8">
        <f t="shared" si="74"/>
        <v>0</v>
      </c>
      <c r="AG46" s="8"/>
      <c r="AH46" s="8"/>
      <c r="AI46" s="8"/>
      <c r="AJ46" s="116">
        <f t="shared" si="82"/>
        <v>5</v>
      </c>
      <c r="AK46" s="39"/>
      <c r="AL46" s="1">
        <v>500.0</v>
      </c>
      <c r="AM46" s="1">
        <v>100.0</v>
      </c>
      <c r="AN46" s="141">
        <f t="shared" si="83"/>
        <v>600</v>
      </c>
      <c r="AO46" s="141">
        <v>440.0</v>
      </c>
      <c r="AP46" s="8">
        <f t="shared" si="75"/>
        <v>0</v>
      </c>
      <c r="AQ46" s="1">
        <f t="shared" si="76"/>
        <v>0</v>
      </c>
      <c r="AR46" s="87"/>
      <c r="AS46" s="392">
        <f t="shared" ref="AS46:AS68" si="99">AS45+4</f>
        <v>20</v>
      </c>
      <c r="AT46" s="393">
        <v>2.0</v>
      </c>
      <c r="AU46" s="421">
        <f t="shared" ref="AU46:AU47" si="100">AU45+0.25</f>
        <v>1.25</v>
      </c>
      <c r="AV46" s="393">
        <v>525.0</v>
      </c>
      <c r="AW46" s="393">
        <v>240.0</v>
      </c>
      <c r="AX46" s="86"/>
      <c r="AY46" s="422" t="str">
        <f>D82</f>
        <v/>
      </c>
      <c r="AZ46" s="86" t="str">
        <f t="shared" ref="AZ46:BB46" si="88">AZ45</f>
        <v/>
      </c>
      <c r="BA46" s="86">
        <f t="shared" si="88"/>
        <v>1</v>
      </c>
      <c r="BB46" s="86">
        <f t="shared" si="88"/>
        <v>1</v>
      </c>
      <c r="BC46" s="86">
        <f t="shared" si="89"/>
        <v>0</v>
      </c>
      <c r="BD46" s="86">
        <f t="shared" si="90"/>
        <v>0</v>
      </c>
      <c r="BE46" s="86">
        <f t="shared" si="91"/>
        <v>0</v>
      </c>
      <c r="BF46" s="86">
        <f t="shared" si="92"/>
        <v>0</v>
      </c>
      <c r="BG46" s="86"/>
      <c r="BH46" s="86"/>
      <c r="BI46" s="414"/>
      <c r="BJ46" s="87"/>
      <c r="BK46" s="382">
        <v>4.0</v>
      </c>
      <c r="BL46" s="348">
        <v>1.0</v>
      </c>
      <c r="BM46" s="348">
        <v>500.0</v>
      </c>
      <c r="BN46" s="348">
        <v>100.0</v>
      </c>
      <c r="BO46" s="418"/>
      <c r="BP46" s="348">
        <f t="shared" ref="BP46:BQ46" si="93">BM46*0.85</f>
        <v>425</v>
      </c>
      <c r="BQ46" s="357">
        <f t="shared" si="93"/>
        <v>85</v>
      </c>
      <c r="BR46" s="357"/>
      <c r="BS46" s="86"/>
      <c r="BT46" s="412"/>
      <c r="BU46" s="8">
        <f t="shared" ref="BU46:BV46" si="94">BU47</f>
        <v>1</v>
      </c>
      <c r="BV46" s="8">
        <f t="shared" si="94"/>
        <v>1</v>
      </c>
      <c r="BW46" s="8" t="str">
        <f>BT47</f>
        <v/>
      </c>
      <c r="BX46" s="8">
        <f t="shared" ref="BX46:BX71" si="103">IF(BW46=BK46,BM46*BU46,0)</f>
        <v>0</v>
      </c>
      <c r="BY46" s="8">
        <f t="shared" ref="BY46:BY71" si="104">IF(BW46=BK46,BN46*BV46,0)</f>
        <v>0</v>
      </c>
      <c r="BZ46" s="8"/>
      <c r="CA46" s="8">
        <f t="shared" ref="CA46:CA71" si="105">IF(BW46=BK46,BL46,0)</f>
        <v>0</v>
      </c>
      <c r="CB46" s="8"/>
      <c r="CC46" s="359"/>
      <c r="CD46" s="87"/>
      <c r="CE46" s="162" t="s">
        <v>122</v>
      </c>
      <c r="CF46" s="140">
        <v>188.0</v>
      </c>
      <c r="CG46" s="139">
        <v>68.0</v>
      </c>
      <c r="CH46" s="148"/>
      <c r="CI46" s="140">
        <v>255.0</v>
      </c>
      <c r="CJ46" s="163">
        <v>75.0</v>
      </c>
      <c r="CK46" s="148"/>
      <c r="CL46" s="140">
        <v>330.0</v>
      </c>
      <c r="CM46" s="164">
        <v>140.0</v>
      </c>
      <c r="CN46" s="151"/>
      <c r="CO46" s="93"/>
      <c r="CP46" s="423">
        <f>D56</f>
        <v>1000</v>
      </c>
      <c r="CQ46" s="1"/>
      <c r="CR46" s="117"/>
      <c r="CS46" s="117" t="str">
        <f t="shared" si="95"/>
        <v/>
      </c>
      <c r="CT46" s="117">
        <f>IF(CS46=CE46,IF(CF43=CP49,CF46,IF(CI43=CP49,CI46,IF(CL43=CP49,CL46,0))),0)</f>
        <v>0</v>
      </c>
      <c r="CU46" s="117">
        <f>IF(CS46=CE46,IF(CG43=CP49,CG46,IF(CJ43=CP49,CJ46,IF(CM43=CP49,CM46,0))),0)</f>
        <v>0</v>
      </c>
      <c r="CV46" s="117" t="str">
        <f>IF(#REF!&gt;1000,CU56*((#REF!-1000)/1000))</f>
        <v>#REF!</v>
      </c>
      <c r="CW46" s="93"/>
      <c r="CX46" s="397"/>
      <c r="CY46" s="117"/>
      <c r="CZ46" s="370"/>
      <c r="DA46" s="120" t="s">
        <v>121</v>
      </c>
      <c r="DB46" s="121">
        <v>35.0</v>
      </c>
      <c r="DC46" s="122">
        <v>70.0</v>
      </c>
      <c r="DD46" s="391"/>
      <c r="DE46" s="121">
        <v>140.0</v>
      </c>
      <c r="DF46" s="122">
        <v>125.0</v>
      </c>
      <c r="DG46" s="1"/>
      <c r="DH46" s="1"/>
      <c r="DI46" s="341"/>
      <c r="DJ46" s="398">
        <f t="shared" si="69"/>
        <v>40</v>
      </c>
      <c r="DK46" s="399">
        <v>3.0</v>
      </c>
      <c r="DL46" s="1" t="str">
        <f t="shared" si="70"/>
        <v/>
      </c>
      <c r="DM46" s="1">
        <f t="shared" si="66"/>
        <v>0</v>
      </c>
      <c r="DN46" s="382">
        <f t="shared" si="77"/>
        <v>28</v>
      </c>
      <c r="DO46" s="86">
        <v>4.0</v>
      </c>
      <c r="DP46" s="1" t="str">
        <f t="shared" si="71"/>
        <v/>
      </c>
      <c r="DQ46" s="1">
        <f t="shared" si="67"/>
        <v>0</v>
      </c>
      <c r="DR46" s="1"/>
      <c r="EU46" s="1"/>
      <c r="EV46" s="1"/>
      <c r="EW46" s="1"/>
      <c r="EX46" s="1"/>
      <c r="EZ46" s="1"/>
      <c r="FA46" s="1"/>
      <c r="FC46" s="1"/>
      <c r="FD46" s="87"/>
      <c r="FE46" s="1"/>
      <c r="FF46" s="142"/>
      <c r="FG46" s="342"/>
      <c r="FH46" s="1">
        <f t="shared" si="84"/>
        <v>0</v>
      </c>
      <c r="FI46" s="86" t="s">
        <v>291</v>
      </c>
      <c r="FJ46" s="232" t="s">
        <v>289</v>
      </c>
      <c r="FK46" s="343" t="str">
        <f t="shared" si="50"/>
        <v/>
      </c>
      <c r="FL46" s="376">
        <v>540.0</v>
      </c>
      <c r="FM46" s="377">
        <v>180.0</v>
      </c>
      <c r="FN46" s="343">
        <v>1000.0</v>
      </c>
      <c r="FO46" s="8" t="str">
        <f t="shared" ref="FO46:FP46" si="96">FO45</f>
        <v/>
      </c>
      <c r="FP46" s="8" t="str">
        <f t="shared" si="96"/>
        <v/>
      </c>
      <c r="FQ46" s="8">
        <f t="shared" si="47"/>
        <v>0</v>
      </c>
      <c r="FR46" s="343">
        <f t="shared" si="48"/>
        <v>0</v>
      </c>
      <c r="FS46" s="343">
        <f t="shared" si="49"/>
        <v>0</v>
      </c>
      <c r="FT46" s="8"/>
      <c r="FU46" s="87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</row>
    <row r="47" ht="12.75" customHeight="1">
      <c r="A47" s="424"/>
      <c r="B47" s="2"/>
      <c r="C47" s="47"/>
      <c r="D47" s="2"/>
      <c r="E47" s="2"/>
      <c r="F47" s="2"/>
      <c r="G47" s="425"/>
      <c r="H47" s="2"/>
      <c r="I47" s="2"/>
      <c r="J47" s="71"/>
      <c r="K47" s="71"/>
      <c r="L47" s="71"/>
      <c r="M47" s="2"/>
      <c r="N47" s="2"/>
      <c r="O47" s="2">
        <f t="shared" ref="O47:Q47" si="97">SUM(O40:O46)</f>
        <v>250</v>
      </c>
      <c r="P47" s="2">
        <f t="shared" si="97"/>
        <v>15</v>
      </c>
      <c r="Q47" s="2">
        <f t="shared" si="97"/>
        <v>4</v>
      </c>
      <c r="R47" s="2"/>
      <c r="S47" s="47"/>
      <c r="T47" s="2"/>
      <c r="U47" s="87"/>
      <c r="V47" s="2"/>
      <c r="W47" s="168">
        <f t="shared" si="79"/>
        <v>6</v>
      </c>
      <c r="X47" s="2">
        <v>175.0</v>
      </c>
      <c r="Y47" s="2">
        <f t="shared" si="86"/>
        <v>100</v>
      </c>
      <c r="Z47" s="2">
        <f t="shared" si="80"/>
        <v>120</v>
      </c>
      <c r="AA47" s="169">
        <v>395.0</v>
      </c>
      <c r="AB47" s="169">
        <v>220.0</v>
      </c>
      <c r="AC47" s="2"/>
      <c r="AD47" s="2">
        <f t="shared" si="81"/>
        <v>1</v>
      </c>
      <c r="AE47" s="2">
        <f t="shared" si="73"/>
        <v>0</v>
      </c>
      <c r="AF47" s="2">
        <f t="shared" si="74"/>
        <v>0</v>
      </c>
      <c r="AG47" s="2"/>
      <c r="AH47" s="2"/>
      <c r="AI47" s="2"/>
      <c r="AJ47" s="168">
        <f t="shared" si="82"/>
        <v>6</v>
      </c>
      <c r="AK47" s="170"/>
      <c r="AL47" s="2">
        <v>500.0</v>
      </c>
      <c r="AM47" s="2">
        <f t="shared" ref="AM47:AN47" si="98">AM46+20</f>
        <v>120</v>
      </c>
      <c r="AN47" s="169">
        <f t="shared" si="98"/>
        <v>620</v>
      </c>
      <c r="AO47" s="169">
        <v>495.0</v>
      </c>
      <c r="AP47" s="2">
        <f t="shared" si="75"/>
        <v>0</v>
      </c>
      <c r="AQ47" s="2">
        <f t="shared" si="76"/>
        <v>0</v>
      </c>
      <c r="AR47" s="87"/>
      <c r="AS47" s="426">
        <f t="shared" si="99"/>
        <v>24</v>
      </c>
      <c r="AT47" s="427">
        <v>2.0</v>
      </c>
      <c r="AU47" s="428">
        <f t="shared" si="100"/>
        <v>1.5</v>
      </c>
      <c r="AV47" s="427">
        <v>615.0</v>
      </c>
      <c r="AW47" s="427">
        <v>285.0</v>
      </c>
      <c r="AX47" s="95"/>
      <c r="AY47" s="429" t="s">
        <v>305</v>
      </c>
      <c r="AZ47" s="95" t="str">
        <f t="shared" ref="AZ47:BB47" si="101">AZ46</f>
        <v/>
      </c>
      <c r="BA47" s="95">
        <f t="shared" si="101"/>
        <v>1</v>
      </c>
      <c r="BB47" s="95">
        <f t="shared" si="101"/>
        <v>1</v>
      </c>
      <c r="BC47" s="95">
        <f t="shared" si="89"/>
        <v>0</v>
      </c>
      <c r="BD47" s="95">
        <f t="shared" si="90"/>
        <v>0</v>
      </c>
      <c r="BE47" s="95">
        <f t="shared" si="91"/>
        <v>0</v>
      </c>
      <c r="BF47" s="95">
        <f t="shared" si="92"/>
        <v>0</v>
      </c>
      <c r="BG47" s="95"/>
      <c r="BH47" s="95"/>
      <c r="BI47" s="430"/>
      <c r="BJ47" s="87"/>
      <c r="BK47" s="394">
        <v>8.0</v>
      </c>
      <c r="BL47" s="95">
        <v>1.0</v>
      </c>
      <c r="BM47" s="431">
        <f>600</f>
        <v>600</v>
      </c>
      <c r="BN47" s="432">
        <v>175.0</v>
      </c>
      <c r="BO47" s="427"/>
      <c r="BP47" s="432">
        <f t="shared" ref="BP47:BQ47" si="102">BM47*0.85</f>
        <v>510</v>
      </c>
      <c r="BQ47" s="433">
        <f t="shared" si="102"/>
        <v>148.75</v>
      </c>
      <c r="BR47" s="434"/>
      <c r="BS47" s="95"/>
      <c r="BT47" s="435" t="str">
        <f>D83</f>
        <v/>
      </c>
      <c r="BU47" s="2">
        <f>BT53/100</f>
        <v>1</v>
      </c>
      <c r="BV47" s="2">
        <f>BT55/100</f>
        <v>1</v>
      </c>
      <c r="BW47" s="2" t="str">
        <f>BT47</f>
        <v/>
      </c>
      <c r="BX47" s="2">
        <f t="shared" si="103"/>
        <v>0</v>
      </c>
      <c r="BY47" s="2">
        <f t="shared" si="104"/>
        <v>0</v>
      </c>
      <c r="BZ47" s="2"/>
      <c r="CA47" s="2">
        <f t="shared" si="105"/>
        <v>0</v>
      </c>
      <c r="CB47" s="2"/>
      <c r="CC47" s="425"/>
      <c r="CD47" s="87"/>
      <c r="CE47" s="171" t="s">
        <v>124</v>
      </c>
      <c r="CF47" s="167">
        <v>234.0</v>
      </c>
      <c r="CG47" s="166">
        <v>73.0</v>
      </c>
      <c r="CH47" s="172"/>
      <c r="CI47" s="167">
        <v>305.0</v>
      </c>
      <c r="CJ47" s="173">
        <v>80.0</v>
      </c>
      <c r="CK47" s="172"/>
      <c r="CL47" s="167">
        <v>385.0</v>
      </c>
      <c r="CM47" s="174">
        <v>150.0</v>
      </c>
      <c r="CN47" s="175"/>
      <c r="CO47" s="97"/>
      <c r="CP47" s="97"/>
      <c r="CQ47" s="2"/>
      <c r="CR47" s="373"/>
      <c r="CS47" s="373" t="str">
        <f t="shared" si="95"/>
        <v/>
      </c>
      <c r="CT47" s="373">
        <f>IF(CS47=CE47,IF(CF43=CP49,CF47,IF(CI43=CP49,CI47,IF(CL43=CP49,CL47,0))),0)</f>
        <v>0</v>
      </c>
      <c r="CU47" s="373">
        <f>IF(CS44=CE47,IF(CG43=CP49,CG47,IF(CJ43=CP49,CJ47,IF(CM43=CP49,CM47,0))),0)</f>
        <v>0</v>
      </c>
      <c r="CV47" s="373"/>
      <c r="CW47" s="97"/>
      <c r="CX47" s="436"/>
      <c r="CY47" s="373"/>
      <c r="CZ47" s="370"/>
      <c r="DA47" s="165" t="s">
        <v>123</v>
      </c>
      <c r="DB47" s="166">
        <v>50.0</v>
      </c>
      <c r="DC47" s="167">
        <v>100.0</v>
      </c>
      <c r="DD47" s="437"/>
      <c r="DE47" s="166">
        <v>200.0</v>
      </c>
      <c r="DF47" s="167">
        <v>200.0</v>
      </c>
      <c r="DG47" s="2"/>
      <c r="DH47" s="2"/>
      <c r="DI47" s="2"/>
      <c r="DJ47" s="426">
        <f t="shared" si="69"/>
        <v>44</v>
      </c>
      <c r="DK47" s="427">
        <v>4.0</v>
      </c>
      <c r="DL47" s="2" t="str">
        <f t="shared" si="70"/>
        <v/>
      </c>
      <c r="DM47" s="2">
        <f t="shared" si="66"/>
        <v>0</v>
      </c>
      <c r="DN47" s="394">
        <f t="shared" si="77"/>
        <v>32</v>
      </c>
      <c r="DO47" s="95">
        <v>4.0</v>
      </c>
      <c r="DP47" s="2" t="str">
        <f t="shared" si="71"/>
        <v/>
      </c>
      <c r="DQ47" s="2">
        <f t="shared" si="67"/>
        <v>0</v>
      </c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87"/>
      <c r="FE47" s="2"/>
      <c r="FF47" s="371"/>
      <c r="FG47" s="374"/>
      <c r="FH47" s="1">
        <f t="shared" si="84"/>
        <v>0</v>
      </c>
      <c r="FI47" s="86" t="s">
        <v>291</v>
      </c>
      <c r="FJ47" s="232" t="s">
        <v>292</v>
      </c>
      <c r="FK47" s="343" t="str">
        <f t="shared" si="50"/>
        <v/>
      </c>
      <c r="FL47" s="376">
        <v>620.0</v>
      </c>
      <c r="FM47" s="377">
        <v>195.0</v>
      </c>
      <c r="FN47" s="343">
        <v>1000.0</v>
      </c>
      <c r="FO47" s="8" t="str">
        <f t="shared" ref="FO47:FP47" si="106">FO46</f>
        <v/>
      </c>
      <c r="FP47" s="8" t="str">
        <f t="shared" si="106"/>
        <v/>
      </c>
      <c r="FQ47" s="8">
        <f t="shared" si="47"/>
        <v>0</v>
      </c>
      <c r="FR47" s="343">
        <f t="shared" si="48"/>
        <v>0</v>
      </c>
      <c r="FS47" s="343">
        <f t="shared" si="49"/>
        <v>0</v>
      </c>
      <c r="FT47" s="2"/>
      <c r="FU47" s="87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</row>
    <row r="48" ht="12.75" customHeight="1">
      <c r="A48" s="38" t="s">
        <v>311</v>
      </c>
      <c r="B48" s="8"/>
      <c r="C48" s="63"/>
      <c r="D48" s="8"/>
      <c r="E48" s="8"/>
      <c r="F48" s="8"/>
      <c r="G48" s="359"/>
      <c r="H48" s="387"/>
      <c r="I48" s="1"/>
      <c r="J48" s="74" t="s">
        <v>312</v>
      </c>
      <c r="K48" s="75"/>
      <c r="L48" s="76"/>
      <c r="M48" s="1"/>
      <c r="N48" s="1"/>
      <c r="O48" s="1"/>
      <c r="P48" s="1"/>
      <c r="Q48" s="1"/>
      <c r="S48" s="63"/>
      <c r="T48" s="1"/>
      <c r="U48" s="87"/>
      <c r="W48" s="116">
        <f t="shared" si="79"/>
        <v>7</v>
      </c>
      <c r="X48" s="1">
        <v>175.0</v>
      </c>
      <c r="Y48" s="1">
        <f t="shared" si="86"/>
        <v>115</v>
      </c>
      <c r="Z48" s="1">
        <f t="shared" si="80"/>
        <v>140</v>
      </c>
      <c r="AA48" s="141">
        <v>430.0</v>
      </c>
      <c r="AB48" s="141">
        <v>255.0</v>
      </c>
      <c r="AC48" s="8"/>
      <c r="AD48" s="8">
        <f t="shared" si="81"/>
        <v>1</v>
      </c>
      <c r="AE48" s="8">
        <f t="shared" si="73"/>
        <v>0</v>
      </c>
      <c r="AF48" s="8">
        <f t="shared" si="74"/>
        <v>0</v>
      </c>
      <c r="AG48" s="8"/>
      <c r="AH48" s="8"/>
      <c r="AI48" s="8"/>
      <c r="AJ48" s="116">
        <f t="shared" si="82"/>
        <v>7</v>
      </c>
      <c r="AK48" s="39"/>
      <c r="AL48" s="1">
        <v>500.0</v>
      </c>
      <c r="AM48" s="1">
        <f t="shared" ref="AM48:AN48" si="107">AM47+20</f>
        <v>140</v>
      </c>
      <c r="AN48" s="141">
        <f t="shared" si="107"/>
        <v>640</v>
      </c>
      <c r="AO48" s="141">
        <v>550.0</v>
      </c>
      <c r="AP48" s="8">
        <f t="shared" si="75"/>
        <v>0</v>
      </c>
      <c r="AQ48" s="1">
        <f t="shared" si="76"/>
        <v>0</v>
      </c>
      <c r="AR48" s="87"/>
      <c r="AS48" s="392">
        <f t="shared" si="99"/>
        <v>28</v>
      </c>
      <c r="AT48" s="393">
        <v>3.0</v>
      </c>
      <c r="AU48" s="421">
        <v>2.0</v>
      </c>
      <c r="AV48" s="393">
        <v>695.0</v>
      </c>
      <c r="AW48" s="393">
        <v>335.0</v>
      </c>
      <c r="AX48" s="86"/>
      <c r="AY48" s="438">
        <f>D56</f>
        <v>1000</v>
      </c>
      <c r="AZ48" s="86" t="str">
        <f t="shared" ref="AZ48:BB48" si="108">AZ47</f>
        <v/>
      </c>
      <c r="BA48" s="86">
        <f t="shared" si="108"/>
        <v>1</v>
      </c>
      <c r="BB48" s="86">
        <f t="shared" si="108"/>
        <v>1</v>
      </c>
      <c r="BC48" s="86">
        <f t="shared" si="89"/>
        <v>0</v>
      </c>
      <c r="BD48" s="86">
        <f t="shared" si="90"/>
        <v>0</v>
      </c>
      <c r="BE48" s="86">
        <f t="shared" si="91"/>
        <v>0</v>
      </c>
      <c r="BF48" s="86">
        <f t="shared" si="92"/>
        <v>0</v>
      </c>
      <c r="BG48" s="86"/>
      <c r="BH48" s="86"/>
      <c r="BI48" s="414"/>
      <c r="BJ48" s="87"/>
      <c r="BK48" s="382">
        <f t="shared" ref="BK48:BK71" si="114">BK47+4</f>
        <v>12</v>
      </c>
      <c r="BL48" s="86">
        <v>2.0</v>
      </c>
      <c r="BM48" s="439">
        <v>880.0</v>
      </c>
      <c r="BN48" s="440">
        <v>265.0</v>
      </c>
      <c r="BO48" s="86"/>
      <c r="BP48" s="439">
        <f t="shared" ref="BP48:BQ48" si="109">BM48*0.85</f>
        <v>748</v>
      </c>
      <c r="BQ48" s="441">
        <f t="shared" si="109"/>
        <v>225.25</v>
      </c>
      <c r="BR48" s="442"/>
      <c r="BS48" s="86"/>
      <c r="BT48" s="412">
        <v>0.0</v>
      </c>
      <c r="BU48" s="8">
        <f t="shared" ref="BU48:BV48" si="110">BU47</f>
        <v>1</v>
      </c>
      <c r="BV48" s="443">
        <f t="shared" si="110"/>
        <v>1</v>
      </c>
      <c r="BW48" s="8" t="str">
        <f>BT47</f>
        <v/>
      </c>
      <c r="BX48" s="8">
        <f t="shared" si="103"/>
        <v>0</v>
      </c>
      <c r="BY48" s="8">
        <f t="shared" si="104"/>
        <v>0</v>
      </c>
      <c r="BZ48" s="8"/>
      <c r="CA48" s="8">
        <f t="shared" si="105"/>
        <v>0</v>
      </c>
      <c r="CB48" s="8"/>
      <c r="CC48" s="359"/>
      <c r="CD48" s="87"/>
      <c r="CE48" s="162" t="s">
        <v>126</v>
      </c>
      <c r="CF48" s="140">
        <v>143.0</v>
      </c>
      <c r="CG48" s="139">
        <v>63.0</v>
      </c>
      <c r="CH48" s="148"/>
      <c r="CI48" s="140">
        <v>205.0</v>
      </c>
      <c r="CJ48" s="163">
        <v>70.0</v>
      </c>
      <c r="CK48" s="148"/>
      <c r="CL48" s="140">
        <v>275.0</v>
      </c>
      <c r="CM48" s="164">
        <v>130.0</v>
      </c>
      <c r="CN48" s="151"/>
      <c r="CO48" s="93"/>
      <c r="CP48" s="420" t="s">
        <v>313</v>
      </c>
      <c r="CQ48" s="1"/>
      <c r="CR48" s="117"/>
      <c r="CS48" s="117" t="str">
        <f t="shared" si="95"/>
        <v/>
      </c>
      <c r="CT48" s="117">
        <f>IF(CS48=CE48,IF(CF43=CP49,CF48,IF(CI43=CP49,CI48,IF(CL43=CP49,CL48,0))),0)</f>
        <v>0</v>
      </c>
      <c r="CU48" s="117">
        <f>IF(CS44=CE48,IF(CG43=CP49,CG48,IF(CJ43=CP49,CJ48,IF(CM43=CP49,CM48,0))),0)</f>
        <v>0</v>
      </c>
      <c r="CV48" s="117"/>
      <c r="CW48" s="93" t="s">
        <v>3</v>
      </c>
      <c r="CX48" s="397" t="s">
        <v>5</v>
      </c>
      <c r="CY48" s="117"/>
      <c r="CZ48" s="370"/>
      <c r="DA48" s="120" t="s">
        <v>125</v>
      </c>
      <c r="DB48" s="121">
        <v>90.0</v>
      </c>
      <c r="DC48" s="122">
        <v>180.0</v>
      </c>
      <c r="DD48" s="391"/>
      <c r="DE48" s="121">
        <v>360.0</v>
      </c>
      <c r="DF48" s="122">
        <v>360.0</v>
      </c>
      <c r="DG48" s="1"/>
      <c r="DH48" s="1"/>
      <c r="DI48" s="341"/>
      <c r="DJ48" s="398">
        <f t="shared" si="69"/>
        <v>48</v>
      </c>
      <c r="DK48" s="399">
        <v>3.0</v>
      </c>
      <c r="DL48" s="1" t="str">
        <f t="shared" si="70"/>
        <v/>
      </c>
      <c r="DM48" s="1">
        <f t="shared" si="66"/>
        <v>0</v>
      </c>
      <c r="DN48" s="382">
        <f t="shared" si="77"/>
        <v>36</v>
      </c>
      <c r="DO48" s="86">
        <v>5.0</v>
      </c>
      <c r="DP48" s="1" t="str">
        <f t="shared" si="71"/>
        <v/>
      </c>
      <c r="DQ48" s="1">
        <f t="shared" si="67"/>
        <v>0</v>
      </c>
      <c r="DR48" s="1"/>
      <c r="EU48" s="1"/>
      <c r="EV48" s="1"/>
      <c r="EW48" s="1"/>
      <c r="EX48" s="1"/>
      <c r="EZ48" s="1"/>
      <c r="FA48" s="1"/>
      <c r="FC48" s="1"/>
      <c r="FD48" s="87"/>
      <c r="FE48" s="1"/>
      <c r="FF48" s="142"/>
      <c r="FG48" s="342"/>
      <c r="FH48" s="1">
        <f t="shared" ref="FH48:FH52" si="117">IF(FO48=FI48,IF(FP48=FJ48,6,0),0)</f>
        <v>0</v>
      </c>
      <c r="FI48" s="86" t="s">
        <v>293</v>
      </c>
      <c r="FJ48" s="232" t="s">
        <v>118</v>
      </c>
      <c r="FK48" s="343" t="str">
        <f t="shared" si="50"/>
        <v/>
      </c>
      <c r="FL48" s="343"/>
      <c r="FM48" s="343"/>
      <c r="FN48" s="343">
        <v>1000.0</v>
      </c>
      <c r="FO48" s="8" t="str">
        <f t="shared" ref="FO48:FP48" si="111">FO47</f>
        <v/>
      </c>
      <c r="FP48" s="8" t="str">
        <f t="shared" si="111"/>
        <v/>
      </c>
      <c r="FQ48" s="8">
        <f t="shared" si="47"/>
        <v>0</v>
      </c>
      <c r="FR48" s="343">
        <f t="shared" si="48"/>
        <v>0</v>
      </c>
      <c r="FS48" s="343">
        <f t="shared" si="49"/>
        <v>0</v>
      </c>
      <c r="FT48" s="8"/>
      <c r="FU48" s="87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</row>
    <row r="49" ht="12.75" customHeight="1">
      <c r="A49" s="38" t="s">
        <v>41</v>
      </c>
      <c r="B49" s="8"/>
      <c r="C49" s="63"/>
      <c r="D49" s="444">
        <f>'WEB QUOTER'!F21</f>
        <v>100</v>
      </c>
      <c r="E49" s="8"/>
      <c r="F49" s="8"/>
      <c r="G49" s="444">
        <f>'WEB QUOTER'!F22</f>
        <v>100</v>
      </c>
      <c r="H49" s="387"/>
      <c r="I49" s="1"/>
      <c r="J49" s="46" t="s">
        <v>32</v>
      </c>
      <c r="K49" s="80">
        <v>120.0</v>
      </c>
      <c r="L49" s="62">
        <v>60.0</v>
      </c>
      <c r="M49" s="1"/>
      <c r="N49" s="1"/>
      <c r="O49" s="1"/>
      <c r="P49" s="1"/>
      <c r="Q49" s="1"/>
      <c r="S49" s="63"/>
      <c r="T49" s="1"/>
      <c r="U49" s="87"/>
      <c r="W49" s="123">
        <f t="shared" si="79"/>
        <v>8</v>
      </c>
      <c r="X49" s="124">
        <v>175.0</v>
      </c>
      <c r="Y49" s="124">
        <f t="shared" si="86"/>
        <v>130</v>
      </c>
      <c r="Z49" s="124">
        <f t="shared" si="80"/>
        <v>160</v>
      </c>
      <c r="AA49" s="125">
        <v>465.0</v>
      </c>
      <c r="AB49" s="125">
        <v>290.0</v>
      </c>
      <c r="AC49" s="8"/>
      <c r="AD49" s="8">
        <f t="shared" si="81"/>
        <v>1</v>
      </c>
      <c r="AE49" s="8">
        <f t="shared" si="73"/>
        <v>0</v>
      </c>
      <c r="AF49" s="8">
        <f t="shared" si="74"/>
        <v>0</v>
      </c>
      <c r="AG49" s="8"/>
      <c r="AH49" s="8"/>
      <c r="AI49" s="8"/>
      <c r="AJ49" s="123">
        <f t="shared" si="82"/>
        <v>8</v>
      </c>
      <c r="AK49" s="126"/>
      <c r="AL49" s="124">
        <v>500.0</v>
      </c>
      <c r="AM49" s="124">
        <f t="shared" ref="AM49:AN49" si="112">AM48+20</f>
        <v>160</v>
      </c>
      <c r="AN49" s="125">
        <f t="shared" si="112"/>
        <v>660</v>
      </c>
      <c r="AO49" s="125">
        <v>550.0</v>
      </c>
      <c r="AP49" s="8">
        <f t="shared" si="75"/>
        <v>0</v>
      </c>
      <c r="AQ49" s="1">
        <f t="shared" si="76"/>
        <v>0</v>
      </c>
      <c r="AR49" s="87"/>
      <c r="AS49" s="398">
        <f t="shared" si="99"/>
        <v>32</v>
      </c>
      <c r="AT49" s="399">
        <v>2.0</v>
      </c>
      <c r="AU49" s="440">
        <v>2.0</v>
      </c>
      <c r="AV49" s="399">
        <v>765.0</v>
      </c>
      <c r="AW49" s="399">
        <v>380.0</v>
      </c>
      <c r="AX49" s="86"/>
      <c r="AY49" s="409">
        <v>0.0</v>
      </c>
      <c r="AZ49" s="86" t="str">
        <f t="shared" ref="AZ49:BB49" si="113">AZ48</f>
        <v/>
      </c>
      <c r="BA49" s="86">
        <f t="shared" si="113"/>
        <v>1</v>
      </c>
      <c r="BB49" s="86">
        <f t="shared" si="113"/>
        <v>1</v>
      </c>
      <c r="BC49" s="86">
        <f t="shared" si="89"/>
        <v>0</v>
      </c>
      <c r="BD49" s="86">
        <f t="shared" si="90"/>
        <v>0</v>
      </c>
      <c r="BE49" s="86">
        <f t="shared" si="91"/>
        <v>0</v>
      </c>
      <c r="BF49" s="86">
        <f t="shared" si="92"/>
        <v>0</v>
      </c>
      <c r="BG49" s="86">
        <f>IF(AY48&lt;=1000,BH58-(((1000-AY48)/1000)*BI58),BH58)</f>
        <v>0</v>
      </c>
      <c r="BH49" s="86"/>
      <c r="BI49" s="414"/>
      <c r="BJ49" s="87"/>
      <c r="BK49" s="394">
        <f t="shared" si="114"/>
        <v>16</v>
      </c>
      <c r="BL49" s="95">
        <v>2.0</v>
      </c>
      <c r="BM49" s="445">
        <v>1020.0</v>
      </c>
      <c r="BN49" s="428">
        <f>BN48+90</f>
        <v>355</v>
      </c>
      <c r="BO49" s="86"/>
      <c r="BP49" s="445">
        <f t="shared" ref="BP49:BQ49" si="115">BM49*0.85</f>
        <v>867</v>
      </c>
      <c r="BQ49" s="446">
        <f t="shared" si="115"/>
        <v>301.75</v>
      </c>
      <c r="BR49" s="442"/>
      <c r="BS49" s="86"/>
      <c r="BT49" s="447">
        <f>D56</f>
        <v>1000</v>
      </c>
      <c r="BU49" s="8">
        <f t="shared" ref="BU49:BV49" si="116">BU48</f>
        <v>1</v>
      </c>
      <c r="BV49" s="443">
        <f t="shared" si="116"/>
        <v>1</v>
      </c>
      <c r="BW49" s="8" t="str">
        <f>BT47</f>
        <v/>
      </c>
      <c r="BX49" s="8">
        <f t="shared" si="103"/>
        <v>0</v>
      </c>
      <c r="BY49" s="8">
        <f t="shared" si="104"/>
        <v>0</v>
      </c>
      <c r="BZ49" s="8">
        <f>IF(BT49&lt;=1000,CB62-(((1000-BT49)/1000)*CC62),CB62)</f>
        <v>0</v>
      </c>
      <c r="CA49" s="8">
        <f t="shared" si="105"/>
        <v>0</v>
      </c>
      <c r="CB49" s="8"/>
      <c r="CC49" s="359"/>
      <c r="CD49" s="87"/>
      <c r="CE49" s="156" t="s">
        <v>128</v>
      </c>
      <c r="CF49" s="122">
        <v>188.0</v>
      </c>
      <c r="CG49" s="121">
        <v>68.0</v>
      </c>
      <c r="CH49" s="148"/>
      <c r="CI49" s="122">
        <v>255.0</v>
      </c>
      <c r="CJ49" s="157">
        <v>75.0</v>
      </c>
      <c r="CK49" s="148"/>
      <c r="CL49" s="122">
        <v>330.0</v>
      </c>
      <c r="CM49" s="158">
        <v>140.0</v>
      </c>
      <c r="CN49" s="151"/>
      <c r="CO49" s="93"/>
      <c r="CP49" s="405" t="str">
        <f>D78</f>
        <v/>
      </c>
      <c r="CQ49" s="1"/>
      <c r="CR49" s="117"/>
      <c r="CS49" s="117" t="str">
        <f t="shared" si="95"/>
        <v/>
      </c>
      <c r="CT49" s="117">
        <f>IF(CS49=CE49,IF(CF43=CP49,CF49,IF(CI43=CP49,CI49,IF(CL43=CP49,CL49,0))),0)</f>
        <v>0</v>
      </c>
      <c r="CU49" s="117">
        <f>IF(CS44=CE49,IF(CG43=CP49,CG49,IF(CJ43=CP49,CJ49,IF(CM43=CP49,CM49,0))),0)</f>
        <v>0</v>
      </c>
      <c r="CV49" s="117"/>
      <c r="CW49" s="448" t="str">
        <f>CV45</f>
        <v>#REF!</v>
      </c>
      <c r="CX49" s="449">
        <f>CU56</f>
        <v>0</v>
      </c>
      <c r="CY49" s="117"/>
      <c r="CZ49" s="370"/>
      <c r="DA49" s="176" t="s">
        <v>127</v>
      </c>
      <c r="DB49" s="113"/>
      <c r="DC49" s="113">
        <v>135.0</v>
      </c>
      <c r="DD49" s="450"/>
      <c r="DE49" s="139">
        <v>270.0</v>
      </c>
      <c r="DF49" s="114"/>
      <c r="DG49" s="1"/>
      <c r="DH49" s="1"/>
      <c r="DI49" s="341"/>
      <c r="DJ49" s="392">
        <f t="shared" si="69"/>
        <v>52</v>
      </c>
      <c r="DK49" s="393">
        <v>4.0</v>
      </c>
      <c r="DL49" s="1" t="str">
        <f t="shared" si="70"/>
        <v/>
      </c>
      <c r="DM49" s="1">
        <f t="shared" si="66"/>
        <v>0</v>
      </c>
      <c r="DN49" s="394">
        <f t="shared" si="77"/>
        <v>40</v>
      </c>
      <c r="DO49" s="95">
        <v>5.0</v>
      </c>
      <c r="DP49" s="1" t="str">
        <f t="shared" si="71"/>
        <v/>
      </c>
      <c r="DQ49" s="1">
        <f t="shared" si="67"/>
        <v>0</v>
      </c>
      <c r="DR49" s="1"/>
      <c r="EU49" s="1"/>
      <c r="EV49" s="1"/>
      <c r="EW49" s="1"/>
      <c r="EX49" s="1"/>
      <c r="EZ49" s="1"/>
      <c r="FA49" s="1"/>
      <c r="FC49" s="1"/>
      <c r="FD49" s="87"/>
      <c r="FE49" s="1"/>
      <c r="FF49" s="142"/>
      <c r="FG49" s="342"/>
      <c r="FH49" s="1">
        <f t="shared" si="117"/>
        <v>0</v>
      </c>
      <c r="FI49" s="86" t="s">
        <v>293</v>
      </c>
      <c r="FJ49" s="375" t="s">
        <v>120</v>
      </c>
      <c r="FK49" s="343" t="str">
        <f t="shared" si="50"/>
        <v/>
      </c>
      <c r="FL49" s="376">
        <v>400.0</v>
      </c>
      <c r="FM49" s="377">
        <v>250.0</v>
      </c>
      <c r="FN49" s="343">
        <v>1000.0</v>
      </c>
      <c r="FO49" s="8" t="str">
        <f t="shared" ref="FO49:FP49" si="118">FO48</f>
        <v/>
      </c>
      <c r="FP49" s="8" t="str">
        <f t="shared" si="118"/>
        <v/>
      </c>
      <c r="FQ49" s="8">
        <f t="shared" si="47"/>
        <v>0</v>
      </c>
      <c r="FR49" s="343">
        <f t="shared" si="48"/>
        <v>0</v>
      </c>
      <c r="FS49" s="343">
        <f t="shared" si="49"/>
        <v>0</v>
      </c>
      <c r="FT49" s="8"/>
      <c r="FU49" s="87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</row>
    <row r="50" ht="12.75" customHeight="1">
      <c r="A50" s="38"/>
      <c r="B50" s="8"/>
      <c r="C50" s="63"/>
      <c r="D50" s="8"/>
      <c r="E50" s="8"/>
      <c r="F50" s="8"/>
      <c r="G50" s="359"/>
      <c r="H50" s="387"/>
      <c r="I50" s="1"/>
      <c r="J50" s="65" t="s">
        <v>63</v>
      </c>
      <c r="K50" s="81">
        <v>160.0</v>
      </c>
      <c r="L50" s="67">
        <v>80.0</v>
      </c>
      <c r="M50" s="1"/>
      <c r="N50" s="2"/>
      <c r="O50" s="2"/>
      <c r="P50" s="2"/>
      <c r="Q50" s="2"/>
      <c r="S50" s="63"/>
      <c r="T50" s="1"/>
      <c r="U50" s="142"/>
      <c r="W50" s="116">
        <f t="shared" si="79"/>
        <v>9</v>
      </c>
      <c r="X50" s="1">
        <v>175.0</v>
      </c>
      <c r="Y50" s="1">
        <f t="shared" si="86"/>
        <v>145</v>
      </c>
      <c r="Z50" s="1">
        <f t="shared" si="80"/>
        <v>180</v>
      </c>
      <c r="AA50" s="141">
        <v>500.0</v>
      </c>
      <c r="AB50" s="141">
        <v>325.0</v>
      </c>
      <c r="AC50" s="8"/>
      <c r="AD50" s="8">
        <f t="shared" si="81"/>
        <v>1</v>
      </c>
      <c r="AE50" s="8">
        <f t="shared" si="73"/>
        <v>0</v>
      </c>
      <c r="AF50" s="8">
        <f t="shared" si="74"/>
        <v>0</v>
      </c>
      <c r="AG50" s="8"/>
      <c r="AH50" s="8"/>
      <c r="AI50" s="8"/>
      <c r="AJ50" s="116">
        <f t="shared" si="82"/>
        <v>9</v>
      </c>
      <c r="AK50" s="39"/>
      <c r="AL50" s="1">
        <v>500.0</v>
      </c>
      <c r="AM50" s="1">
        <f t="shared" ref="AM50:AN50" si="119">AM49+20</f>
        <v>180</v>
      </c>
      <c r="AN50" s="141">
        <f t="shared" si="119"/>
        <v>680</v>
      </c>
      <c r="AO50" s="141">
        <v>605.0</v>
      </c>
      <c r="AP50" s="8">
        <f t="shared" si="75"/>
        <v>0</v>
      </c>
      <c r="AQ50" s="1">
        <f t="shared" si="76"/>
        <v>0</v>
      </c>
      <c r="AR50" s="87"/>
      <c r="AS50" s="392">
        <f t="shared" si="99"/>
        <v>36</v>
      </c>
      <c r="AT50" s="393">
        <v>3.0</v>
      </c>
      <c r="AU50" s="421">
        <f t="shared" ref="AU50:AU51" si="125">AU49+0.25</f>
        <v>2.25</v>
      </c>
      <c r="AV50" s="393">
        <v>865.0</v>
      </c>
      <c r="AW50" s="393">
        <v>430.0</v>
      </c>
      <c r="AX50" s="86"/>
      <c r="AY50" s="409" t="s">
        <v>314</v>
      </c>
      <c r="AZ50" s="86" t="str">
        <f t="shared" ref="AZ50:BB50" si="120">AZ49</f>
        <v/>
      </c>
      <c r="BA50" s="86">
        <f t="shared" si="120"/>
        <v>1</v>
      </c>
      <c r="BB50" s="86">
        <f t="shared" si="120"/>
        <v>1</v>
      </c>
      <c r="BC50" s="86">
        <f t="shared" si="89"/>
        <v>0</v>
      </c>
      <c r="BD50" s="86">
        <f t="shared" si="90"/>
        <v>0</v>
      </c>
      <c r="BE50" s="86">
        <f t="shared" si="91"/>
        <v>0</v>
      </c>
      <c r="BF50" s="86">
        <f t="shared" si="92"/>
        <v>0</v>
      </c>
      <c r="BG50" s="86" t="b">
        <f>IF(AY48&gt;1000,BI58*((AY48-1000)/1000))</f>
        <v>0</v>
      </c>
      <c r="BH50" s="86"/>
      <c r="BI50" s="414"/>
      <c r="BJ50" s="87"/>
      <c r="BK50" s="382">
        <f t="shared" si="114"/>
        <v>20</v>
      </c>
      <c r="BL50" s="86">
        <v>3.0</v>
      </c>
      <c r="BM50" s="439">
        <v>1300.0</v>
      </c>
      <c r="BN50" s="440">
        <f>BN49+85</f>
        <v>440</v>
      </c>
      <c r="BO50" s="86"/>
      <c r="BP50" s="439">
        <f t="shared" ref="BP50:BQ50" si="121">BM50*0.85</f>
        <v>1105</v>
      </c>
      <c r="BQ50" s="441">
        <f t="shared" si="121"/>
        <v>374</v>
      </c>
      <c r="BR50" s="442"/>
      <c r="BS50" s="86"/>
      <c r="BT50" s="412">
        <v>0.0</v>
      </c>
      <c r="BU50" s="8">
        <f t="shared" ref="BU50:BV50" si="122">BU49</f>
        <v>1</v>
      </c>
      <c r="BV50" s="443">
        <f t="shared" si="122"/>
        <v>1</v>
      </c>
      <c r="BW50" s="8" t="str">
        <f>BT47</f>
        <v/>
      </c>
      <c r="BX50" s="8">
        <f t="shared" si="103"/>
        <v>0</v>
      </c>
      <c r="BY50" s="8">
        <f t="shared" si="104"/>
        <v>0</v>
      </c>
      <c r="BZ50" s="8" t="b">
        <f>IF(BT49&gt;1000,CC62*((BT49-1000)/1000))</f>
        <v>0</v>
      </c>
      <c r="CA50" s="8">
        <f t="shared" si="105"/>
        <v>0</v>
      </c>
      <c r="CB50" s="8"/>
      <c r="CC50" s="359"/>
      <c r="CD50" s="87"/>
      <c r="CE50" s="162" t="s">
        <v>129</v>
      </c>
      <c r="CF50" s="140">
        <v>233.0</v>
      </c>
      <c r="CG50" s="139">
        <v>73.0</v>
      </c>
      <c r="CH50" s="148"/>
      <c r="CI50" s="140">
        <v>305.0</v>
      </c>
      <c r="CJ50" s="163">
        <v>80.0</v>
      </c>
      <c r="CK50" s="148"/>
      <c r="CL50" s="140">
        <v>385.0</v>
      </c>
      <c r="CM50" s="164">
        <v>150.0</v>
      </c>
      <c r="CN50" s="151"/>
      <c r="CO50" s="93"/>
      <c r="CP50" s="1"/>
      <c r="CQ50" s="93" t="str">
        <f>CP49</f>
        <v/>
      </c>
      <c r="CR50" s="117"/>
      <c r="CS50" s="117" t="str">
        <f t="shared" si="95"/>
        <v/>
      </c>
      <c r="CT50" s="117">
        <f>IF(CS50=CE50,IF(CF43=CP49,CF50,IF(CI43=CP49,CI50,IF(CL43=CP49,CL50,0))),0)</f>
        <v>0</v>
      </c>
      <c r="CU50" s="117">
        <f>IF(CS44=CE50,IF(CG43=CP49,CG50,IF(CJ43=CP49,CJ50,IF(CM43=CP49,CM50,0))),0)</f>
        <v>0</v>
      </c>
      <c r="CV50" s="117"/>
      <c r="CW50" s="93" t="s">
        <v>315</v>
      </c>
      <c r="CX50" s="397" t="s">
        <v>231</v>
      </c>
      <c r="CY50" s="117"/>
      <c r="CZ50" s="370"/>
      <c r="DA50" s="1"/>
      <c r="DB50" s="1"/>
      <c r="DC50" s="1" t="s">
        <v>316</v>
      </c>
      <c r="DD50" s="1"/>
      <c r="DE50" s="1"/>
      <c r="DF50" s="1"/>
      <c r="DG50" s="1"/>
      <c r="DH50" s="1"/>
      <c r="DI50" s="341"/>
      <c r="DJ50" s="398">
        <f t="shared" si="69"/>
        <v>56</v>
      </c>
      <c r="DK50" s="399">
        <v>4.0</v>
      </c>
      <c r="DL50" s="1" t="str">
        <f t="shared" si="70"/>
        <v/>
      </c>
      <c r="DM50" s="1">
        <f t="shared" si="66"/>
        <v>0</v>
      </c>
      <c r="DN50" s="382">
        <f t="shared" si="77"/>
        <v>44</v>
      </c>
      <c r="DO50" s="86">
        <v>6.0</v>
      </c>
      <c r="DP50" s="1" t="str">
        <f t="shared" si="71"/>
        <v/>
      </c>
      <c r="DQ50" s="1">
        <f t="shared" si="67"/>
        <v>0</v>
      </c>
      <c r="DR50" s="1"/>
      <c r="EU50" s="1"/>
      <c r="EV50" s="1"/>
      <c r="EW50" s="1"/>
      <c r="EX50" s="1"/>
      <c r="EZ50" s="1"/>
      <c r="FA50" s="1"/>
      <c r="FC50" s="1"/>
      <c r="FD50" s="87"/>
      <c r="FE50" s="1"/>
      <c r="FF50" s="142"/>
      <c r="FG50" s="342"/>
      <c r="FH50" s="1">
        <f t="shared" si="117"/>
        <v>0</v>
      </c>
      <c r="FI50" s="86" t="s">
        <v>293</v>
      </c>
      <c r="FJ50" s="232" t="s">
        <v>287</v>
      </c>
      <c r="FK50" s="343" t="str">
        <f t="shared" si="50"/>
        <v/>
      </c>
      <c r="FL50" s="376">
        <v>590.0</v>
      </c>
      <c r="FM50" s="377">
        <v>300.0</v>
      </c>
      <c r="FN50" s="343">
        <v>1000.0</v>
      </c>
      <c r="FO50" s="8" t="str">
        <f t="shared" ref="FO50:FP50" si="123">FO49</f>
        <v/>
      </c>
      <c r="FP50" s="8" t="str">
        <f t="shared" si="123"/>
        <v/>
      </c>
      <c r="FQ50" s="8">
        <f t="shared" si="47"/>
        <v>0</v>
      </c>
      <c r="FR50" s="343">
        <f t="shared" si="48"/>
        <v>0</v>
      </c>
      <c r="FS50" s="343">
        <f t="shared" si="49"/>
        <v>0</v>
      </c>
      <c r="FT50" s="8"/>
      <c r="FU50" s="87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</row>
    <row r="51" ht="12.75" customHeight="1">
      <c r="A51" s="424"/>
      <c r="B51" s="2"/>
      <c r="C51" s="47"/>
      <c r="D51" s="451">
        <f>D49/100</f>
        <v>1</v>
      </c>
      <c r="E51" s="2"/>
      <c r="F51" s="2"/>
      <c r="G51" s="452">
        <f>G49/100</f>
        <v>1</v>
      </c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47"/>
      <c r="T51" s="2"/>
      <c r="U51" s="87"/>
      <c r="V51" s="2"/>
      <c r="W51" s="168">
        <f t="shared" si="79"/>
        <v>10</v>
      </c>
      <c r="X51" s="2">
        <v>175.0</v>
      </c>
      <c r="Y51" s="2">
        <f t="shared" si="86"/>
        <v>160</v>
      </c>
      <c r="Z51" s="2">
        <f t="shared" si="80"/>
        <v>200</v>
      </c>
      <c r="AA51" s="169">
        <v>535.0</v>
      </c>
      <c r="AB51" s="169">
        <v>360.0</v>
      </c>
      <c r="AC51" s="2"/>
      <c r="AD51" s="2">
        <f t="shared" si="81"/>
        <v>1</v>
      </c>
      <c r="AE51" s="2">
        <f t="shared" si="73"/>
        <v>0</v>
      </c>
      <c r="AF51" s="2">
        <f t="shared" si="74"/>
        <v>0</v>
      </c>
      <c r="AG51" s="2"/>
      <c r="AH51" s="2"/>
      <c r="AI51" s="2"/>
      <c r="AJ51" s="168">
        <f t="shared" si="82"/>
        <v>10</v>
      </c>
      <c r="AK51" s="170"/>
      <c r="AL51" s="2">
        <v>500.0</v>
      </c>
      <c r="AM51" s="2">
        <f t="shared" ref="AM51:AN51" si="124">AM50+20</f>
        <v>200</v>
      </c>
      <c r="AN51" s="169">
        <f t="shared" si="124"/>
        <v>700</v>
      </c>
      <c r="AO51" s="169">
        <v>605.0</v>
      </c>
      <c r="AP51" s="2">
        <f t="shared" si="75"/>
        <v>0</v>
      </c>
      <c r="AQ51" s="2">
        <f t="shared" si="76"/>
        <v>0</v>
      </c>
      <c r="AR51" s="87"/>
      <c r="AS51" s="426">
        <f t="shared" si="99"/>
        <v>40</v>
      </c>
      <c r="AT51" s="427">
        <v>3.0</v>
      </c>
      <c r="AU51" s="428">
        <f t="shared" si="125"/>
        <v>2.5</v>
      </c>
      <c r="AV51" s="427">
        <v>955.0</v>
      </c>
      <c r="AW51" s="427">
        <v>475.0</v>
      </c>
      <c r="AX51" s="95"/>
      <c r="AY51" s="429" t="s">
        <v>40</v>
      </c>
      <c r="AZ51" s="95" t="str">
        <f t="shared" ref="AZ51:BB51" si="126">AZ50</f>
        <v/>
      </c>
      <c r="BA51" s="95">
        <f t="shared" si="126"/>
        <v>1</v>
      </c>
      <c r="BB51" s="95">
        <f t="shared" si="126"/>
        <v>1</v>
      </c>
      <c r="BC51" s="95">
        <f t="shared" si="89"/>
        <v>0</v>
      </c>
      <c r="BD51" s="95">
        <f t="shared" si="90"/>
        <v>0</v>
      </c>
      <c r="BE51" s="95">
        <f t="shared" si="91"/>
        <v>0</v>
      </c>
      <c r="BF51" s="95">
        <f t="shared" si="92"/>
        <v>0</v>
      </c>
      <c r="BG51" s="95"/>
      <c r="BH51" s="95"/>
      <c r="BI51" s="430"/>
      <c r="BJ51" s="87"/>
      <c r="BK51" s="394">
        <f t="shared" si="114"/>
        <v>24</v>
      </c>
      <c r="BL51" s="95">
        <v>3.0</v>
      </c>
      <c r="BM51" s="445">
        <f>BM50+140</f>
        <v>1440</v>
      </c>
      <c r="BN51" s="428">
        <v>525.0</v>
      </c>
      <c r="BO51" s="95"/>
      <c r="BP51" s="445">
        <f t="shared" ref="BP51:BQ51" si="127">BM51*0.85</f>
        <v>1224</v>
      </c>
      <c r="BQ51" s="446">
        <f t="shared" si="127"/>
        <v>446.25</v>
      </c>
      <c r="BR51" s="434"/>
      <c r="BS51" s="95"/>
      <c r="BT51" s="453">
        <v>0.0</v>
      </c>
      <c r="BU51" s="2">
        <f t="shared" ref="BU51:BV51" si="128">BU50</f>
        <v>1</v>
      </c>
      <c r="BV51" s="2">
        <f t="shared" si="128"/>
        <v>1</v>
      </c>
      <c r="BW51" s="2" t="str">
        <f>BT47</f>
        <v/>
      </c>
      <c r="BX51" s="2">
        <f t="shared" si="103"/>
        <v>0</v>
      </c>
      <c r="BY51" s="2">
        <f t="shared" si="104"/>
        <v>0</v>
      </c>
      <c r="BZ51" s="2"/>
      <c r="CA51" s="2">
        <f t="shared" si="105"/>
        <v>0</v>
      </c>
      <c r="CB51" s="2"/>
      <c r="CC51" s="425"/>
      <c r="CD51" s="87"/>
      <c r="CE51" s="171" t="s">
        <v>130</v>
      </c>
      <c r="CF51" s="167">
        <v>233.0</v>
      </c>
      <c r="CG51" s="166">
        <v>78.0</v>
      </c>
      <c r="CH51" s="172"/>
      <c r="CI51" s="167">
        <v>355.0</v>
      </c>
      <c r="CJ51" s="173">
        <v>85.0</v>
      </c>
      <c r="CK51" s="172"/>
      <c r="CL51" s="167">
        <v>440.0</v>
      </c>
      <c r="CM51" s="174">
        <v>160.0</v>
      </c>
      <c r="CN51" s="175"/>
      <c r="CO51" s="97"/>
      <c r="CP51" s="2"/>
      <c r="CQ51" s="97"/>
      <c r="CR51" s="373"/>
      <c r="CS51" s="373" t="str">
        <f t="shared" si="95"/>
        <v/>
      </c>
      <c r="CT51" s="373">
        <f>IF(CS51=CE51,IF(CF43=CP49,CF51,IF(CI43=CP49,CI51,IF(CL43=CP49,CL51,0))),0)</f>
        <v>0</v>
      </c>
      <c r="CU51" s="373">
        <f>IF(CS44=CE51,IF(CG43=CP49,CG51,IF(CJ43=CP49,CJ51,IF(CM43=CP49,CM51,0))),0)</f>
        <v>0</v>
      </c>
      <c r="CV51" s="373"/>
      <c r="CW51" s="454" t="str">
        <f>CV45</f>
        <v>#REF!</v>
      </c>
      <c r="CX51" s="455" t="str">
        <f>CV46</f>
        <v>#REF!</v>
      </c>
      <c r="CY51" s="373"/>
      <c r="CZ51" s="370"/>
      <c r="DA51" s="177" t="s">
        <v>317</v>
      </c>
      <c r="DB51" s="2" t="str">
        <f>D93</f>
        <v/>
      </c>
      <c r="DC51" s="2" t="str">
        <f>D92</f>
        <v/>
      </c>
      <c r="DD51" s="2">
        <f t="shared" ref="DD51:DD59" si="135">IF(DB51=DA41,DB41,0)</f>
        <v>0</v>
      </c>
      <c r="DE51" s="2">
        <f t="shared" ref="DE51:DE59" si="136">IF(DB51=DA41,DC41,0)</f>
        <v>0</v>
      </c>
      <c r="DF51" s="2">
        <f t="shared" ref="DF51:DF59" si="137">IF(DB51=DA41,DE41,0)</f>
        <v>0</v>
      </c>
      <c r="DG51" s="2">
        <f t="shared" ref="DG51:DG59" si="138">IF(DB51=DA41,DF41,0)</f>
        <v>0</v>
      </c>
      <c r="DH51" s="2"/>
      <c r="DI51" s="2"/>
      <c r="DJ51" s="426">
        <f t="shared" si="69"/>
        <v>60</v>
      </c>
      <c r="DK51" s="427">
        <v>5.0</v>
      </c>
      <c r="DL51" s="2" t="str">
        <f t="shared" si="70"/>
        <v/>
      </c>
      <c r="DM51" s="2">
        <f t="shared" si="66"/>
        <v>0</v>
      </c>
      <c r="DN51" s="394">
        <f t="shared" si="77"/>
        <v>48</v>
      </c>
      <c r="DO51" s="95">
        <v>6.0</v>
      </c>
      <c r="DP51" s="2" t="str">
        <f t="shared" si="71"/>
        <v/>
      </c>
      <c r="DQ51" s="2">
        <f t="shared" si="67"/>
        <v>0</v>
      </c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87"/>
      <c r="FE51" s="2"/>
      <c r="FF51" s="371"/>
      <c r="FG51" s="374"/>
      <c r="FH51" s="1">
        <f t="shared" si="117"/>
        <v>0</v>
      </c>
      <c r="FI51" s="86" t="s">
        <v>293</v>
      </c>
      <c r="FJ51" s="232" t="s">
        <v>289</v>
      </c>
      <c r="FK51" s="343" t="str">
        <f t="shared" si="50"/>
        <v/>
      </c>
      <c r="FL51" s="376">
        <v>640.0</v>
      </c>
      <c r="FM51" s="377">
        <v>320.0</v>
      </c>
      <c r="FN51" s="343">
        <v>1000.0</v>
      </c>
      <c r="FO51" s="8" t="str">
        <f t="shared" ref="FO51:FP51" si="129">FO50</f>
        <v/>
      </c>
      <c r="FP51" s="8" t="str">
        <f t="shared" si="129"/>
        <v/>
      </c>
      <c r="FQ51" s="8">
        <f t="shared" si="47"/>
        <v>0</v>
      </c>
      <c r="FR51" s="343">
        <f t="shared" si="48"/>
        <v>0</v>
      </c>
      <c r="FS51" s="343">
        <f t="shared" si="49"/>
        <v>0</v>
      </c>
      <c r="FT51" s="2"/>
      <c r="FU51" s="87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</row>
    <row r="52" ht="12.75" customHeight="1">
      <c r="A52" s="424"/>
      <c r="B52" s="2"/>
      <c r="C52" s="47"/>
      <c r="D52" s="2">
        <f>(D56-1000)/1000</f>
        <v>0</v>
      </c>
      <c r="E52" s="2"/>
      <c r="F52" s="2"/>
      <c r="G52" s="425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47"/>
      <c r="T52" s="2"/>
      <c r="U52" s="87"/>
      <c r="V52" s="2"/>
      <c r="W52" s="168">
        <f t="shared" si="79"/>
        <v>11</v>
      </c>
      <c r="X52" s="2">
        <v>175.0</v>
      </c>
      <c r="Y52" s="2">
        <f t="shared" si="86"/>
        <v>175</v>
      </c>
      <c r="Z52" s="2">
        <f t="shared" si="80"/>
        <v>220</v>
      </c>
      <c r="AA52" s="169">
        <v>570.0</v>
      </c>
      <c r="AB52" s="169">
        <v>395.0</v>
      </c>
      <c r="AC52" s="2"/>
      <c r="AD52" s="2">
        <f t="shared" si="81"/>
        <v>1</v>
      </c>
      <c r="AE52" s="2">
        <f t="shared" si="73"/>
        <v>0</v>
      </c>
      <c r="AF52" s="2">
        <f t="shared" si="74"/>
        <v>0</v>
      </c>
      <c r="AG52" s="2"/>
      <c r="AH52" s="2"/>
      <c r="AI52" s="2"/>
      <c r="AJ52" s="168">
        <f t="shared" si="82"/>
        <v>11</v>
      </c>
      <c r="AK52" s="170"/>
      <c r="AL52" s="2">
        <v>500.0</v>
      </c>
      <c r="AM52" s="2">
        <f t="shared" ref="AM52:AN52" si="130">AM51+20</f>
        <v>220</v>
      </c>
      <c r="AN52" s="169">
        <f t="shared" si="130"/>
        <v>720</v>
      </c>
      <c r="AO52" s="169">
        <v>660.0</v>
      </c>
      <c r="AP52" s="2">
        <f t="shared" si="75"/>
        <v>0</v>
      </c>
      <c r="AQ52" s="2">
        <f t="shared" si="76"/>
        <v>0</v>
      </c>
      <c r="AR52" s="87"/>
      <c r="AS52" s="426">
        <f t="shared" si="99"/>
        <v>44</v>
      </c>
      <c r="AT52" s="427">
        <v>4.0</v>
      </c>
      <c r="AU52" s="428">
        <v>3.0</v>
      </c>
      <c r="AV52" s="427">
        <v>1035.0</v>
      </c>
      <c r="AW52" s="427">
        <v>525.0</v>
      </c>
      <c r="AX52" s="95"/>
      <c r="AY52" s="456">
        <f>D89</f>
        <v>100</v>
      </c>
      <c r="AZ52" s="95" t="str">
        <f t="shared" ref="AZ52:BB52" si="131">AZ51</f>
        <v/>
      </c>
      <c r="BA52" s="95">
        <f t="shared" si="131"/>
        <v>1</v>
      </c>
      <c r="BB52" s="95">
        <f t="shared" si="131"/>
        <v>1</v>
      </c>
      <c r="BC52" s="95">
        <f t="shared" si="89"/>
        <v>0</v>
      </c>
      <c r="BD52" s="95">
        <f t="shared" si="90"/>
        <v>0</v>
      </c>
      <c r="BE52" s="95">
        <f t="shared" si="91"/>
        <v>0</v>
      </c>
      <c r="BF52" s="95">
        <f t="shared" si="92"/>
        <v>0</v>
      </c>
      <c r="BG52" s="95"/>
      <c r="BH52" s="95"/>
      <c r="BI52" s="430"/>
      <c r="BJ52" s="87"/>
      <c r="BK52" s="394">
        <f t="shared" si="114"/>
        <v>28</v>
      </c>
      <c r="BL52" s="95">
        <v>4.0</v>
      </c>
      <c r="BM52" s="445">
        <f>BM51+280</f>
        <v>1720</v>
      </c>
      <c r="BN52" s="428">
        <v>615.0</v>
      </c>
      <c r="BO52" s="95"/>
      <c r="BP52" s="445">
        <f t="shared" ref="BP52:BQ52" si="132">BM52*0.85</f>
        <v>1462</v>
      </c>
      <c r="BQ52" s="446">
        <f t="shared" si="132"/>
        <v>522.75</v>
      </c>
      <c r="BR52" s="434"/>
      <c r="BS52" s="95"/>
      <c r="BT52" s="453">
        <v>0.0</v>
      </c>
      <c r="BU52" s="2">
        <f t="shared" ref="BU52:BV52" si="133">BU51</f>
        <v>1</v>
      </c>
      <c r="BV52" s="2">
        <f t="shared" si="133"/>
        <v>1</v>
      </c>
      <c r="BW52" s="2" t="str">
        <f>BT47</f>
        <v/>
      </c>
      <c r="BX52" s="2">
        <f t="shared" si="103"/>
        <v>0</v>
      </c>
      <c r="BY52" s="2">
        <f t="shared" si="104"/>
        <v>0</v>
      </c>
      <c r="BZ52" s="2"/>
      <c r="CA52" s="2">
        <f t="shared" si="105"/>
        <v>0</v>
      </c>
      <c r="CB52" s="2"/>
      <c r="CC52" s="425"/>
      <c r="CD52" s="87"/>
      <c r="CE52" s="171" t="s">
        <v>131</v>
      </c>
      <c r="CF52" s="167">
        <v>188.0</v>
      </c>
      <c r="CG52" s="166">
        <v>68.0</v>
      </c>
      <c r="CH52" s="172"/>
      <c r="CI52" s="167">
        <v>255.0</v>
      </c>
      <c r="CJ52" s="173">
        <v>75.0</v>
      </c>
      <c r="CK52" s="172"/>
      <c r="CL52" s="167">
        <v>330.0</v>
      </c>
      <c r="CM52" s="174">
        <v>140.0</v>
      </c>
      <c r="CN52" s="175"/>
      <c r="CO52" s="97"/>
      <c r="CP52" s="457" t="s">
        <v>40</v>
      </c>
      <c r="CQ52" s="2"/>
      <c r="CR52" s="373"/>
      <c r="CS52" s="373" t="str">
        <f t="shared" si="95"/>
        <v/>
      </c>
      <c r="CT52" s="373">
        <f>IF(CS52=CE52,IF(CF43=CP49,CF52,IF(CI43=CP49,CI52,IF(CL43=CP49,CL52,0))),0)</f>
        <v>0</v>
      </c>
      <c r="CU52" s="373">
        <f>IF(CS44=CE52,IF(CG43=CP49,CG52,IF(CJ43=CP49,CJ52,IF(CM43=CP49,CM52,0))),0)</f>
        <v>0</v>
      </c>
      <c r="CV52" s="373"/>
      <c r="CW52" s="97"/>
      <c r="CX52" s="436" t="s">
        <v>318</v>
      </c>
      <c r="CY52" s="373"/>
      <c r="CZ52" s="370"/>
      <c r="DA52" s="2" t="s">
        <v>74</v>
      </c>
      <c r="DB52" s="2" t="str">
        <f t="shared" ref="DB52:DC52" si="134">DB51</f>
        <v/>
      </c>
      <c r="DC52" s="2" t="str">
        <f t="shared" si="134"/>
        <v/>
      </c>
      <c r="DD52" s="2">
        <f t="shared" si="135"/>
        <v>0</v>
      </c>
      <c r="DE52" s="2">
        <f t="shared" si="136"/>
        <v>0</v>
      </c>
      <c r="DF52" s="2">
        <f t="shared" si="137"/>
        <v>0</v>
      </c>
      <c r="DG52" s="2">
        <f t="shared" si="138"/>
        <v>0</v>
      </c>
      <c r="DH52" s="2"/>
      <c r="DI52" s="2"/>
      <c r="DJ52" s="426">
        <f t="shared" si="69"/>
        <v>64</v>
      </c>
      <c r="DK52" s="427">
        <v>4.0</v>
      </c>
      <c r="DL52" s="2" t="str">
        <f t="shared" si="70"/>
        <v/>
      </c>
      <c r="DM52" s="2">
        <f t="shared" si="66"/>
        <v>0</v>
      </c>
      <c r="DN52" s="394">
        <f t="shared" si="77"/>
        <v>52</v>
      </c>
      <c r="DO52" s="95">
        <v>7.0</v>
      </c>
      <c r="DP52" s="2" t="str">
        <f t="shared" si="71"/>
        <v/>
      </c>
      <c r="DQ52" s="2">
        <f t="shared" si="67"/>
        <v>0</v>
      </c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87"/>
      <c r="FE52" s="2"/>
      <c r="FF52" s="371"/>
      <c r="FG52" s="374"/>
      <c r="FH52" s="1">
        <f t="shared" si="117"/>
        <v>0</v>
      </c>
      <c r="FI52" s="86" t="s">
        <v>293</v>
      </c>
      <c r="FJ52" s="232" t="s">
        <v>292</v>
      </c>
      <c r="FK52" s="343" t="str">
        <f t="shared" si="50"/>
        <v/>
      </c>
      <c r="FL52" s="376">
        <v>720.0</v>
      </c>
      <c r="FM52" s="377">
        <v>350.0</v>
      </c>
      <c r="FN52" s="343">
        <v>1000.0</v>
      </c>
      <c r="FO52" s="8" t="str">
        <f t="shared" ref="FO52:FP52" si="139">FO51</f>
        <v/>
      </c>
      <c r="FP52" s="8" t="str">
        <f t="shared" si="139"/>
        <v/>
      </c>
      <c r="FQ52" s="8">
        <f t="shared" si="47"/>
        <v>0</v>
      </c>
      <c r="FR52" s="343">
        <f t="shared" si="48"/>
        <v>0</v>
      </c>
      <c r="FS52" s="343">
        <f t="shared" si="49"/>
        <v>0</v>
      </c>
      <c r="FT52" s="2"/>
      <c r="FU52" s="87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</row>
    <row r="53" ht="12.75" customHeight="1">
      <c r="A53" s="38"/>
      <c r="B53" s="8"/>
      <c r="C53" s="63"/>
      <c r="D53" s="8"/>
      <c r="E53" s="8"/>
      <c r="F53" s="8"/>
      <c r="G53" s="359"/>
      <c r="H53" s="387"/>
      <c r="I53" s="1"/>
      <c r="J53" s="458" t="s">
        <v>319</v>
      </c>
      <c r="M53" s="1"/>
      <c r="N53" s="459"/>
      <c r="O53" s="71"/>
      <c r="P53" s="71"/>
      <c r="Q53" s="71"/>
      <c r="R53" s="170" t="s">
        <v>320</v>
      </c>
      <c r="S53" s="47"/>
      <c r="T53" s="2"/>
      <c r="U53" s="142"/>
      <c r="W53" s="123">
        <f t="shared" si="79"/>
        <v>12</v>
      </c>
      <c r="X53" s="124">
        <v>175.0</v>
      </c>
      <c r="Y53" s="124">
        <f t="shared" si="86"/>
        <v>190</v>
      </c>
      <c r="Z53" s="124">
        <f t="shared" si="80"/>
        <v>240</v>
      </c>
      <c r="AA53" s="125">
        <v>605.0</v>
      </c>
      <c r="AB53" s="125">
        <v>430.0</v>
      </c>
      <c r="AC53" s="8"/>
      <c r="AD53" s="8">
        <f t="shared" si="81"/>
        <v>1</v>
      </c>
      <c r="AE53" s="8">
        <f t="shared" si="73"/>
        <v>0</v>
      </c>
      <c r="AF53" s="8">
        <f t="shared" si="74"/>
        <v>0</v>
      </c>
      <c r="AG53" s="8"/>
      <c r="AH53" s="8"/>
      <c r="AI53" s="8"/>
      <c r="AJ53" s="123">
        <f t="shared" si="82"/>
        <v>12</v>
      </c>
      <c r="AK53" s="126"/>
      <c r="AL53" s="124">
        <v>500.0</v>
      </c>
      <c r="AM53" s="124">
        <f t="shared" ref="AM53:AN53" si="140">AM52+20</f>
        <v>240</v>
      </c>
      <c r="AN53" s="125">
        <f t="shared" si="140"/>
        <v>740</v>
      </c>
      <c r="AO53" s="125">
        <v>660.0</v>
      </c>
      <c r="AP53" s="8">
        <f t="shared" si="75"/>
        <v>0</v>
      </c>
      <c r="AQ53" s="1">
        <f t="shared" si="76"/>
        <v>0</v>
      </c>
      <c r="AR53" s="87"/>
      <c r="AS53" s="398">
        <f t="shared" si="99"/>
        <v>48</v>
      </c>
      <c r="AT53" s="399">
        <v>3.0</v>
      </c>
      <c r="AU53" s="440">
        <v>3.0</v>
      </c>
      <c r="AV53" s="399">
        <v>1105.0</v>
      </c>
      <c r="AW53" s="399">
        <v>570.0</v>
      </c>
      <c r="AX53" s="86"/>
      <c r="AY53" s="409" t="s">
        <v>5</v>
      </c>
      <c r="AZ53" s="86" t="str">
        <f t="shared" ref="AZ53:BB53" si="141">AZ52</f>
        <v/>
      </c>
      <c r="BA53" s="86">
        <f t="shared" si="141"/>
        <v>1</v>
      </c>
      <c r="BB53" s="86">
        <f t="shared" si="141"/>
        <v>1</v>
      </c>
      <c r="BC53" s="86">
        <f t="shared" si="89"/>
        <v>0</v>
      </c>
      <c r="BD53" s="86">
        <f t="shared" si="90"/>
        <v>0</v>
      </c>
      <c r="BE53" s="86">
        <f t="shared" si="91"/>
        <v>0</v>
      </c>
      <c r="BF53" s="86">
        <f t="shared" si="92"/>
        <v>0</v>
      </c>
      <c r="BG53" s="86"/>
      <c r="BH53" s="86"/>
      <c r="BI53" s="414"/>
      <c r="BJ53" s="87"/>
      <c r="BK53" s="394">
        <f t="shared" si="114"/>
        <v>32</v>
      </c>
      <c r="BL53" s="95">
        <v>4.0</v>
      </c>
      <c r="BM53" s="445">
        <f>BM52+140</f>
        <v>1860</v>
      </c>
      <c r="BN53" s="428">
        <v>700.0</v>
      </c>
      <c r="BO53" s="86"/>
      <c r="BP53" s="445">
        <f t="shared" ref="BP53:BQ53" si="142">BM53*0.85</f>
        <v>1581</v>
      </c>
      <c r="BQ53" s="446">
        <f t="shared" si="142"/>
        <v>595</v>
      </c>
      <c r="BR53" s="442"/>
      <c r="BS53" s="86"/>
      <c r="BT53" s="460">
        <f>D89</f>
        <v>100</v>
      </c>
      <c r="BU53" s="8">
        <f t="shared" ref="BU53:BV53" si="143">BU52</f>
        <v>1</v>
      </c>
      <c r="BV53" s="443">
        <f t="shared" si="143"/>
        <v>1</v>
      </c>
      <c r="BW53" s="8" t="str">
        <f>BT47</f>
        <v/>
      </c>
      <c r="BX53" s="8">
        <f t="shared" si="103"/>
        <v>0</v>
      </c>
      <c r="BY53" s="8">
        <f t="shared" si="104"/>
        <v>0</v>
      </c>
      <c r="BZ53" s="8"/>
      <c r="CA53" s="8">
        <f t="shared" si="105"/>
        <v>0</v>
      </c>
      <c r="CB53" s="8"/>
      <c r="CC53" s="359"/>
      <c r="CD53" s="87"/>
      <c r="CE53" s="156" t="s">
        <v>132</v>
      </c>
      <c r="CF53" s="122">
        <v>233.0</v>
      </c>
      <c r="CG53" s="121">
        <v>73.0</v>
      </c>
      <c r="CH53" s="148"/>
      <c r="CI53" s="122">
        <v>305.0</v>
      </c>
      <c r="CJ53" s="157">
        <v>80.0</v>
      </c>
      <c r="CK53" s="148"/>
      <c r="CL53" s="122">
        <v>385.0</v>
      </c>
      <c r="CM53" s="158">
        <v>150.0</v>
      </c>
      <c r="CN53" s="151"/>
      <c r="CO53" s="93"/>
      <c r="CP53" s="405">
        <f>D89</f>
        <v>100</v>
      </c>
      <c r="CQ53" s="1"/>
      <c r="CR53" s="117"/>
      <c r="CS53" s="117" t="str">
        <f t="shared" si="95"/>
        <v/>
      </c>
      <c r="CT53" s="117">
        <f>IF(CS53=CE53,IF(CF43=CP49,CF53,IF(CI43=CP49,CI53,IF(CL43=CP49,CL53,0))),0)</f>
        <v>0</v>
      </c>
      <c r="CU53" s="117">
        <f>IF(CS44=CE53,IF(CG43=CP49,CG53,IF(CJ43=CP49,CJ53,IF(CM43=CP49,CM53,0))),0)</f>
        <v>0</v>
      </c>
      <c r="CV53" s="117"/>
      <c r="CW53" s="93"/>
      <c r="CX53" s="449" t="str">
        <f>SUM(CW51:CX51)</f>
        <v>#REF!</v>
      </c>
      <c r="CY53" s="117"/>
      <c r="CZ53" s="370"/>
      <c r="DA53" s="1" t="s">
        <v>286</v>
      </c>
      <c r="DB53" s="1" t="str">
        <f t="shared" ref="DB53:DC53" si="144">DB52</f>
        <v/>
      </c>
      <c r="DC53" s="1" t="str">
        <f t="shared" si="144"/>
        <v/>
      </c>
      <c r="DD53" s="1">
        <f t="shared" si="135"/>
        <v>0</v>
      </c>
      <c r="DE53" s="1">
        <f t="shared" si="136"/>
        <v>0</v>
      </c>
      <c r="DF53" s="1">
        <f t="shared" si="137"/>
        <v>0</v>
      </c>
      <c r="DG53" s="1">
        <f t="shared" si="138"/>
        <v>0</v>
      </c>
      <c r="DH53" s="1"/>
      <c r="DI53" s="341"/>
      <c r="DJ53" s="392">
        <f t="shared" si="69"/>
        <v>68</v>
      </c>
      <c r="DK53" s="393">
        <v>5.0</v>
      </c>
      <c r="DL53" s="1" t="str">
        <f t="shared" si="70"/>
        <v/>
      </c>
      <c r="DM53" s="1">
        <f t="shared" si="66"/>
        <v>0</v>
      </c>
      <c r="DN53" s="394">
        <f t="shared" si="77"/>
        <v>56</v>
      </c>
      <c r="DO53" s="95">
        <v>7.0</v>
      </c>
      <c r="DP53" s="1" t="str">
        <f t="shared" si="71"/>
        <v/>
      </c>
      <c r="DQ53" s="1">
        <f t="shared" si="67"/>
        <v>0</v>
      </c>
      <c r="DR53" s="1"/>
      <c r="EU53" s="1"/>
      <c r="EV53" s="1"/>
      <c r="EW53" s="1"/>
      <c r="EX53" s="1"/>
      <c r="EZ53" s="1"/>
      <c r="FA53" s="1"/>
      <c r="FC53" s="1"/>
      <c r="FD53" s="87"/>
      <c r="FE53" s="1"/>
      <c r="FF53" s="142"/>
      <c r="FG53" s="342"/>
      <c r="FH53" s="1" t="s">
        <v>286</v>
      </c>
      <c r="FI53" s="342" t="s">
        <v>88</v>
      </c>
      <c r="FJ53" s="232" t="s">
        <v>291</v>
      </c>
      <c r="FK53" s="343" t="s">
        <v>293</v>
      </c>
      <c r="FL53" s="343"/>
      <c r="FM53" s="343"/>
      <c r="FN53" s="343"/>
      <c r="FO53" s="8"/>
      <c r="FP53" s="8"/>
      <c r="FQ53" s="343">
        <f>SUM(FQ27:FQ52)+FM63</f>
        <v>0</v>
      </c>
      <c r="FR53" s="343">
        <f>SUM(FR27:FR52)+FM63</f>
        <v>0</v>
      </c>
      <c r="FS53" s="343">
        <f>SUM(FS27:FS52)</f>
        <v>0</v>
      </c>
      <c r="FT53" s="8"/>
      <c r="FU53" s="87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</row>
    <row r="54" ht="12.75" customHeight="1">
      <c r="A54" s="34"/>
      <c r="B54" s="212"/>
      <c r="C54" s="461"/>
      <c r="D54" s="212"/>
      <c r="E54" s="8"/>
      <c r="F54" s="8"/>
      <c r="G54" s="359"/>
      <c r="H54" s="387"/>
      <c r="I54" s="1"/>
      <c r="J54" s="1"/>
      <c r="K54" s="8"/>
      <c r="L54" s="1"/>
      <c r="M54" s="1"/>
      <c r="N54" s="46"/>
      <c r="O54" s="8"/>
      <c r="P54" s="8"/>
      <c r="Q54" s="8"/>
      <c r="R54" s="3" t="str">
        <f>IF(D55="Sheetfed"," ",D55)</f>
        <v>Tabloid</v>
      </c>
      <c r="S54" s="462"/>
      <c r="T54" s="5"/>
      <c r="U54" s="87"/>
      <c r="W54" s="116">
        <f t="shared" si="79"/>
        <v>13</v>
      </c>
      <c r="X54" s="1">
        <v>175.0</v>
      </c>
      <c r="Y54" s="1">
        <f t="shared" si="86"/>
        <v>205</v>
      </c>
      <c r="Z54" s="1">
        <f t="shared" si="80"/>
        <v>260</v>
      </c>
      <c r="AA54" s="141">
        <v>640.0</v>
      </c>
      <c r="AB54" s="141">
        <v>465.0</v>
      </c>
      <c r="AC54" s="8"/>
      <c r="AD54" s="8">
        <f t="shared" si="81"/>
        <v>1</v>
      </c>
      <c r="AE54" s="8">
        <f t="shared" si="73"/>
        <v>0</v>
      </c>
      <c r="AF54" s="8">
        <f t="shared" si="74"/>
        <v>0</v>
      </c>
      <c r="AG54" s="8"/>
      <c r="AH54" s="8"/>
      <c r="AI54" s="8"/>
      <c r="AJ54" s="116">
        <f t="shared" si="82"/>
        <v>13</v>
      </c>
      <c r="AK54" s="39"/>
      <c r="AL54" s="1">
        <v>500.0</v>
      </c>
      <c r="AM54" s="1">
        <f t="shared" ref="AM54:AN54" si="145">AM53+20</f>
        <v>260</v>
      </c>
      <c r="AN54" s="141">
        <f t="shared" si="145"/>
        <v>760</v>
      </c>
      <c r="AO54" s="141">
        <v>715.0</v>
      </c>
      <c r="AP54" s="8">
        <f t="shared" si="75"/>
        <v>0</v>
      </c>
      <c r="AQ54" s="1">
        <f t="shared" si="76"/>
        <v>0</v>
      </c>
      <c r="AR54" s="87"/>
      <c r="AS54" s="392">
        <f t="shared" si="99"/>
        <v>52</v>
      </c>
      <c r="AT54" s="393">
        <v>4.0</v>
      </c>
      <c r="AU54" s="421">
        <f t="shared" ref="AU54:AU55" si="151">AU53+0.25</f>
        <v>3.25</v>
      </c>
      <c r="AV54" s="393">
        <v>1205.0</v>
      </c>
      <c r="AW54" s="393">
        <v>620.0</v>
      </c>
      <c r="AX54" s="86"/>
      <c r="AY54" s="422">
        <f>D90</f>
        <v>100</v>
      </c>
      <c r="AZ54" s="86" t="str">
        <f t="shared" ref="AZ54:BB54" si="146">AZ53</f>
        <v/>
      </c>
      <c r="BA54" s="86">
        <f t="shared" si="146"/>
        <v>1</v>
      </c>
      <c r="BB54" s="86">
        <f t="shared" si="146"/>
        <v>1</v>
      </c>
      <c r="BC54" s="86">
        <f t="shared" si="89"/>
        <v>0</v>
      </c>
      <c r="BD54" s="86">
        <f t="shared" si="90"/>
        <v>0</v>
      </c>
      <c r="BE54" s="86">
        <f t="shared" si="91"/>
        <v>0</v>
      </c>
      <c r="BF54" s="86">
        <f t="shared" si="92"/>
        <v>0</v>
      </c>
      <c r="BG54" s="86"/>
      <c r="BH54" s="86"/>
      <c r="BI54" s="414"/>
      <c r="BJ54" s="87"/>
      <c r="BK54" s="382">
        <f t="shared" si="114"/>
        <v>36</v>
      </c>
      <c r="BL54" s="86">
        <v>5.0</v>
      </c>
      <c r="BM54" s="439">
        <f>BM53+280</f>
        <v>2140</v>
      </c>
      <c r="BN54" s="440">
        <v>790.0</v>
      </c>
      <c r="BO54" s="86"/>
      <c r="BP54" s="439">
        <f t="shared" ref="BP54:BQ54" si="147">BM54*0.85</f>
        <v>1819</v>
      </c>
      <c r="BQ54" s="441">
        <f t="shared" si="147"/>
        <v>671.5</v>
      </c>
      <c r="BR54" s="442"/>
      <c r="BS54" s="86"/>
      <c r="BT54" s="412">
        <v>0.0</v>
      </c>
      <c r="BU54" s="8">
        <f t="shared" ref="BU54:BV54" si="148">BU53</f>
        <v>1</v>
      </c>
      <c r="BV54" s="443">
        <f t="shared" si="148"/>
        <v>1</v>
      </c>
      <c r="BW54" s="8" t="str">
        <f>BT47</f>
        <v/>
      </c>
      <c r="BX54" s="8">
        <f t="shared" si="103"/>
        <v>0</v>
      </c>
      <c r="BY54" s="8">
        <f t="shared" si="104"/>
        <v>0</v>
      </c>
      <c r="BZ54" s="8"/>
      <c r="CA54" s="8">
        <f t="shared" si="105"/>
        <v>0</v>
      </c>
      <c r="CB54" s="8"/>
      <c r="CC54" s="359"/>
      <c r="CD54" s="87"/>
      <c r="CE54" s="162" t="s">
        <v>133</v>
      </c>
      <c r="CF54" s="140">
        <v>278.0</v>
      </c>
      <c r="CG54" s="139">
        <v>78.0</v>
      </c>
      <c r="CH54" s="148"/>
      <c r="CI54" s="140">
        <v>355.0</v>
      </c>
      <c r="CJ54" s="163">
        <v>85.0</v>
      </c>
      <c r="CK54" s="148"/>
      <c r="CL54" s="140">
        <v>440.0</v>
      </c>
      <c r="CM54" s="164">
        <v>160.0</v>
      </c>
      <c r="CN54" s="151"/>
      <c r="CO54" s="93"/>
      <c r="CP54" s="420" t="s">
        <v>5</v>
      </c>
      <c r="CQ54" s="1"/>
      <c r="CR54" s="117"/>
      <c r="CS54" s="117" t="str">
        <f t="shared" si="95"/>
        <v/>
      </c>
      <c r="CT54" s="117">
        <f>IF(CS54=CE54,IF(CF43=CP49,CF54,IF(CI43=CP49,CI54,IF(CL43=CP49,CL54,0))),0)</f>
        <v>0</v>
      </c>
      <c r="CU54" s="117">
        <f>IF(CS44=CE54,IF(CG43=CP49,CG54,IF(CJ43=CP49,CJ54,IF(CM43=CP49,CM54,0))),0)</f>
        <v>0</v>
      </c>
      <c r="CV54" s="117"/>
      <c r="CW54" s="93"/>
      <c r="CX54" s="397"/>
      <c r="CY54" s="117"/>
      <c r="CZ54" s="370"/>
      <c r="DA54" s="1" t="s">
        <v>88</v>
      </c>
      <c r="DB54" s="1" t="str">
        <f t="shared" ref="DB54:DC54" si="149">DB53</f>
        <v/>
      </c>
      <c r="DC54" s="1" t="str">
        <f t="shared" si="149"/>
        <v/>
      </c>
      <c r="DD54" s="1">
        <f t="shared" si="135"/>
        <v>0</v>
      </c>
      <c r="DE54" s="1">
        <f t="shared" si="136"/>
        <v>0</v>
      </c>
      <c r="DF54" s="1">
        <f t="shared" si="137"/>
        <v>0</v>
      </c>
      <c r="DG54" s="1">
        <f t="shared" si="138"/>
        <v>0</v>
      </c>
      <c r="DH54" s="1"/>
      <c r="DI54" s="341"/>
      <c r="DJ54" s="398">
        <f t="shared" si="69"/>
        <v>72</v>
      </c>
      <c r="DK54" s="399">
        <v>5.0</v>
      </c>
      <c r="DL54" s="1" t="str">
        <f t="shared" si="70"/>
        <v/>
      </c>
      <c r="DM54" s="1">
        <f t="shared" si="66"/>
        <v>0</v>
      </c>
      <c r="DN54" s="382">
        <f t="shared" si="77"/>
        <v>60</v>
      </c>
      <c r="DO54" s="86">
        <v>8.0</v>
      </c>
      <c r="DP54" s="1" t="str">
        <f t="shared" si="71"/>
        <v/>
      </c>
      <c r="DQ54" s="1">
        <f t="shared" si="67"/>
        <v>0</v>
      </c>
      <c r="DR54" s="1"/>
      <c r="EU54" s="1"/>
      <c r="EV54" s="1"/>
      <c r="EW54" s="1"/>
      <c r="EX54" s="1"/>
      <c r="EZ54" s="1"/>
      <c r="FA54" s="1"/>
      <c r="FC54" s="1"/>
      <c r="FD54" s="87"/>
      <c r="FE54" s="1"/>
      <c r="FF54" s="142"/>
      <c r="FG54" s="342"/>
      <c r="FH54" s="1"/>
      <c r="FI54" s="342"/>
      <c r="FJ54" s="232"/>
      <c r="FK54" s="343"/>
      <c r="FL54" s="343"/>
      <c r="FM54" s="343"/>
      <c r="FN54" s="343"/>
      <c r="FO54" s="8"/>
      <c r="FP54" s="8"/>
      <c r="FQ54" s="343">
        <f>IF(FK27=FS53,FQ53,IF(FK50&gt;FS53,FQ53,FQ53-(((FS53-FK50)/FS53)*FR53)))</f>
        <v>0</v>
      </c>
      <c r="FR54" s="343">
        <f>IF(FK50=FS53,0,IF(FK50&lt;FS53,0,((FK50-FS53)/FS53)*FR53))</f>
        <v>0</v>
      </c>
      <c r="FS54" s="343"/>
      <c r="FT54" s="8"/>
      <c r="FU54" s="87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</row>
    <row r="55" ht="12.75" customHeight="1">
      <c r="A55" s="34" t="s">
        <v>321</v>
      </c>
      <c r="B55" s="212"/>
      <c r="C55" s="461"/>
      <c r="D55" s="463" t="str">
        <f>'WEB QUOTER'!F4</f>
        <v>Tabloid</v>
      </c>
      <c r="E55" s="8" t="s">
        <v>322</v>
      </c>
      <c r="F55" s="8"/>
      <c r="G55" s="359"/>
      <c r="H55" s="387"/>
      <c r="I55" s="1"/>
      <c r="J55" s="1"/>
      <c r="K55" s="1"/>
      <c r="L55" s="1"/>
      <c r="M55" s="1"/>
      <c r="N55" s="46"/>
      <c r="O55" s="8"/>
      <c r="P55" s="8"/>
      <c r="Q55" s="8"/>
      <c r="R55" s="7">
        <f>D69</f>
        <v>20</v>
      </c>
      <c r="S55" s="63" t="s">
        <v>323</v>
      </c>
      <c r="T55" s="9"/>
      <c r="U55" s="87"/>
      <c r="W55" s="123">
        <f t="shared" si="79"/>
        <v>14</v>
      </c>
      <c r="X55" s="124">
        <v>175.0</v>
      </c>
      <c r="Y55" s="124">
        <f t="shared" si="86"/>
        <v>220</v>
      </c>
      <c r="Z55" s="124">
        <f t="shared" si="80"/>
        <v>280</v>
      </c>
      <c r="AA55" s="125">
        <v>675.0</v>
      </c>
      <c r="AB55" s="125">
        <v>500.0</v>
      </c>
      <c r="AC55" s="8"/>
      <c r="AD55" s="8">
        <f t="shared" si="81"/>
        <v>1</v>
      </c>
      <c r="AE55" s="8">
        <f t="shared" si="73"/>
        <v>0</v>
      </c>
      <c r="AF55" s="8">
        <f t="shared" si="74"/>
        <v>0</v>
      </c>
      <c r="AG55" s="8"/>
      <c r="AH55" s="8"/>
      <c r="AI55" s="8"/>
      <c r="AJ55" s="123">
        <f t="shared" si="82"/>
        <v>14</v>
      </c>
      <c r="AK55" s="126"/>
      <c r="AL55" s="124">
        <v>500.0</v>
      </c>
      <c r="AM55" s="124">
        <f t="shared" ref="AM55:AN55" si="150">AM54+20</f>
        <v>280</v>
      </c>
      <c r="AN55" s="125">
        <f t="shared" si="150"/>
        <v>780</v>
      </c>
      <c r="AO55" s="125">
        <v>770.0</v>
      </c>
      <c r="AP55" s="8">
        <f t="shared" si="75"/>
        <v>0</v>
      </c>
      <c r="AQ55" s="1">
        <f t="shared" si="76"/>
        <v>0</v>
      </c>
      <c r="AR55" s="87"/>
      <c r="AS55" s="398">
        <f t="shared" si="99"/>
        <v>56</v>
      </c>
      <c r="AT55" s="399">
        <v>4.0</v>
      </c>
      <c r="AU55" s="440">
        <f t="shared" si="151"/>
        <v>3.5</v>
      </c>
      <c r="AV55" s="399">
        <v>1295.0</v>
      </c>
      <c r="AW55" s="399">
        <v>665.0</v>
      </c>
      <c r="AX55" s="86"/>
      <c r="AY55" s="409"/>
      <c r="AZ55" s="86" t="str">
        <f t="shared" ref="AZ55:BB55" si="152">AZ54</f>
        <v/>
      </c>
      <c r="BA55" s="86">
        <f t="shared" si="152"/>
        <v>1</v>
      </c>
      <c r="BB55" s="86">
        <f t="shared" si="152"/>
        <v>1</v>
      </c>
      <c r="BC55" s="86">
        <f t="shared" si="89"/>
        <v>0</v>
      </c>
      <c r="BD55" s="86">
        <f t="shared" si="90"/>
        <v>0</v>
      </c>
      <c r="BE55" s="86">
        <f t="shared" si="91"/>
        <v>0</v>
      </c>
      <c r="BF55" s="86">
        <f t="shared" si="92"/>
        <v>0</v>
      </c>
      <c r="BG55" s="86"/>
      <c r="BH55" s="86"/>
      <c r="BI55" s="414"/>
      <c r="BJ55" s="87"/>
      <c r="BK55" s="394">
        <f t="shared" si="114"/>
        <v>40</v>
      </c>
      <c r="BL55" s="95">
        <v>5.0</v>
      </c>
      <c r="BM55" s="445">
        <f>BM54+140</f>
        <v>2280</v>
      </c>
      <c r="BN55" s="428">
        <v>85.0</v>
      </c>
      <c r="BO55" s="86"/>
      <c r="BP55" s="445">
        <f t="shared" ref="BP55:BQ55" si="153">BM55*0.85</f>
        <v>1938</v>
      </c>
      <c r="BQ55" s="446">
        <f t="shared" si="153"/>
        <v>72.25</v>
      </c>
      <c r="BR55" s="442"/>
      <c r="BS55" s="86"/>
      <c r="BT55" s="460">
        <f>D90</f>
        <v>100</v>
      </c>
      <c r="BU55" s="8">
        <f t="shared" ref="BU55:BV55" si="154">BU54</f>
        <v>1</v>
      </c>
      <c r="BV55" s="443">
        <f t="shared" si="154"/>
        <v>1</v>
      </c>
      <c r="BW55" s="8" t="str">
        <f>BT47</f>
        <v/>
      </c>
      <c r="BX55" s="8">
        <f t="shared" si="103"/>
        <v>0</v>
      </c>
      <c r="BY55" s="8">
        <f t="shared" si="104"/>
        <v>0</v>
      </c>
      <c r="BZ55" s="8"/>
      <c r="CA55" s="8">
        <f t="shared" si="105"/>
        <v>0</v>
      </c>
      <c r="CB55" s="8"/>
      <c r="CC55" s="359"/>
      <c r="CD55" s="87"/>
      <c r="CE55" s="156" t="s">
        <v>137</v>
      </c>
      <c r="CF55" s="122">
        <v>323.0</v>
      </c>
      <c r="CG55" s="121">
        <v>83.0</v>
      </c>
      <c r="CH55" s="148"/>
      <c r="CI55" s="122">
        <v>405.0</v>
      </c>
      <c r="CJ55" s="157">
        <v>90.0</v>
      </c>
      <c r="CK55" s="148"/>
      <c r="CL55" s="122">
        <v>495.0</v>
      </c>
      <c r="CM55" s="158">
        <v>170.0</v>
      </c>
      <c r="CN55" s="151"/>
      <c r="CO55" s="93"/>
      <c r="CP55" s="405">
        <f>D90</f>
        <v>100</v>
      </c>
      <c r="CQ55" s="1"/>
      <c r="CR55" s="249"/>
      <c r="CS55" s="117" t="str">
        <f t="shared" si="95"/>
        <v/>
      </c>
      <c r="CT55" s="117">
        <f>IF(CS55=CE55,IF(CF43=CP49,CF55,IF(CI43=CP49,CI55,IF(CL43=CP49,CL55,0))),0)</f>
        <v>0</v>
      </c>
      <c r="CU55" s="117">
        <f>IF(CS44=CE55,IF(CG43=CP49,CG55,IF(CJ43=CP49,CJ55,IF(CM43=CP49,CM55,0))),0)</f>
        <v>0</v>
      </c>
      <c r="CV55" s="249"/>
      <c r="CW55" s="181" t="s">
        <v>324</v>
      </c>
      <c r="CX55" s="464" t="str">
        <f>IF(CW49&gt;0,1,0)</f>
        <v>#REF!</v>
      </c>
      <c r="CY55" s="117"/>
      <c r="CZ55" s="370"/>
      <c r="DA55" s="1" t="s">
        <v>325</v>
      </c>
      <c r="DB55" s="1" t="str">
        <f t="shared" ref="DB55:DC55" si="155">DB54</f>
        <v/>
      </c>
      <c r="DC55" s="1" t="str">
        <f t="shared" si="155"/>
        <v/>
      </c>
      <c r="DD55" s="1">
        <f t="shared" si="135"/>
        <v>0</v>
      </c>
      <c r="DE55" s="1">
        <f t="shared" si="136"/>
        <v>0</v>
      </c>
      <c r="DF55" s="1">
        <f t="shared" si="137"/>
        <v>0</v>
      </c>
      <c r="DG55" s="1">
        <f t="shared" si="138"/>
        <v>0</v>
      </c>
      <c r="DH55" s="1"/>
      <c r="DI55" s="341"/>
      <c r="DJ55" s="392">
        <f t="shared" si="69"/>
        <v>76</v>
      </c>
      <c r="DK55" s="393">
        <v>6.0</v>
      </c>
      <c r="DL55" s="1" t="str">
        <f t="shared" si="70"/>
        <v/>
      </c>
      <c r="DM55" s="1">
        <f t="shared" si="66"/>
        <v>0</v>
      </c>
      <c r="DN55" s="394">
        <f t="shared" si="77"/>
        <v>64</v>
      </c>
      <c r="DO55" s="95">
        <v>8.0</v>
      </c>
      <c r="DP55" s="1" t="str">
        <f t="shared" si="71"/>
        <v/>
      </c>
      <c r="DQ55" s="1">
        <f t="shared" si="67"/>
        <v>0</v>
      </c>
      <c r="DR55" s="1"/>
      <c r="EU55" s="1"/>
      <c r="EV55" s="1"/>
      <c r="EW55" s="1"/>
      <c r="EX55" s="1"/>
      <c r="EZ55" s="1"/>
      <c r="FA55" s="1"/>
      <c r="FC55" s="1"/>
      <c r="FD55" s="87"/>
      <c r="FE55" s="1"/>
      <c r="FF55" s="371" t="s">
        <v>326</v>
      </c>
      <c r="FG55" s="374"/>
      <c r="FH55" s="372">
        <v>0.0</v>
      </c>
      <c r="FI55" s="434">
        <v>0.0</v>
      </c>
      <c r="FJ55" s="372"/>
      <c r="FK55" s="343"/>
      <c r="FL55" s="343">
        <f>FH25</f>
        <v>0</v>
      </c>
      <c r="FM55" s="343">
        <f>IF(D153=FF55,IF(FL55=3,FH55,IF(FL55=4,FI55,IF(FL55=5,FJ55,IF(FL55=6,FK55,IF(FL55=1,FI55,IF(FL55=2,FI55,0)))))),0)</f>
        <v>0</v>
      </c>
      <c r="FN55" s="343">
        <f>FS53</f>
        <v>0</v>
      </c>
      <c r="FO55" s="8"/>
      <c r="FP55" s="8"/>
      <c r="FQ55" s="8"/>
      <c r="FR55" s="343"/>
      <c r="FS55" s="343"/>
      <c r="FT55" s="8"/>
      <c r="FU55" s="87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</row>
    <row r="56" ht="12.75" customHeight="1">
      <c r="A56" s="34" t="s">
        <v>327</v>
      </c>
      <c r="B56" s="212"/>
      <c r="C56" s="461"/>
      <c r="D56" s="465">
        <f>'WEB QUOTER'!F5</f>
        <v>1000</v>
      </c>
      <c r="E56" s="8" t="s">
        <v>322</v>
      </c>
      <c r="F56" s="8"/>
      <c r="G56" s="359"/>
      <c r="H56" s="387"/>
      <c r="I56" s="1"/>
      <c r="J56" s="1"/>
      <c r="K56" s="1"/>
      <c r="L56" s="1"/>
      <c r="M56" s="1"/>
      <c r="N56" s="46"/>
      <c r="O56" s="8">
        <f>IF(J49=C45,K49,0)</f>
        <v>120</v>
      </c>
      <c r="P56" s="8">
        <f>IF(J49=C45,L49,0)</f>
        <v>60</v>
      </c>
      <c r="Q56" s="8"/>
      <c r="R56" s="7" t="str">
        <f>C43</f>
        <v/>
      </c>
      <c r="S56" s="63" t="str">
        <f>IF(Q47=1,"1/c",IF(Q47=2,"2/c",IF(Q47=4,"4/c"," ")))</f>
        <v>4/c</v>
      </c>
      <c r="T56" s="9" t="s">
        <v>328</v>
      </c>
      <c r="U56" s="87"/>
      <c r="W56" s="116">
        <f t="shared" si="79"/>
        <v>15</v>
      </c>
      <c r="X56" s="1">
        <v>175.0</v>
      </c>
      <c r="Y56" s="1">
        <f t="shared" si="86"/>
        <v>235</v>
      </c>
      <c r="Z56" s="1">
        <f t="shared" si="80"/>
        <v>300</v>
      </c>
      <c r="AA56" s="141">
        <v>710.0</v>
      </c>
      <c r="AB56" s="141">
        <v>535.0</v>
      </c>
      <c r="AC56" s="8"/>
      <c r="AD56" s="8">
        <f t="shared" si="81"/>
        <v>1</v>
      </c>
      <c r="AE56" s="8">
        <f t="shared" si="73"/>
        <v>0</v>
      </c>
      <c r="AF56" s="8">
        <f t="shared" si="74"/>
        <v>0</v>
      </c>
      <c r="AG56" s="8"/>
      <c r="AH56" s="8"/>
      <c r="AI56" s="8"/>
      <c r="AJ56" s="116">
        <f t="shared" si="82"/>
        <v>15</v>
      </c>
      <c r="AK56" s="39"/>
      <c r="AL56" s="1">
        <v>525.0</v>
      </c>
      <c r="AM56" s="1">
        <f t="shared" ref="AM56:AM60" si="161">AM55+20</f>
        <v>300</v>
      </c>
      <c r="AN56" s="141">
        <v>825.0</v>
      </c>
      <c r="AO56" s="141">
        <v>825.0</v>
      </c>
      <c r="AP56" s="8">
        <f t="shared" si="75"/>
        <v>0</v>
      </c>
      <c r="AQ56" s="1">
        <f t="shared" si="76"/>
        <v>0</v>
      </c>
      <c r="AR56" s="87"/>
      <c r="AS56" s="392">
        <f t="shared" si="99"/>
        <v>60</v>
      </c>
      <c r="AT56" s="393">
        <v>5.0</v>
      </c>
      <c r="AU56" s="421">
        <v>4.0</v>
      </c>
      <c r="AV56" s="393">
        <v>1375.0</v>
      </c>
      <c r="AW56" s="393">
        <v>715.0</v>
      </c>
      <c r="AX56" s="86"/>
      <c r="AY56" s="409"/>
      <c r="AZ56" s="86" t="str">
        <f t="shared" ref="AZ56:BB56" si="156">AZ55</f>
        <v/>
      </c>
      <c r="BA56" s="86">
        <f t="shared" si="156"/>
        <v>1</v>
      </c>
      <c r="BB56" s="86">
        <f t="shared" si="156"/>
        <v>1</v>
      </c>
      <c r="BC56" s="86">
        <f t="shared" si="89"/>
        <v>0</v>
      </c>
      <c r="BD56" s="86">
        <f t="shared" si="90"/>
        <v>0</v>
      </c>
      <c r="BE56" s="86">
        <f t="shared" si="91"/>
        <v>0</v>
      </c>
      <c r="BF56" s="86">
        <f t="shared" si="92"/>
        <v>0</v>
      </c>
      <c r="BG56" s="86"/>
      <c r="BH56" s="86"/>
      <c r="BI56" s="414"/>
      <c r="BJ56" s="87"/>
      <c r="BK56" s="382">
        <f t="shared" si="114"/>
        <v>44</v>
      </c>
      <c r="BL56" s="86">
        <v>6.0</v>
      </c>
      <c r="BM56" s="439">
        <f>BM55+280</f>
        <v>2560</v>
      </c>
      <c r="BN56" s="440">
        <v>965.0</v>
      </c>
      <c r="BO56" s="86"/>
      <c r="BP56" s="439">
        <f t="shared" ref="BP56:BQ56" si="157">BM56*0.85</f>
        <v>2176</v>
      </c>
      <c r="BQ56" s="441">
        <f t="shared" si="157"/>
        <v>820.25</v>
      </c>
      <c r="BR56" s="442"/>
      <c r="BS56" s="86"/>
      <c r="BT56" s="412"/>
      <c r="BU56" s="8">
        <f t="shared" ref="BU56:BV56" si="158">BU55</f>
        <v>1</v>
      </c>
      <c r="BV56" s="443">
        <f t="shared" si="158"/>
        <v>1</v>
      </c>
      <c r="BW56" s="8" t="str">
        <f>BT47</f>
        <v/>
      </c>
      <c r="BX56" s="8">
        <f t="shared" si="103"/>
        <v>0</v>
      </c>
      <c r="BY56" s="8">
        <f t="shared" si="104"/>
        <v>0</v>
      </c>
      <c r="BZ56" s="8"/>
      <c r="CA56" s="8">
        <f t="shared" si="105"/>
        <v>0</v>
      </c>
      <c r="CB56" s="8"/>
      <c r="CC56" s="359"/>
      <c r="CD56" s="87"/>
      <c r="CE56" s="180"/>
      <c r="CF56" s="181"/>
      <c r="CG56" s="181"/>
      <c r="CH56" s="181"/>
      <c r="CI56" s="181"/>
      <c r="CJ56" s="181"/>
      <c r="CK56" s="181"/>
      <c r="CL56" s="181"/>
      <c r="CM56" s="181"/>
      <c r="CN56" s="181"/>
      <c r="CO56" s="181"/>
      <c r="CP56" s="181"/>
      <c r="CQ56" s="181"/>
      <c r="CR56" s="249"/>
      <c r="CS56" s="117"/>
      <c r="CT56" s="466">
        <f t="shared" ref="CT56:CU56" si="159">SUM(CT44:CT55)</f>
        <v>0</v>
      </c>
      <c r="CU56" s="466">
        <f t="shared" si="159"/>
        <v>0</v>
      </c>
      <c r="CV56" s="249"/>
      <c r="CW56" s="181"/>
      <c r="CX56" s="181"/>
      <c r="CY56" s="249"/>
      <c r="CZ56" s="467"/>
      <c r="DA56" s="1"/>
      <c r="DB56" s="1" t="str">
        <f t="shared" ref="DB56:DC56" si="160">DB55</f>
        <v/>
      </c>
      <c r="DC56" s="1" t="str">
        <f t="shared" si="160"/>
        <v/>
      </c>
      <c r="DD56" s="1">
        <f t="shared" si="135"/>
        <v>0</v>
      </c>
      <c r="DE56" s="1">
        <f t="shared" si="136"/>
        <v>0</v>
      </c>
      <c r="DF56" s="1">
        <f t="shared" si="137"/>
        <v>0</v>
      </c>
      <c r="DG56" s="1">
        <f t="shared" si="138"/>
        <v>0</v>
      </c>
      <c r="DH56" s="1"/>
      <c r="DI56" s="341"/>
      <c r="DJ56" s="398">
        <f t="shared" si="69"/>
        <v>80</v>
      </c>
      <c r="DK56" s="399">
        <v>5.0</v>
      </c>
      <c r="DL56" s="1" t="str">
        <f t="shared" si="70"/>
        <v/>
      </c>
      <c r="DM56" s="1">
        <f t="shared" si="66"/>
        <v>0</v>
      </c>
      <c r="DN56" s="382">
        <f t="shared" si="77"/>
        <v>68</v>
      </c>
      <c r="DO56" s="86">
        <v>9.0</v>
      </c>
      <c r="DP56" s="1" t="str">
        <f t="shared" si="71"/>
        <v/>
      </c>
      <c r="DQ56" s="1">
        <f t="shared" si="67"/>
        <v>0</v>
      </c>
      <c r="DR56" s="1"/>
      <c r="EU56" s="1"/>
      <c r="EV56" s="1"/>
      <c r="EW56" s="1"/>
      <c r="EX56" s="1"/>
      <c r="EZ56" s="1"/>
      <c r="FA56" s="1"/>
      <c r="FC56" s="1"/>
      <c r="FD56" s="87"/>
      <c r="FE56" s="1"/>
      <c r="FF56" s="142" t="s">
        <v>329</v>
      </c>
      <c r="FG56" s="342"/>
      <c r="FH56" s="343">
        <v>5.0</v>
      </c>
      <c r="FI56" s="442">
        <v>10.0</v>
      </c>
      <c r="FJ56" s="343"/>
      <c r="FK56" s="343"/>
      <c r="FL56" s="343">
        <f t="shared" ref="FL56:FL62" si="166">FL55</f>
        <v>0</v>
      </c>
      <c r="FM56" s="343">
        <f>IF(D153=FF56,IF(FL56=3,FH56,IF(FL56=4,FI56,IF(FL56=5,FJ56,IF(FL56=6,FK56,IF(FL56=1,FI56,IF(FL56=2,FI56,0)))))),0)</f>
        <v>0</v>
      </c>
      <c r="FN56" s="343">
        <f t="shared" ref="FN56:FN62" si="167">FN55</f>
        <v>0</v>
      </c>
      <c r="FO56" s="8"/>
      <c r="FP56" s="8"/>
      <c r="FQ56" s="8"/>
      <c r="FR56" s="343"/>
      <c r="FS56" s="343"/>
      <c r="FT56" s="8"/>
      <c r="FU56" s="87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</row>
    <row r="57" ht="12.75" customHeight="1">
      <c r="A57" s="34" t="s">
        <v>18</v>
      </c>
      <c r="B57" s="212"/>
      <c r="C57" s="461"/>
      <c r="D57" s="468">
        <f>'WEB QUOTER'!F7</f>
        <v>20</v>
      </c>
      <c r="E57" s="8"/>
      <c r="F57" s="8"/>
      <c r="G57" s="359"/>
      <c r="H57" s="387"/>
      <c r="I57" s="1"/>
      <c r="J57" s="1"/>
      <c r="K57" s="1"/>
      <c r="L57" s="1"/>
      <c r="M57" s="1"/>
      <c r="N57" s="46"/>
      <c r="O57" s="8"/>
      <c r="P57" s="8"/>
      <c r="Q57" s="8"/>
      <c r="R57" s="469" t="str">
        <f>C45</f>
        <v>35#</v>
      </c>
      <c r="S57" s="63" t="s">
        <v>34</v>
      </c>
      <c r="T57" s="9" t="str">
        <f>IF(D74="None","",D74)</f>
        <v/>
      </c>
      <c r="U57" s="87"/>
      <c r="W57" s="123">
        <f t="shared" si="79"/>
        <v>16</v>
      </c>
      <c r="X57" s="124">
        <v>175.0</v>
      </c>
      <c r="Y57" s="124">
        <f t="shared" si="86"/>
        <v>250</v>
      </c>
      <c r="Z57" s="124">
        <f t="shared" si="80"/>
        <v>320</v>
      </c>
      <c r="AA57" s="125">
        <v>745.0</v>
      </c>
      <c r="AB57" s="125">
        <v>570.0</v>
      </c>
      <c r="AC57" s="8"/>
      <c r="AD57" s="8">
        <f t="shared" si="81"/>
        <v>1</v>
      </c>
      <c r="AE57" s="8">
        <f t="shared" si="73"/>
        <v>0</v>
      </c>
      <c r="AF57" s="8">
        <f t="shared" si="74"/>
        <v>0</v>
      </c>
      <c r="AG57" s="8"/>
      <c r="AH57" s="8"/>
      <c r="AI57" s="8"/>
      <c r="AJ57" s="123">
        <f t="shared" si="82"/>
        <v>16</v>
      </c>
      <c r="AK57" s="126"/>
      <c r="AL57" s="124">
        <v>560.0</v>
      </c>
      <c r="AM57" s="124">
        <f t="shared" si="161"/>
        <v>320</v>
      </c>
      <c r="AN57" s="125">
        <v>880.0</v>
      </c>
      <c r="AO57" s="125">
        <v>880.0</v>
      </c>
      <c r="AP57" s="8">
        <f t="shared" si="75"/>
        <v>0</v>
      </c>
      <c r="AQ57" s="1">
        <f t="shared" si="76"/>
        <v>0</v>
      </c>
      <c r="AR57" s="87"/>
      <c r="AS57" s="398">
        <f t="shared" si="99"/>
        <v>64</v>
      </c>
      <c r="AT57" s="399">
        <v>4.0</v>
      </c>
      <c r="AU57" s="440">
        <v>4.0</v>
      </c>
      <c r="AV57" s="399">
        <v>1445.0</v>
      </c>
      <c r="AW57" s="399">
        <v>760.0</v>
      </c>
      <c r="AX57" s="86"/>
      <c r="AY57" s="409" t="s">
        <v>330</v>
      </c>
      <c r="AZ57" s="86" t="str">
        <f t="shared" ref="AZ57:BB57" si="162">AZ56</f>
        <v/>
      </c>
      <c r="BA57" s="86">
        <f t="shared" si="162"/>
        <v>1</v>
      </c>
      <c r="BB57" s="86">
        <f t="shared" si="162"/>
        <v>1</v>
      </c>
      <c r="BC57" s="86">
        <f t="shared" si="89"/>
        <v>0</v>
      </c>
      <c r="BD57" s="86">
        <f t="shared" si="90"/>
        <v>0</v>
      </c>
      <c r="BE57" s="86">
        <f t="shared" si="91"/>
        <v>0</v>
      </c>
      <c r="BF57" s="86">
        <f t="shared" si="92"/>
        <v>0</v>
      </c>
      <c r="BG57" s="86"/>
      <c r="BH57" s="86" t="s">
        <v>3</v>
      </c>
      <c r="BI57" s="414" t="s">
        <v>4</v>
      </c>
      <c r="BJ57" s="87"/>
      <c r="BK57" s="394">
        <f t="shared" si="114"/>
        <v>48</v>
      </c>
      <c r="BL57" s="95">
        <v>6.0</v>
      </c>
      <c r="BM57" s="445">
        <f>BM56+140</f>
        <v>2700</v>
      </c>
      <c r="BN57" s="428">
        <v>1050.0</v>
      </c>
      <c r="BO57" s="86"/>
      <c r="BP57" s="445">
        <f t="shared" ref="BP57:BQ57" si="163">BM57*0.85</f>
        <v>2295</v>
      </c>
      <c r="BQ57" s="446">
        <f t="shared" si="163"/>
        <v>892.5</v>
      </c>
      <c r="BR57" s="442"/>
      <c r="BS57" s="86"/>
      <c r="BT57" s="412"/>
      <c r="BU57" s="8">
        <f t="shared" ref="BU57:BV57" si="164">BU56</f>
        <v>1</v>
      </c>
      <c r="BV57" s="443">
        <f t="shared" si="164"/>
        <v>1</v>
      </c>
      <c r="BW57" s="8" t="str">
        <f>BT47</f>
        <v/>
      </c>
      <c r="BX57" s="8">
        <f t="shared" si="103"/>
        <v>0</v>
      </c>
      <c r="BY57" s="8">
        <f t="shared" si="104"/>
        <v>0</v>
      </c>
      <c r="BZ57" s="8"/>
      <c r="CA57" s="8">
        <f t="shared" si="105"/>
        <v>0</v>
      </c>
      <c r="CB57" s="8"/>
      <c r="CC57" s="359"/>
      <c r="CD57" s="87"/>
      <c r="CE57" s="92"/>
      <c r="CF57" s="93" t="s">
        <v>3</v>
      </c>
      <c r="CG57" s="104" t="s">
        <v>5</v>
      </c>
      <c r="CH57" s="93"/>
      <c r="CI57" s="93" t="s">
        <v>3</v>
      </c>
      <c r="CJ57" s="104" t="s">
        <v>5</v>
      </c>
      <c r="CK57" s="93"/>
      <c r="CL57" s="93" t="s">
        <v>3</v>
      </c>
      <c r="CM57" s="104" t="s">
        <v>5</v>
      </c>
      <c r="CN57" s="93"/>
      <c r="CO57" s="93"/>
      <c r="CP57" s="93"/>
      <c r="CQ57" s="93"/>
      <c r="CR57" s="117"/>
      <c r="CS57" s="117" t="str">
        <f>CS56</f>
        <v/>
      </c>
      <c r="CT57" s="117"/>
      <c r="CU57" s="117"/>
      <c r="CV57" s="117"/>
      <c r="CW57" s="93"/>
      <c r="CX57" s="470"/>
      <c r="CY57" s="297"/>
      <c r="CZ57" s="370"/>
      <c r="DA57" s="1"/>
      <c r="DB57" s="1" t="str">
        <f t="shared" ref="DB57:DC57" si="165">DB56</f>
        <v/>
      </c>
      <c r="DC57" s="1" t="str">
        <f t="shared" si="165"/>
        <v/>
      </c>
      <c r="DD57" s="1">
        <f t="shared" si="135"/>
        <v>0</v>
      </c>
      <c r="DE57" s="1">
        <f t="shared" si="136"/>
        <v>0</v>
      </c>
      <c r="DF57" s="1">
        <f t="shared" si="137"/>
        <v>0</v>
      </c>
      <c r="DG57" s="1">
        <f t="shared" si="138"/>
        <v>0</v>
      </c>
      <c r="DH57" s="1"/>
      <c r="DI57" s="341"/>
      <c r="DJ57" s="392">
        <f t="shared" si="69"/>
        <v>84</v>
      </c>
      <c r="DK57" s="393">
        <v>6.0</v>
      </c>
      <c r="DL57" s="1" t="str">
        <f t="shared" si="70"/>
        <v/>
      </c>
      <c r="DM57" s="1">
        <f t="shared" si="66"/>
        <v>0</v>
      </c>
      <c r="DN57" s="394">
        <f t="shared" si="77"/>
        <v>72</v>
      </c>
      <c r="DO57" s="95">
        <v>9.0</v>
      </c>
      <c r="DP57" s="1" t="str">
        <f t="shared" si="71"/>
        <v/>
      </c>
      <c r="DQ57" s="1">
        <f t="shared" si="67"/>
        <v>0</v>
      </c>
      <c r="DR57" s="1"/>
      <c r="EU57" s="1"/>
      <c r="EV57" s="1"/>
      <c r="EW57" s="1"/>
      <c r="EX57" s="1"/>
      <c r="EZ57" s="1"/>
      <c r="FA57" s="1"/>
      <c r="FC57" s="1"/>
      <c r="FD57" s="87"/>
      <c r="FE57" s="1"/>
      <c r="FF57" s="142" t="s">
        <v>331</v>
      </c>
      <c r="FG57" s="342"/>
      <c r="FH57" s="343">
        <v>50.0</v>
      </c>
      <c r="FI57" s="442">
        <v>100.0</v>
      </c>
      <c r="FJ57" s="343"/>
      <c r="FK57" s="343"/>
      <c r="FL57" s="343">
        <f t="shared" si="166"/>
        <v>0</v>
      </c>
      <c r="FM57" s="343">
        <f>IF(D153=FF57,IF(FL57=3,FH57,IF(FL57=4,FI57,IF(FL57=5,FJ57,IF(FL57=6,FK57,IF(FL57=1,FI57,IF(FL57=2,FI57,0)))))),0)</f>
        <v>0</v>
      </c>
      <c r="FN57" s="343">
        <f t="shared" si="167"/>
        <v>0</v>
      </c>
      <c r="FO57" s="8"/>
      <c r="FP57" s="8"/>
      <c r="FQ57" s="8"/>
      <c r="FR57" s="343"/>
      <c r="FS57" s="343"/>
      <c r="FT57" s="8"/>
      <c r="FU57" s="87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</row>
    <row r="58" ht="12.75" customHeight="1">
      <c r="A58" s="424"/>
      <c r="B58" s="2"/>
      <c r="C58" s="47"/>
      <c r="D58" s="194">
        <f>IF(D55=V40,D57,IF(D55=V41,D57/2,IF(D55=V42,D57*2,0)))</f>
        <v>20</v>
      </c>
      <c r="E58" s="2"/>
      <c r="F58" s="2"/>
      <c r="G58" s="425"/>
      <c r="H58" s="2"/>
      <c r="I58" s="2"/>
      <c r="J58" s="2"/>
      <c r="K58" s="2"/>
      <c r="L58" s="2"/>
      <c r="M58" s="2"/>
      <c r="N58" s="46"/>
      <c r="O58" s="2">
        <f>IF(J50=C45,K50,0)</f>
        <v>0</v>
      </c>
      <c r="P58" s="2">
        <f>IF(J50=C45,L50,0)</f>
        <v>0</v>
      </c>
      <c r="Q58" s="2"/>
      <c r="R58" s="46"/>
      <c r="S58" s="47"/>
      <c r="T58" s="471"/>
      <c r="U58" s="87"/>
      <c r="V58" s="2"/>
      <c r="W58" s="168">
        <f t="shared" si="79"/>
        <v>17</v>
      </c>
      <c r="X58" s="2">
        <v>175.0</v>
      </c>
      <c r="Y58" s="2">
        <f t="shared" si="86"/>
        <v>265</v>
      </c>
      <c r="Z58" s="2">
        <f t="shared" si="80"/>
        <v>340</v>
      </c>
      <c r="AA58" s="169">
        <v>780.0</v>
      </c>
      <c r="AB58" s="169">
        <v>605.0</v>
      </c>
      <c r="AC58" s="2"/>
      <c r="AD58" s="2">
        <f t="shared" si="81"/>
        <v>1</v>
      </c>
      <c r="AE58" s="2">
        <f t="shared" si="73"/>
        <v>0</v>
      </c>
      <c r="AF58" s="2">
        <f t="shared" si="74"/>
        <v>0</v>
      </c>
      <c r="AG58" s="2"/>
      <c r="AH58" s="2"/>
      <c r="AI58" s="2"/>
      <c r="AJ58" s="168">
        <f t="shared" si="82"/>
        <v>17</v>
      </c>
      <c r="AK58" s="170"/>
      <c r="AL58" s="2">
        <v>595.0</v>
      </c>
      <c r="AM58" s="2">
        <f t="shared" si="161"/>
        <v>340</v>
      </c>
      <c r="AN58" s="169">
        <v>935.0</v>
      </c>
      <c r="AO58" s="169">
        <v>935.0</v>
      </c>
      <c r="AP58" s="2">
        <f t="shared" si="75"/>
        <v>0</v>
      </c>
      <c r="AQ58" s="2">
        <f t="shared" si="76"/>
        <v>0</v>
      </c>
      <c r="AR58" s="87"/>
      <c r="AS58" s="426">
        <f t="shared" si="99"/>
        <v>68</v>
      </c>
      <c r="AT58" s="427">
        <v>5.0</v>
      </c>
      <c r="AU58" s="428">
        <f t="shared" ref="AU58:AU59" si="172">AU57+0.25</f>
        <v>4.25</v>
      </c>
      <c r="AV58" s="427">
        <v>1545.0</v>
      </c>
      <c r="AW58" s="427">
        <v>810.0</v>
      </c>
      <c r="AX58" s="95"/>
      <c r="AY58" s="429"/>
      <c r="AZ58" s="95" t="str">
        <f t="shared" ref="AZ58:BB58" si="168">AZ57</f>
        <v/>
      </c>
      <c r="BA58" s="95">
        <f t="shared" si="168"/>
        <v>1</v>
      </c>
      <c r="BB58" s="95">
        <f t="shared" si="168"/>
        <v>1</v>
      </c>
      <c r="BC58" s="95">
        <f t="shared" si="89"/>
        <v>0</v>
      </c>
      <c r="BD58" s="95">
        <f t="shared" si="90"/>
        <v>0</v>
      </c>
      <c r="BE58" s="95">
        <f t="shared" si="91"/>
        <v>0</v>
      </c>
      <c r="BF58" s="95">
        <f t="shared" si="92"/>
        <v>0</v>
      </c>
      <c r="BG58" s="95"/>
      <c r="BH58" s="472">
        <f>SUM(BC45:BC91)*(AY52/100)</f>
        <v>0</v>
      </c>
      <c r="BI58" s="473">
        <f>SUM(BD45:BD91)*(AY54/100)</f>
        <v>0</v>
      </c>
      <c r="BJ58" s="87"/>
      <c r="BK58" s="394">
        <f t="shared" si="114"/>
        <v>52</v>
      </c>
      <c r="BL58" s="95">
        <v>7.0</v>
      </c>
      <c r="BM58" s="445">
        <f>BM57+280</f>
        <v>2980</v>
      </c>
      <c r="BN58" s="428">
        <v>1140.0</v>
      </c>
      <c r="BO58" s="95"/>
      <c r="BP58" s="445">
        <f t="shared" ref="BP58:BQ58" si="169">BM58*0.85</f>
        <v>2533</v>
      </c>
      <c r="BQ58" s="446">
        <f t="shared" si="169"/>
        <v>969</v>
      </c>
      <c r="BR58" s="434"/>
      <c r="BS58" s="95"/>
      <c r="BT58" s="453"/>
      <c r="BU58" s="2">
        <f t="shared" ref="BU58:BV58" si="170">BU57</f>
        <v>1</v>
      </c>
      <c r="BV58" s="2">
        <f t="shared" si="170"/>
        <v>1</v>
      </c>
      <c r="BW58" s="2" t="str">
        <f>BT47</f>
        <v/>
      </c>
      <c r="BX58" s="2">
        <f t="shared" si="103"/>
        <v>0</v>
      </c>
      <c r="BY58" s="2">
        <f t="shared" si="104"/>
        <v>0</v>
      </c>
      <c r="BZ58" s="2"/>
      <c r="CA58" s="2">
        <f t="shared" si="105"/>
        <v>0</v>
      </c>
      <c r="CB58" s="2"/>
      <c r="CC58" s="425"/>
      <c r="CD58" s="87"/>
      <c r="CE58" s="184" t="s">
        <v>142</v>
      </c>
      <c r="CF58" s="185" t="s">
        <v>74</v>
      </c>
      <c r="CG58" s="185" t="s">
        <v>74</v>
      </c>
      <c r="CH58" s="186"/>
      <c r="CI58" s="185" t="s">
        <v>286</v>
      </c>
      <c r="CJ58" s="185" t="s">
        <v>286</v>
      </c>
      <c r="CK58" s="186"/>
      <c r="CL58" s="185" t="s">
        <v>88</v>
      </c>
      <c r="CM58" s="185" t="s">
        <v>88</v>
      </c>
      <c r="CN58" s="97"/>
      <c r="CO58" s="474"/>
      <c r="CP58" s="475" t="s">
        <v>89</v>
      </c>
      <c r="CQ58" s="475" t="s">
        <v>89</v>
      </c>
      <c r="CR58" s="373"/>
      <c r="CS58" s="373"/>
      <c r="CT58" s="97">
        <f>IF(CS44=CE44,IF(CF43=CP49,CF44,IF(CI43=CP49,CI44,IF(CL43=CP49,CL44,0))),0)</f>
        <v>0</v>
      </c>
      <c r="CU58" s="373"/>
      <c r="CV58" s="373"/>
      <c r="CW58" s="97"/>
      <c r="CX58" s="476" t="s">
        <v>3</v>
      </c>
      <c r="CY58" s="436" t="s">
        <v>5</v>
      </c>
      <c r="CZ58" s="370"/>
      <c r="DA58" s="2"/>
      <c r="DB58" s="2" t="str">
        <f t="shared" ref="DB58:DC58" si="171">DB57</f>
        <v/>
      </c>
      <c r="DC58" s="2" t="str">
        <f t="shared" si="171"/>
        <v/>
      </c>
      <c r="DD58" s="2">
        <f t="shared" si="135"/>
        <v>0</v>
      </c>
      <c r="DE58" s="2">
        <f t="shared" si="136"/>
        <v>0</v>
      </c>
      <c r="DF58" s="2">
        <f t="shared" si="137"/>
        <v>0</v>
      </c>
      <c r="DG58" s="2">
        <f t="shared" si="138"/>
        <v>0</v>
      </c>
      <c r="DH58" s="2"/>
      <c r="DI58" s="2"/>
      <c r="DJ58" s="426">
        <f t="shared" si="69"/>
        <v>88</v>
      </c>
      <c r="DK58" s="427">
        <v>6.0</v>
      </c>
      <c r="DL58" s="2" t="str">
        <f t="shared" si="70"/>
        <v/>
      </c>
      <c r="DM58" s="2">
        <f t="shared" si="66"/>
        <v>0</v>
      </c>
      <c r="DN58" s="394">
        <f t="shared" si="77"/>
        <v>76</v>
      </c>
      <c r="DO58" s="95">
        <v>10.0</v>
      </c>
      <c r="DP58" s="2" t="str">
        <f t="shared" si="71"/>
        <v/>
      </c>
      <c r="DQ58" s="2">
        <f t="shared" si="67"/>
        <v>0</v>
      </c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87"/>
      <c r="FE58" s="2"/>
      <c r="FF58" s="142" t="s">
        <v>332</v>
      </c>
      <c r="FG58" s="342"/>
      <c r="FH58" s="343">
        <v>10.0</v>
      </c>
      <c r="FI58" s="442">
        <v>20.0</v>
      </c>
      <c r="FJ58" s="343">
        <v>20.0</v>
      </c>
      <c r="FK58" s="372">
        <v>40.0</v>
      </c>
      <c r="FL58" s="343">
        <f t="shared" si="166"/>
        <v>0</v>
      </c>
      <c r="FM58" s="343">
        <f>IF(D153=FF58,IF(FL58=3,FH58,IF(FL58=4,FI58,IF(FL58=5,FJ58,IF(FL58=6,FK58,IF(FL58=1,FI58,IF(FL58=2,FI58,0)))))),0)</f>
        <v>0</v>
      </c>
      <c r="FN58" s="343">
        <f t="shared" si="167"/>
        <v>0</v>
      </c>
      <c r="FO58" s="2"/>
      <c r="FP58" s="2"/>
      <c r="FQ58" s="2"/>
      <c r="FR58" s="372"/>
      <c r="FS58" s="372"/>
      <c r="FT58" s="2"/>
      <c r="FU58" s="87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</row>
    <row r="59" ht="12.75" customHeight="1">
      <c r="A59" s="36" t="s">
        <v>19</v>
      </c>
      <c r="B59" s="8"/>
      <c r="C59" s="63"/>
      <c r="D59" s="444" t="str">
        <f>'WEB QUOTER'!F8</f>
        <v/>
      </c>
      <c r="E59" s="8" t="s">
        <v>49</v>
      </c>
      <c r="F59" s="8"/>
      <c r="G59" s="359"/>
      <c r="H59" s="387"/>
      <c r="I59" s="1"/>
      <c r="J59" s="1"/>
      <c r="K59" s="1"/>
      <c r="L59" s="1"/>
      <c r="M59" s="1"/>
      <c r="N59" s="46"/>
      <c r="O59" s="8"/>
      <c r="P59" s="8"/>
      <c r="Q59" s="8"/>
      <c r="R59" s="469" t="s">
        <v>3</v>
      </c>
      <c r="S59" s="63">
        <f>IF(D56&gt;999,1000,D56)</f>
        <v>1000</v>
      </c>
      <c r="T59" s="57">
        <f>SUM(G70)</f>
        <v>335.5</v>
      </c>
      <c r="U59" s="87"/>
      <c r="W59" s="123">
        <f t="shared" si="79"/>
        <v>18</v>
      </c>
      <c r="X59" s="124">
        <v>175.0</v>
      </c>
      <c r="Y59" s="124">
        <f t="shared" si="86"/>
        <v>280</v>
      </c>
      <c r="Z59" s="124">
        <f t="shared" si="80"/>
        <v>360</v>
      </c>
      <c r="AA59" s="125">
        <v>815.0</v>
      </c>
      <c r="AB59" s="125">
        <v>640.0</v>
      </c>
      <c r="AC59" s="8"/>
      <c r="AD59" s="8">
        <f t="shared" si="81"/>
        <v>1</v>
      </c>
      <c r="AE59" s="8">
        <f t="shared" si="73"/>
        <v>0</v>
      </c>
      <c r="AF59" s="8">
        <f t="shared" si="74"/>
        <v>0</v>
      </c>
      <c r="AG59" s="8"/>
      <c r="AH59" s="8"/>
      <c r="AI59" s="8"/>
      <c r="AJ59" s="123">
        <f t="shared" si="82"/>
        <v>18</v>
      </c>
      <c r="AK59" s="126"/>
      <c r="AL59" s="124">
        <v>630.0</v>
      </c>
      <c r="AM59" s="124">
        <f t="shared" si="161"/>
        <v>360</v>
      </c>
      <c r="AN59" s="125">
        <v>990.0</v>
      </c>
      <c r="AO59" s="125">
        <v>990.0</v>
      </c>
      <c r="AP59" s="8">
        <f t="shared" si="75"/>
        <v>0</v>
      </c>
      <c r="AQ59" s="1">
        <f t="shared" si="76"/>
        <v>0</v>
      </c>
      <c r="AR59" s="87"/>
      <c r="AS59" s="398">
        <f t="shared" si="99"/>
        <v>72</v>
      </c>
      <c r="AT59" s="399">
        <v>5.0</v>
      </c>
      <c r="AU59" s="440">
        <f t="shared" si="172"/>
        <v>4.5</v>
      </c>
      <c r="AV59" s="399">
        <v>1635.0</v>
      </c>
      <c r="AW59" s="399">
        <v>855.0</v>
      </c>
      <c r="AX59" s="86"/>
      <c r="AY59" s="409" t="s">
        <v>333</v>
      </c>
      <c r="AZ59" s="86" t="str">
        <f t="shared" ref="AZ59:BB59" si="173">AZ58</f>
        <v/>
      </c>
      <c r="BA59" s="86">
        <f t="shared" si="173"/>
        <v>1</v>
      </c>
      <c r="BB59" s="86">
        <f t="shared" si="173"/>
        <v>1</v>
      </c>
      <c r="BC59" s="86">
        <f t="shared" si="89"/>
        <v>0</v>
      </c>
      <c r="BD59" s="86">
        <f t="shared" si="90"/>
        <v>0</v>
      </c>
      <c r="BE59" s="86">
        <f t="shared" si="91"/>
        <v>0</v>
      </c>
      <c r="BF59" s="86">
        <f t="shared" si="92"/>
        <v>0</v>
      </c>
      <c r="BG59" s="86"/>
      <c r="BH59" s="86" t="s">
        <v>334</v>
      </c>
      <c r="BI59" s="414" t="s">
        <v>335</v>
      </c>
      <c r="BJ59" s="87"/>
      <c r="BK59" s="394">
        <f t="shared" si="114"/>
        <v>56</v>
      </c>
      <c r="BL59" s="95">
        <v>7.0</v>
      </c>
      <c r="BM59" s="445">
        <f>BM58+140</f>
        <v>3120</v>
      </c>
      <c r="BN59" s="428">
        <v>1225.0</v>
      </c>
      <c r="BO59" s="86"/>
      <c r="BP59" s="445">
        <f t="shared" ref="BP59:BQ59" si="174">BM59*0.85</f>
        <v>2652</v>
      </c>
      <c r="BQ59" s="446">
        <f t="shared" si="174"/>
        <v>1041.25</v>
      </c>
      <c r="BR59" s="442"/>
      <c r="BS59" s="86"/>
      <c r="BT59" s="412"/>
      <c r="BU59" s="8">
        <f t="shared" ref="BU59:BV59" si="175">BU58</f>
        <v>1</v>
      </c>
      <c r="BV59" s="443">
        <f t="shared" si="175"/>
        <v>1</v>
      </c>
      <c r="BW59" s="8" t="str">
        <f>BT47</f>
        <v/>
      </c>
      <c r="BX59" s="8">
        <f t="shared" si="103"/>
        <v>0</v>
      </c>
      <c r="BY59" s="8">
        <f t="shared" si="104"/>
        <v>0</v>
      </c>
      <c r="BZ59" s="8"/>
      <c r="CA59" s="8">
        <f t="shared" si="105"/>
        <v>0</v>
      </c>
      <c r="CB59" s="8"/>
      <c r="CC59" s="359"/>
      <c r="CD59" s="87"/>
      <c r="CE59" s="187" t="s">
        <v>145</v>
      </c>
      <c r="CF59" s="188">
        <v>340.0</v>
      </c>
      <c r="CG59" s="189">
        <v>40.0</v>
      </c>
      <c r="CH59" s="190"/>
      <c r="CI59" s="191">
        <v>350.0</v>
      </c>
      <c r="CJ59" s="192">
        <v>80.0</v>
      </c>
      <c r="CK59" s="137"/>
      <c r="CL59" s="191">
        <v>435.0</v>
      </c>
      <c r="CM59" s="192">
        <v>150.0</v>
      </c>
      <c r="CN59" s="193"/>
      <c r="CO59" s="477"/>
      <c r="CP59" s="478">
        <v>304.0</v>
      </c>
      <c r="CQ59" s="479">
        <v>150.0</v>
      </c>
      <c r="CR59" s="117"/>
      <c r="CS59" s="117" t="str">
        <f>CS55</f>
        <v/>
      </c>
      <c r="CT59" s="93">
        <f>IF(CS44=CE59,IF(CF43=CP49,CF59,IF(CI43=CP49,CI59,IF(CL43=CP49,CL59,IF(CP58=CS44,CP59)))),0)</f>
        <v>0</v>
      </c>
      <c r="CU59" s="117">
        <f>IF(CE59=CP43,IF(CG43=CP49,CG59,IF(CI43=CP49,CJ59,IF(CL43=CP49,CM59,IF(CP58=CP49,CQ59,0)))),0)</f>
        <v>0</v>
      </c>
      <c r="CV59" s="117"/>
      <c r="CW59" s="93"/>
      <c r="CX59" s="480" t="str">
        <f>CU58</f>
        <v/>
      </c>
      <c r="CY59" s="449">
        <f>CT61</f>
        <v>0</v>
      </c>
      <c r="CZ59" s="370"/>
      <c r="DA59" s="1"/>
      <c r="DB59" s="1" t="str">
        <f t="shared" ref="DB59:DC59" si="176">DB58</f>
        <v/>
      </c>
      <c r="DC59" s="1" t="str">
        <f t="shared" si="176"/>
        <v/>
      </c>
      <c r="DD59" s="1">
        <f t="shared" si="135"/>
        <v>0</v>
      </c>
      <c r="DE59" s="1">
        <f t="shared" si="136"/>
        <v>0</v>
      </c>
      <c r="DF59" s="1">
        <f t="shared" si="137"/>
        <v>0</v>
      </c>
      <c r="DG59" s="1">
        <f t="shared" si="138"/>
        <v>0</v>
      </c>
      <c r="DH59" s="1"/>
      <c r="DI59" s="341"/>
      <c r="DJ59" s="392">
        <f t="shared" si="69"/>
        <v>92</v>
      </c>
      <c r="DK59" s="393">
        <v>7.0</v>
      </c>
      <c r="DL59" s="1" t="str">
        <f t="shared" si="70"/>
        <v/>
      </c>
      <c r="DM59" s="1">
        <f t="shared" si="66"/>
        <v>0</v>
      </c>
      <c r="DN59" s="394">
        <f t="shared" si="77"/>
        <v>80</v>
      </c>
      <c r="DO59" s="95">
        <v>10.0</v>
      </c>
      <c r="DP59" s="1" t="str">
        <f t="shared" si="71"/>
        <v/>
      </c>
      <c r="DQ59" s="1">
        <f t="shared" si="67"/>
        <v>0</v>
      </c>
      <c r="DR59" s="1"/>
      <c r="EU59" s="1"/>
      <c r="EV59" s="1"/>
      <c r="EW59" s="1"/>
      <c r="EX59" s="1"/>
      <c r="EZ59" s="1"/>
      <c r="FA59" s="1"/>
      <c r="FC59" s="1"/>
      <c r="FD59" s="87"/>
      <c r="FE59" s="1"/>
      <c r="FF59" s="142" t="s">
        <v>336</v>
      </c>
      <c r="FG59" s="342"/>
      <c r="FH59" s="343">
        <v>10.0</v>
      </c>
      <c r="FI59" s="442">
        <v>20.0</v>
      </c>
      <c r="FJ59" s="343"/>
      <c r="FK59" s="343"/>
      <c r="FL59" s="343">
        <f t="shared" si="166"/>
        <v>0</v>
      </c>
      <c r="FM59" s="343">
        <f>IF(D153=FF59,IF(FL59=3,FH59,IF(FL59=4,FI59,IF(FL59=5,FJ59,IF(FL59=6,FK59,IF(FL59=1,FI59,IF(FL59=2,FI59,0)))))),0)</f>
        <v>0</v>
      </c>
      <c r="FN59" s="343">
        <f t="shared" si="167"/>
        <v>0</v>
      </c>
      <c r="FO59" s="8"/>
      <c r="FP59" s="8"/>
      <c r="FQ59" s="8"/>
      <c r="FR59" s="343"/>
      <c r="FS59" s="343"/>
      <c r="FT59" s="8"/>
      <c r="FU59" s="87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</row>
    <row r="60" ht="12.75" customHeight="1">
      <c r="A60" s="424"/>
      <c r="B60" s="2"/>
      <c r="C60" s="47"/>
      <c r="D60" s="194" t="str">
        <f>IF(D55=V40,D59,IF(D55=V41,D59/2,IF(D55=V42,D59*2,0)))</f>
        <v/>
      </c>
      <c r="E60" s="2">
        <f>IF('WEB QUOTER'!F30="Y",IF(D60&gt;1,45,0),0)</f>
        <v>0</v>
      </c>
      <c r="F60" s="2"/>
      <c r="G60" s="425"/>
      <c r="H60" s="2"/>
      <c r="I60" s="2"/>
      <c r="J60" s="2"/>
      <c r="K60" s="2"/>
      <c r="L60" s="2"/>
      <c r="M60" s="2"/>
      <c r="N60" s="46"/>
      <c r="O60" s="2">
        <f t="shared" ref="O60:P60" si="177">SUM(O56:O58)</f>
        <v>120</v>
      </c>
      <c r="P60" s="2">
        <f t="shared" si="177"/>
        <v>60</v>
      </c>
      <c r="Q60" s="2"/>
      <c r="R60" s="46"/>
      <c r="S60" s="47"/>
      <c r="T60" s="471"/>
      <c r="U60" s="87"/>
      <c r="V60" s="2"/>
      <c r="W60" s="168">
        <f t="shared" si="79"/>
        <v>19</v>
      </c>
      <c r="X60" s="2">
        <v>175.0</v>
      </c>
      <c r="Y60" s="2">
        <f t="shared" si="86"/>
        <v>295</v>
      </c>
      <c r="Z60" s="2">
        <f t="shared" si="80"/>
        <v>380</v>
      </c>
      <c r="AA60" s="169">
        <v>850.0</v>
      </c>
      <c r="AB60" s="169">
        <v>675.0</v>
      </c>
      <c r="AC60" s="2"/>
      <c r="AD60" s="2">
        <f t="shared" si="81"/>
        <v>1</v>
      </c>
      <c r="AE60" s="2">
        <f t="shared" si="73"/>
        <v>0</v>
      </c>
      <c r="AF60" s="2">
        <f t="shared" si="74"/>
        <v>0</v>
      </c>
      <c r="AG60" s="2"/>
      <c r="AH60" s="2"/>
      <c r="AI60" s="2"/>
      <c r="AJ60" s="168">
        <f t="shared" si="82"/>
        <v>19</v>
      </c>
      <c r="AK60" s="170"/>
      <c r="AL60" s="2">
        <v>665.0</v>
      </c>
      <c r="AM60" s="2">
        <f t="shared" si="161"/>
        <v>380</v>
      </c>
      <c r="AN60" s="169">
        <v>1045.0</v>
      </c>
      <c r="AO60" s="169">
        <v>1045.0</v>
      </c>
      <c r="AP60" s="2">
        <f t="shared" si="75"/>
        <v>0</v>
      </c>
      <c r="AQ60" s="2"/>
      <c r="AR60" s="87"/>
      <c r="AS60" s="426">
        <f t="shared" si="99"/>
        <v>76</v>
      </c>
      <c r="AT60" s="427">
        <v>6.0</v>
      </c>
      <c r="AU60" s="428">
        <v>5.0</v>
      </c>
      <c r="AV60" s="427">
        <v>1715.0</v>
      </c>
      <c r="AW60" s="427">
        <v>905.0</v>
      </c>
      <c r="AX60" s="95"/>
      <c r="AY60" s="429"/>
      <c r="AZ60" s="95" t="str">
        <f t="shared" ref="AZ60:BB60" si="178">AZ59</f>
        <v/>
      </c>
      <c r="BA60" s="95">
        <f t="shared" si="178"/>
        <v>1</v>
      </c>
      <c r="BB60" s="95">
        <f t="shared" si="178"/>
        <v>1</v>
      </c>
      <c r="BC60" s="95">
        <f t="shared" si="89"/>
        <v>0</v>
      </c>
      <c r="BD60" s="95">
        <f t="shared" si="90"/>
        <v>0</v>
      </c>
      <c r="BE60" s="95">
        <f t="shared" si="91"/>
        <v>0</v>
      </c>
      <c r="BF60" s="95">
        <f t="shared" si="92"/>
        <v>0</v>
      </c>
      <c r="BG60" s="95"/>
      <c r="BH60" s="472">
        <f>BG49</f>
        <v>0</v>
      </c>
      <c r="BI60" s="473" t="b">
        <f>BG50</f>
        <v>0</v>
      </c>
      <c r="BJ60" s="87"/>
      <c r="BK60" s="394">
        <f t="shared" si="114"/>
        <v>60</v>
      </c>
      <c r="BL60" s="95">
        <v>8.0</v>
      </c>
      <c r="BM60" s="445">
        <f>BM59+280</f>
        <v>3400</v>
      </c>
      <c r="BN60" s="428">
        <v>1315.0</v>
      </c>
      <c r="BO60" s="95"/>
      <c r="BP60" s="445">
        <f t="shared" ref="BP60:BQ60" si="179">BM60*0.85</f>
        <v>2890</v>
      </c>
      <c r="BQ60" s="446">
        <f t="shared" si="179"/>
        <v>1117.75</v>
      </c>
      <c r="BR60" s="434"/>
      <c r="BS60" s="95"/>
      <c r="BT60" s="453"/>
      <c r="BU60" s="2">
        <f t="shared" ref="BU60:BV60" si="180">BU59</f>
        <v>1</v>
      </c>
      <c r="BV60" s="2">
        <f t="shared" si="180"/>
        <v>1</v>
      </c>
      <c r="BW60" s="2" t="str">
        <f>BT47</f>
        <v/>
      </c>
      <c r="BX60" s="2">
        <f t="shared" si="103"/>
        <v>0</v>
      </c>
      <c r="BY60" s="2">
        <f t="shared" si="104"/>
        <v>0</v>
      </c>
      <c r="BZ60" s="2"/>
      <c r="CA60" s="2">
        <f t="shared" si="105"/>
        <v>0</v>
      </c>
      <c r="CB60" s="2"/>
      <c r="CC60" s="425"/>
      <c r="CD60" s="87"/>
      <c r="CE60" s="196" t="s">
        <v>146</v>
      </c>
      <c r="CF60" s="197">
        <v>385.0</v>
      </c>
      <c r="CG60" s="198">
        <v>45.0</v>
      </c>
      <c r="CH60" s="199"/>
      <c r="CI60" s="200">
        <v>430.0</v>
      </c>
      <c r="CJ60" s="201">
        <v>90.0</v>
      </c>
      <c r="CK60" s="186"/>
      <c r="CL60" s="200">
        <v>520.0</v>
      </c>
      <c r="CM60" s="201">
        <v>160.0</v>
      </c>
      <c r="CN60" s="202"/>
      <c r="CO60" s="474"/>
      <c r="CP60" s="481">
        <v>364.0</v>
      </c>
      <c r="CQ60" s="482">
        <v>160.0</v>
      </c>
      <c r="CR60" s="373"/>
      <c r="CS60" s="373" t="str">
        <f t="shared" ref="CS60:CS61" si="185">CS59</f>
        <v/>
      </c>
      <c r="CT60" s="97">
        <f>IF(CS44=CE60,IF(CF43=CP49,CF60,IF(CI43=CP49,CI60,IF(CL43=CP49,CL60,IF(CP58=CS44,CP60)))),0)</f>
        <v>0</v>
      </c>
      <c r="CU60" s="373">
        <f>IF(CE60=CP43,IF(CG43=CP49,CG60,IF(CI58=CP49,CJ60,IF(CL58=CP49,CM60,IF(CP58=CP49,CQ60,0)))),0)</f>
        <v>0</v>
      </c>
      <c r="CV60" s="373"/>
      <c r="CW60" s="97"/>
      <c r="CX60" s="476" t="s">
        <v>337</v>
      </c>
      <c r="CY60" s="436" t="s">
        <v>231</v>
      </c>
      <c r="CZ60" s="370"/>
      <c r="DA60" s="2"/>
      <c r="DB60" s="2"/>
      <c r="DC60" s="2" t="s">
        <v>338</v>
      </c>
      <c r="DD60" s="2">
        <f t="shared" ref="DD60:DG60" si="181">SUM(DD51:DD59)</f>
        <v>0</v>
      </c>
      <c r="DE60" s="2">
        <f t="shared" si="181"/>
        <v>0</v>
      </c>
      <c r="DF60" s="2">
        <f t="shared" si="181"/>
        <v>0</v>
      </c>
      <c r="DG60" s="2">
        <f t="shared" si="181"/>
        <v>0</v>
      </c>
      <c r="DH60" s="2"/>
      <c r="DI60" s="2"/>
      <c r="DJ60" s="426">
        <f t="shared" si="69"/>
        <v>96</v>
      </c>
      <c r="DK60" s="427">
        <v>6.0</v>
      </c>
      <c r="DL60" s="2" t="str">
        <f t="shared" si="70"/>
        <v/>
      </c>
      <c r="DM60" s="2">
        <f t="shared" si="66"/>
        <v>0</v>
      </c>
      <c r="DN60" s="394">
        <f t="shared" si="77"/>
        <v>84</v>
      </c>
      <c r="DO60" s="95">
        <v>11.0</v>
      </c>
      <c r="DP60" s="2" t="str">
        <f t="shared" si="71"/>
        <v/>
      </c>
      <c r="DQ60" s="2">
        <f t="shared" si="67"/>
        <v>0</v>
      </c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87"/>
      <c r="FE60" s="2"/>
      <c r="FF60" s="483" t="s">
        <v>339</v>
      </c>
      <c r="FG60" s="374"/>
      <c r="FH60" s="372">
        <v>15.0</v>
      </c>
      <c r="FI60" s="434">
        <v>30.0</v>
      </c>
      <c r="FJ60" s="372">
        <v>35.0</v>
      </c>
      <c r="FK60" s="372">
        <v>70.0</v>
      </c>
      <c r="FL60" s="343">
        <f t="shared" si="166"/>
        <v>0</v>
      </c>
      <c r="FM60" s="343">
        <f>IF(D153=FF60,IF(FL60=3,FH60,IF(FL60=4,FI60,IF(FL60=5,FJ60,IF(FL60=6,FK60,IF(FL60=1,FI60,IF(FL60=2,FI60,0)))))),0)</f>
        <v>0</v>
      </c>
      <c r="FN60" s="343">
        <f t="shared" si="167"/>
        <v>0</v>
      </c>
      <c r="FO60" s="2"/>
      <c r="FP60" s="2"/>
      <c r="FQ60" s="2"/>
      <c r="FR60" s="372"/>
      <c r="FS60" s="372"/>
      <c r="FT60" s="2"/>
      <c r="FU60" s="87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</row>
    <row r="61" ht="12.75" customHeight="1">
      <c r="A61" s="36" t="s">
        <v>20</v>
      </c>
      <c r="B61" s="8"/>
      <c r="C61" s="63"/>
      <c r="D61" s="444" t="str">
        <f>'WEB QUOTER'!F9</f>
        <v/>
      </c>
      <c r="E61" s="8"/>
      <c r="F61" s="8"/>
      <c r="G61" s="359"/>
      <c r="H61" s="387"/>
      <c r="I61" s="1"/>
      <c r="J61" s="1"/>
      <c r="K61" s="1"/>
      <c r="L61" s="1"/>
      <c r="M61" s="1"/>
      <c r="N61" s="46"/>
      <c r="O61" s="8"/>
      <c r="P61" s="8"/>
      <c r="Q61" s="8"/>
      <c r="R61" s="469" t="s">
        <v>4</v>
      </c>
      <c r="S61" s="484">
        <f>IF(D56&gt;1999,D71,IF(D56&lt;1000,"",(D56-1000)))</f>
        <v>0</v>
      </c>
      <c r="T61" s="57" t="str">
        <f>IF(D56&gt;1999,SUM(G71),IF(D56&lt;1001, " ",(((D56/1000)-1)*G71)))</f>
        <v> </v>
      </c>
      <c r="U61" s="87"/>
      <c r="W61" s="203">
        <f t="shared" si="79"/>
        <v>20</v>
      </c>
      <c r="X61" s="204">
        <v>175.0</v>
      </c>
      <c r="Y61" s="205">
        <f t="shared" si="86"/>
        <v>310</v>
      </c>
      <c r="Z61" s="206">
        <f t="shared" si="80"/>
        <v>400</v>
      </c>
      <c r="AA61" s="125">
        <v>885.0</v>
      </c>
      <c r="AB61" s="125">
        <v>710.0</v>
      </c>
      <c r="AC61" s="8"/>
      <c r="AD61" s="8">
        <f t="shared" si="81"/>
        <v>1</v>
      </c>
      <c r="AE61" s="8">
        <f t="shared" si="73"/>
        <v>0</v>
      </c>
      <c r="AF61" s="8">
        <f t="shared" si="74"/>
        <v>0</v>
      </c>
      <c r="AG61" s="8"/>
      <c r="AH61" s="8"/>
      <c r="AI61" s="8"/>
      <c r="AJ61" s="203">
        <f t="shared" si="82"/>
        <v>20</v>
      </c>
      <c r="AK61" s="207"/>
      <c r="AL61" s="204">
        <v>700.0</v>
      </c>
      <c r="AM61" s="206">
        <v>400.0</v>
      </c>
      <c r="AN61" s="125">
        <v>1100.0</v>
      </c>
      <c r="AO61" s="125">
        <v>1100.0</v>
      </c>
      <c r="AP61" s="8">
        <f t="shared" si="75"/>
        <v>0</v>
      </c>
      <c r="AQ61" s="1">
        <f>IF(AD61=AJ61,AO61,0)</f>
        <v>0</v>
      </c>
      <c r="AR61" s="87"/>
      <c r="AS61" s="398">
        <f t="shared" si="99"/>
        <v>80</v>
      </c>
      <c r="AT61" s="399">
        <v>5.0</v>
      </c>
      <c r="AU61" s="440">
        <v>5.0</v>
      </c>
      <c r="AV61" s="399">
        <v>1785.0</v>
      </c>
      <c r="AW61" s="399">
        <v>950.0</v>
      </c>
      <c r="AX61" s="86"/>
      <c r="AY61" s="409"/>
      <c r="AZ61" s="86" t="str">
        <f t="shared" ref="AZ61:BB61" si="182">AZ60</f>
        <v/>
      </c>
      <c r="BA61" s="86">
        <f t="shared" si="182"/>
        <v>1</v>
      </c>
      <c r="BB61" s="86">
        <f t="shared" si="182"/>
        <v>1</v>
      </c>
      <c r="BC61" s="86">
        <f t="shared" si="89"/>
        <v>0</v>
      </c>
      <c r="BD61" s="86">
        <f t="shared" si="90"/>
        <v>0</v>
      </c>
      <c r="BE61" s="86">
        <f t="shared" si="91"/>
        <v>0</v>
      </c>
      <c r="BF61" s="86">
        <f t="shared" si="92"/>
        <v>0</v>
      </c>
      <c r="BG61" s="86"/>
      <c r="BH61" s="86"/>
      <c r="BI61" s="414" t="s">
        <v>340</v>
      </c>
      <c r="BJ61" s="87"/>
      <c r="BK61" s="394">
        <f t="shared" si="114"/>
        <v>64</v>
      </c>
      <c r="BL61" s="95">
        <v>8.0</v>
      </c>
      <c r="BM61" s="445">
        <f>BM60+140</f>
        <v>3540</v>
      </c>
      <c r="BN61" s="428">
        <v>1400.0</v>
      </c>
      <c r="BO61" s="86"/>
      <c r="BP61" s="445">
        <f t="shared" ref="BP61:BQ61" si="183">BM61*0.85</f>
        <v>3009</v>
      </c>
      <c r="BQ61" s="446">
        <f t="shared" si="183"/>
        <v>1190</v>
      </c>
      <c r="BR61" s="442"/>
      <c r="BS61" s="86"/>
      <c r="BT61" s="412" t="s">
        <v>330</v>
      </c>
      <c r="BU61" s="8">
        <f t="shared" ref="BU61:BV61" si="184">BU60</f>
        <v>1</v>
      </c>
      <c r="BV61" s="443">
        <f t="shared" si="184"/>
        <v>1</v>
      </c>
      <c r="BW61" s="8" t="str">
        <f>BT47</f>
        <v/>
      </c>
      <c r="BX61" s="8">
        <f t="shared" si="103"/>
        <v>0</v>
      </c>
      <c r="BY61" s="8">
        <f t="shared" si="104"/>
        <v>0</v>
      </c>
      <c r="BZ61" s="8"/>
      <c r="CA61" s="8">
        <f t="shared" si="105"/>
        <v>0</v>
      </c>
      <c r="CB61" s="8" t="s">
        <v>3</v>
      </c>
      <c r="CC61" s="359" t="s">
        <v>5</v>
      </c>
      <c r="CD61" s="87"/>
      <c r="CE61" s="208" t="s">
        <v>147</v>
      </c>
      <c r="CF61" s="209">
        <v>450.0</v>
      </c>
      <c r="CG61" s="210">
        <v>50.0</v>
      </c>
      <c r="CH61" s="190"/>
      <c r="CI61" s="211">
        <v>500.0</v>
      </c>
      <c r="CJ61" s="183">
        <v>100.0</v>
      </c>
      <c r="CK61" s="137"/>
      <c r="CL61" s="211">
        <v>600.0</v>
      </c>
      <c r="CM61" s="183">
        <v>175.0</v>
      </c>
      <c r="CN61" s="193"/>
      <c r="CO61" s="477"/>
      <c r="CP61" s="485">
        <v>420.0</v>
      </c>
      <c r="CQ61" s="486">
        <v>175.0</v>
      </c>
      <c r="CR61" s="117"/>
      <c r="CS61" s="117" t="str">
        <f t="shared" si="185"/>
        <v/>
      </c>
      <c r="CT61" s="93">
        <f>IF(CS44=CE61,IF(CF43=CP49,CF61,IF(CI43=CP49,CI61,IF(CL43=CP49,CL61,IF(CP58=CS44,CP61)))),0)</f>
        <v>0</v>
      </c>
      <c r="CU61" s="117">
        <f>IF(CE61=CP43,IF(CP49=CF58,CG61,IF(CI58=CP49,CJ61,IF(CL58=CP49,CM61,IF(CP58=CP49,CQ61,0)))),0)</f>
        <v>0</v>
      </c>
      <c r="CV61" s="117"/>
      <c r="CW61" s="93"/>
      <c r="CX61" s="480" t="str">
        <f>CU58</f>
        <v/>
      </c>
      <c r="CY61" s="449">
        <f>CU59</f>
        <v>0</v>
      </c>
      <c r="CZ61" s="370"/>
      <c r="DA61" s="1"/>
      <c r="DB61" s="1"/>
      <c r="DC61" s="1"/>
      <c r="DD61" s="1">
        <f>IF(DC51=DA52,DD60,0)</f>
        <v>0</v>
      </c>
      <c r="DE61" s="1">
        <f>IF(DC52=DA53,DE60,0)</f>
        <v>0</v>
      </c>
      <c r="DF61" s="1">
        <f>IF(DC52=DA54,DF60,0)</f>
        <v>0</v>
      </c>
      <c r="DG61" s="1">
        <f>IF(DA55=DC54,DG60,0)</f>
        <v>0</v>
      </c>
      <c r="DH61" s="212">
        <f>SUM(DD61:DG61)</f>
        <v>0</v>
      </c>
      <c r="DI61" s="341"/>
      <c r="DJ61" s="392">
        <f t="shared" si="69"/>
        <v>100</v>
      </c>
      <c r="DK61" s="393">
        <v>7.0</v>
      </c>
      <c r="DL61" s="1" t="str">
        <f t="shared" si="70"/>
        <v/>
      </c>
      <c r="DM61" s="1">
        <f t="shared" si="66"/>
        <v>0</v>
      </c>
      <c r="DN61" s="394">
        <f t="shared" si="77"/>
        <v>88</v>
      </c>
      <c r="DO61" s="95">
        <v>11.0</v>
      </c>
      <c r="DP61" s="1" t="str">
        <f t="shared" si="71"/>
        <v/>
      </c>
      <c r="DQ61" s="1">
        <f t="shared" si="67"/>
        <v>0</v>
      </c>
      <c r="DR61" s="1"/>
      <c r="EU61" s="1"/>
      <c r="EV61" s="1"/>
      <c r="EW61" s="1"/>
      <c r="EX61" s="1"/>
      <c r="EZ61" s="1"/>
      <c r="FA61" s="1"/>
      <c r="FC61" s="1"/>
      <c r="FD61" s="87"/>
      <c r="FE61" s="1"/>
      <c r="FF61" s="142" t="s">
        <v>341</v>
      </c>
      <c r="FG61" s="342"/>
      <c r="FH61" s="343">
        <v>70.0</v>
      </c>
      <c r="FI61" s="442">
        <v>140.0</v>
      </c>
      <c r="FJ61" s="343"/>
      <c r="FK61" s="343"/>
      <c r="FL61" s="343">
        <f t="shared" si="166"/>
        <v>0</v>
      </c>
      <c r="FM61" s="343">
        <f>IF(D153=FF61,IF(FL61=3,FH61,IF(FL61=4,FI61,IF(FL61=5,FJ61,IF(FL61=6,FK61,IF(FL61=1,FI61,IF(FL61=2,FI61,0)))))),0)</f>
        <v>0</v>
      </c>
      <c r="FN61" s="343">
        <f t="shared" si="167"/>
        <v>0</v>
      </c>
      <c r="FO61" s="8"/>
      <c r="FP61" s="8"/>
      <c r="FQ61" s="8"/>
      <c r="FR61" s="343"/>
      <c r="FS61" s="343"/>
      <c r="FT61" s="8"/>
      <c r="FU61" s="87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</row>
    <row r="62" ht="12.75" customHeight="1">
      <c r="A62" s="424"/>
      <c r="B62" s="2"/>
      <c r="C62" s="47"/>
      <c r="D62" s="194" t="str">
        <f>IF(D55=V40,D61,IF(D55=V41,D61/2,IF(D55=V42,D61*2,0)))</f>
        <v/>
      </c>
      <c r="E62" s="2">
        <f>IF('WEB QUOTER'!F30="Y",IF(D62&gt;1,45,0),0)</f>
        <v>0</v>
      </c>
      <c r="F62" s="2"/>
      <c r="G62" s="425"/>
      <c r="H62" s="2"/>
      <c r="I62" s="2"/>
      <c r="J62" s="2"/>
      <c r="K62" s="2"/>
      <c r="L62" s="2"/>
      <c r="M62" s="2"/>
      <c r="N62" s="46"/>
      <c r="O62" s="2"/>
      <c r="P62" s="2"/>
      <c r="Q62" s="2"/>
      <c r="R62" s="46"/>
      <c r="S62" s="47"/>
      <c r="T62" s="471"/>
      <c r="U62" s="87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87"/>
      <c r="AS62" s="426">
        <f t="shared" si="99"/>
        <v>84</v>
      </c>
      <c r="AT62" s="427">
        <v>6.0</v>
      </c>
      <c r="AU62" s="428">
        <f t="shared" ref="AU62:AU63" si="192">AU61+0.25</f>
        <v>5.25</v>
      </c>
      <c r="AV62" s="427">
        <v>1885.0</v>
      </c>
      <c r="AW62" s="427">
        <v>100.0</v>
      </c>
      <c r="AX62" s="95"/>
      <c r="AY62" s="429"/>
      <c r="AZ62" s="95" t="str">
        <f t="shared" ref="AZ62:BB62" si="186">AZ61</f>
        <v/>
      </c>
      <c r="BA62" s="95">
        <f t="shared" si="186"/>
        <v>1</v>
      </c>
      <c r="BB62" s="95">
        <f t="shared" si="186"/>
        <v>1</v>
      </c>
      <c r="BC62" s="95">
        <f t="shared" si="89"/>
        <v>0</v>
      </c>
      <c r="BD62" s="95">
        <f t="shared" si="90"/>
        <v>0</v>
      </c>
      <c r="BE62" s="95">
        <f t="shared" si="91"/>
        <v>0</v>
      </c>
      <c r="BF62" s="95">
        <f t="shared" si="92"/>
        <v>0</v>
      </c>
      <c r="BG62" s="95"/>
      <c r="BH62" s="95"/>
      <c r="BI62" s="473">
        <f>SUM(BH60:BI60)</f>
        <v>0</v>
      </c>
      <c r="BJ62" s="87"/>
      <c r="BK62" s="394">
        <f t="shared" si="114"/>
        <v>68</v>
      </c>
      <c r="BL62" s="95">
        <v>9.0</v>
      </c>
      <c r="BM62" s="445">
        <f>BM61+280</f>
        <v>3820</v>
      </c>
      <c r="BN62" s="428">
        <v>1490.0</v>
      </c>
      <c r="BO62" s="95"/>
      <c r="BP62" s="445">
        <f t="shared" ref="BP62:BQ62" si="187">BM62*0.85</f>
        <v>3247</v>
      </c>
      <c r="BQ62" s="446">
        <f t="shared" si="187"/>
        <v>1266.5</v>
      </c>
      <c r="BR62" s="434"/>
      <c r="BS62" s="95"/>
      <c r="BT62" s="453"/>
      <c r="BU62" s="2">
        <f t="shared" ref="BU62:BV62" si="188">BU61</f>
        <v>1</v>
      </c>
      <c r="BV62" s="2">
        <f t="shared" si="188"/>
        <v>1</v>
      </c>
      <c r="BW62" s="2" t="str">
        <f>BT47</f>
        <v/>
      </c>
      <c r="BX62" s="2">
        <f t="shared" si="103"/>
        <v>0</v>
      </c>
      <c r="BY62" s="2">
        <f t="shared" si="104"/>
        <v>0</v>
      </c>
      <c r="BZ62" s="2"/>
      <c r="CA62" s="2">
        <f t="shared" si="105"/>
        <v>0</v>
      </c>
      <c r="CB62" s="487">
        <f t="shared" ref="CB62:CC62" si="189">SUM(BX46:BX71)</f>
        <v>0</v>
      </c>
      <c r="CC62" s="488">
        <f t="shared" si="189"/>
        <v>0</v>
      </c>
      <c r="CD62" s="87"/>
      <c r="CE62" s="214"/>
      <c r="CF62" s="214"/>
      <c r="CG62" s="214"/>
      <c r="CH62" s="214"/>
      <c r="CI62" s="214"/>
      <c r="CJ62" s="214"/>
      <c r="CK62" s="214"/>
      <c r="CL62" s="214"/>
      <c r="CM62" s="214"/>
      <c r="CN62" s="214"/>
      <c r="CO62" s="214"/>
      <c r="CP62" s="214"/>
      <c r="CQ62" s="214"/>
      <c r="CR62" s="214"/>
      <c r="CS62" s="214"/>
      <c r="CT62" s="214"/>
      <c r="CU62" s="214"/>
      <c r="CV62" s="214"/>
      <c r="CW62" s="214"/>
      <c r="CX62" s="489" t="s">
        <v>318</v>
      </c>
      <c r="CY62" s="490">
        <f>SUM(CX61:CY61)</f>
        <v>0</v>
      </c>
      <c r="CZ62" s="467" t="s">
        <v>342</v>
      </c>
      <c r="DA62" s="2"/>
      <c r="DB62" s="2"/>
      <c r="DC62" s="2"/>
      <c r="DD62" s="2"/>
      <c r="DE62" s="2"/>
      <c r="DF62" s="2"/>
      <c r="DG62" s="2"/>
      <c r="DH62" s="2"/>
      <c r="DI62" s="2"/>
      <c r="DJ62" s="426">
        <f t="shared" si="69"/>
        <v>104</v>
      </c>
      <c r="DK62" s="427">
        <v>7.0</v>
      </c>
      <c r="DL62" s="2" t="str">
        <f t="shared" si="70"/>
        <v/>
      </c>
      <c r="DM62" s="2">
        <f t="shared" si="66"/>
        <v>0</v>
      </c>
      <c r="DN62" s="394">
        <f t="shared" si="77"/>
        <v>92</v>
      </c>
      <c r="DO62" s="95">
        <v>12.0</v>
      </c>
      <c r="DP62" s="2" t="str">
        <f t="shared" si="71"/>
        <v/>
      </c>
      <c r="DQ62" s="2">
        <f t="shared" si="67"/>
        <v>0</v>
      </c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87"/>
      <c r="FE62" s="2"/>
      <c r="FF62" s="371" t="s">
        <v>343</v>
      </c>
      <c r="FG62" s="374"/>
      <c r="FH62" s="372">
        <v>100.0</v>
      </c>
      <c r="FI62" s="434">
        <v>200.0</v>
      </c>
      <c r="FJ62" s="372"/>
      <c r="FK62" s="372"/>
      <c r="FL62" s="343">
        <f t="shared" si="166"/>
        <v>0</v>
      </c>
      <c r="FM62" s="343">
        <f>IF(D153=FF62,IF(FL62=3,FH62,IF(FL62=4,FI62,IF(FL62=5,FJ62,IF(FL62=6,FK62,IF(FL62=1,FI62,IF(FL62=2,FI62,0)))))),0)</f>
        <v>0</v>
      </c>
      <c r="FN62" s="343">
        <f t="shared" si="167"/>
        <v>0</v>
      </c>
      <c r="FO62" s="2"/>
      <c r="FP62" s="2"/>
      <c r="FQ62" s="2"/>
      <c r="FR62" s="372"/>
      <c r="FS62" s="372"/>
      <c r="FT62" s="2"/>
      <c r="FU62" s="87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</row>
    <row r="63" ht="12.75" customHeight="1">
      <c r="A63" s="36" t="s">
        <v>21</v>
      </c>
      <c r="B63" s="8"/>
      <c r="C63" s="63"/>
      <c r="D63" s="444" t="str">
        <f>'WEB QUOTER'!F10</f>
        <v/>
      </c>
      <c r="E63" s="8"/>
      <c r="F63" s="8"/>
      <c r="G63" s="359"/>
      <c r="H63" s="387"/>
      <c r="I63" s="1"/>
      <c r="J63" s="1"/>
      <c r="K63" s="1"/>
      <c r="L63" s="1"/>
      <c r="M63" s="1"/>
      <c r="N63" s="46"/>
      <c r="O63" s="8"/>
      <c r="P63" s="8"/>
      <c r="Q63" s="8"/>
      <c r="R63" s="491" t="s">
        <v>57</v>
      </c>
      <c r="S63" s="47" t="s">
        <v>54</v>
      </c>
      <c r="T63" s="471">
        <f>IF('WEB QUOTER'!F29= "Y",J64-G75,0)</f>
        <v>82.5</v>
      </c>
      <c r="U63" s="87"/>
      <c r="AA63" s="1"/>
      <c r="AB63" s="1"/>
      <c r="AC63" s="1"/>
      <c r="AD63" s="1"/>
      <c r="AE63" s="1">
        <f t="shared" ref="AE63:AF63" si="190">SUM(AE42:AE61)</f>
        <v>220</v>
      </c>
      <c r="AF63" s="1">
        <f t="shared" si="190"/>
        <v>45</v>
      </c>
      <c r="AG63" s="1"/>
      <c r="AH63" s="1"/>
      <c r="AI63" s="1"/>
      <c r="AJ63" s="1"/>
      <c r="AK63" s="1"/>
      <c r="AL63" s="1"/>
      <c r="AM63" s="1"/>
      <c r="AN63" s="1"/>
      <c r="AO63" s="1"/>
      <c r="AP63" s="8">
        <f t="shared" ref="AP63:AQ63" si="191">SUM(AP42:AP61)</f>
        <v>520</v>
      </c>
      <c r="AQ63" s="8">
        <f t="shared" si="191"/>
        <v>400</v>
      </c>
      <c r="AR63" s="87"/>
      <c r="AS63" s="398">
        <f t="shared" si="99"/>
        <v>88</v>
      </c>
      <c r="AT63" s="399">
        <v>6.0</v>
      </c>
      <c r="AU63" s="440">
        <f t="shared" si="192"/>
        <v>5.5</v>
      </c>
      <c r="AV63" s="399">
        <v>1975.0</v>
      </c>
      <c r="AW63" s="399">
        <v>1045.0</v>
      </c>
      <c r="AX63" s="86"/>
      <c r="AY63" s="409"/>
      <c r="AZ63" s="86" t="str">
        <f t="shared" ref="AZ63:BB63" si="193">AZ62</f>
        <v/>
      </c>
      <c r="BA63" s="86">
        <f t="shared" si="193"/>
        <v>1</v>
      </c>
      <c r="BB63" s="86">
        <f t="shared" si="193"/>
        <v>1</v>
      </c>
      <c r="BC63" s="86">
        <f t="shared" si="89"/>
        <v>0</v>
      </c>
      <c r="BD63" s="86">
        <f t="shared" si="90"/>
        <v>0</v>
      </c>
      <c r="BE63" s="86">
        <f t="shared" si="91"/>
        <v>0</v>
      </c>
      <c r="BF63" s="86">
        <f t="shared" si="92"/>
        <v>0</v>
      </c>
      <c r="BG63" s="86"/>
      <c r="BH63" s="86"/>
      <c r="BI63" s="414"/>
      <c r="BJ63" s="87"/>
      <c r="BK63" s="394">
        <f t="shared" si="114"/>
        <v>72</v>
      </c>
      <c r="BL63" s="95">
        <v>9.0</v>
      </c>
      <c r="BM63" s="445">
        <f>BM62+140</f>
        <v>3960</v>
      </c>
      <c r="BN63" s="428">
        <v>1575.0</v>
      </c>
      <c r="BO63" s="86"/>
      <c r="BP63" s="445">
        <f t="shared" ref="BP63:BQ63" si="194">BM63*0.85</f>
        <v>3366</v>
      </c>
      <c r="BQ63" s="446">
        <f t="shared" si="194"/>
        <v>1338.75</v>
      </c>
      <c r="BR63" s="442"/>
      <c r="BS63" s="86"/>
      <c r="BT63" s="412" t="s">
        <v>344</v>
      </c>
      <c r="BU63" s="8">
        <f t="shared" ref="BU63:BV63" si="195">BU62</f>
        <v>1</v>
      </c>
      <c r="BV63" s="443">
        <f t="shared" si="195"/>
        <v>1</v>
      </c>
      <c r="BW63" s="8" t="str">
        <f>BT47</f>
        <v/>
      </c>
      <c r="BX63" s="8">
        <f t="shared" si="103"/>
        <v>0</v>
      </c>
      <c r="BY63" s="8">
        <f t="shared" si="104"/>
        <v>0</v>
      </c>
      <c r="BZ63" s="8"/>
      <c r="CA63" s="8">
        <f t="shared" si="105"/>
        <v>0</v>
      </c>
      <c r="CB63" s="8" t="s">
        <v>337</v>
      </c>
      <c r="CC63" s="359" t="s">
        <v>231</v>
      </c>
      <c r="CD63" s="87"/>
      <c r="CE63" s="92" t="s">
        <v>345</v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8"/>
      <c r="CT63" s="212">
        <f t="shared" ref="CT63:CU63" si="196">SUM(CT59:CT61)</f>
        <v>0</v>
      </c>
      <c r="CU63" s="212">
        <f t="shared" si="196"/>
        <v>0</v>
      </c>
      <c r="CV63" s="1"/>
      <c r="CW63" s="1"/>
      <c r="CX63" s="1"/>
      <c r="CY63" s="1"/>
      <c r="CZ63" s="87"/>
      <c r="DA63" s="1"/>
      <c r="DB63" s="1"/>
      <c r="DC63" s="1"/>
      <c r="DD63" s="1"/>
      <c r="DE63" s="1"/>
      <c r="DF63" s="1"/>
      <c r="DG63" s="1"/>
      <c r="DH63" s="1"/>
      <c r="DI63" s="341"/>
      <c r="DJ63" s="492">
        <f t="shared" si="69"/>
        <v>108</v>
      </c>
      <c r="DK63" s="493">
        <v>8.0</v>
      </c>
      <c r="DL63" s="1" t="str">
        <f t="shared" si="70"/>
        <v/>
      </c>
      <c r="DM63" s="1">
        <f t="shared" si="66"/>
        <v>0</v>
      </c>
      <c r="DN63" s="394">
        <f t="shared" si="77"/>
        <v>96</v>
      </c>
      <c r="DO63" s="95">
        <v>12.0</v>
      </c>
      <c r="DP63" s="1" t="str">
        <f t="shared" si="71"/>
        <v/>
      </c>
      <c r="DQ63" s="1">
        <f t="shared" si="67"/>
        <v>0</v>
      </c>
      <c r="DR63" s="1"/>
      <c r="EU63" s="1"/>
      <c r="EV63" s="1"/>
      <c r="EW63" s="1"/>
      <c r="EX63" s="1"/>
      <c r="EZ63" s="1"/>
      <c r="FA63" s="1"/>
      <c r="FC63" s="1"/>
      <c r="FD63" s="87"/>
      <c r="FE63" s="1"/>
      <c r="FF63" s="142"/>
      <c r="FG63" s="342"/>
      <c r="FH63" s="1"/>
      <c r="FI63" s="342"/>
      <c r="FJ63" s="232"/>
      <c r="FK63" s="343"/>
      <c r="FL63" s="343"/>
      <c r="FM63" s="343">
        <f>SUM(FM55:FM62)</f>
        <v>0</v>
      </c>
      <c r="FN63" s="343"/>
      <c r="FO63" s="8"/>
      <c r="FP63" s="8"/>
      <c r="FQ63" s="8"/>
      <c r="FR63" s="343"/>
      <c r="FS63" s="343"/>
      <c r="FT63" s="8"/>
      <c r="FU63" s="87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</row>
    <row r="64" ht="12.75" customHeight="1">
      <c r="A64" s="424"/>
      <c r="B64" s="2"/>
      <c r="C64" s="47"/>
      <c r="D64" s="194" t="str">
        <f>IF(D55=V40,D63,IF(D55=V41,D63/2,IF(D55=V42,D63*2,0)))</f>
        <v/>
      </c>
      <c r="E64" s="2">
        <f>IF('WEB QUOTER'!F30="Y",IF(D64&gt;1,45,0),0)</f>
        <v>0</v>
      </c>
      <c r="F64" s="2"/>
      <c r="G64" s="425"/>
      <c r="H64" s="387"/>
      <c r="I64" s="8" t="s">
        <v>346</v>
      </c>
      <c r="J64" s="1">
        <f>I17+G43+G46+G75+N17+V17+AA17+AJ13+AP13</f>
        <v>82.5</v>
      </c>
      <c r="K64" s="1"/>
      <c r="L64" s="1"/>
      <c r="M64" s="1"/>
      <c r="N64" s="46"/>
      <c r="O64" s="8"/>
      <c r="P64" s="8"/>
      <c r="Q64" s="8"/>
      <c r="R64" s="491" t="s">
        <v>59</v>
      </c>
      <c r="S64" s="47" t="s">
        <v>54</v>
      </c>
      <c r="T64" s="471">
        <f>J66</f>
        <v>0</v>
      </c>
      <c r="U64" s="87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8"/>
      <c r="AQ64" s="1"/>
      <c r="AR64" s="87"/>
      <c r="AS64" s="392">
        <f t="shared" si="99"/>
        <v>92</v>
      </c>
      <c r="AT64" s="393">
        <v>7.0</v>
      </c>
      <c r="AU64" s="421">
        <v>6.0</v>
      </c>
      <c r="AV64" s="393">
        <v>2055.0</v>
      </c>
      <c r="AW64" s="393">
        <v>1095.0</v>
      </c>
      <c r="AX64" s="86"/>
      <c r="AY64" s="409"/>
      <c r="AZ64" s="86" t="str">
        <f t="shared" ref="AZ64:BB64" si="197">AZ63</f>
        <v/>
      </c>
      <c r="BA64" s="86">
        <f t="shared" si="197"/>
        <v>1</v>
      </c>
      <c r="BB64" s="86">
        <f t="shared" si="197"/>
        <v>1</v>
      </c>
      <c r="BC64" s="86">
        <f t="shared" si="89"/>
        <v>0</v>
      </c>
      <c r="BD64" s="86">
        <f t="shared" si="90"/>
        <v>0</v>
      </c>
      <c r="BE64" s="86">
        <f t="shared" si="91"/>
        <v>0</v>
      </c>
      <c r="BF64" s="86">
        <f t="shared" si="92"/>
        <v>0</v>
      </c>
      <c r="BG64" s="86"/>
      <c r="BH64" s="86" t="s">
        <v>347</v>
      </c>
      <c r="BI64" s="414" t="s">
        <v>348</v>
      </c>
      <c r="BJ64" s="87"/>
      <c r="BK64" s="382">
        <f t="shared" si="114"/>
        <v>76</v>
      </c>
      <c r="BL64" s="86">
        <v>10.0</v>
      </c>
      <c r="BM64" s="439">
        <f>BM63+280</f>
        <v>4240</v>
      </c>
      <c r="BN64" s="440">
        <v>1665.0</v>
      </c>
      <c r="BO64" s="86"/>
      <c r="BP64" s="439">
        <f t="shared" ref="BP64:BQ64" si="198">BM64*0.85</f>
        <v>3604</v>
      </c>
      <c r="BQ64" s="441">
        <f t="shared" si="198"/>
        <v>1415.25</v>
      </c>
      <c r="BR64" s="442"/>
      <c r="BS64" s="86"/>
      <c r="BT64" s="412"/>
      <c r="BU64" s="8">
        <f t="shared" ref="BU64:BV64" si="199">BU63</f>
        <v>1</v>
      </c>
      <c r="BV64" s="443">
        <f t="shared" si="199"/>
        <v>1</v>
      </c>
      <c r="BW64" s="8" t="str">
        <f>BT47</f>
        <v/>
      </c>
      <c r="BX64" s="8">
        <f t="shared" si="103"/>
        <v>0</v>
      </c>
      <c r="BY64" s="8">
        <f t="shared" si="104"/>
        <v>0</v>
      </c>
      <c r="BZ64" s="8"/>
      <c r="CA64" s="8">
        <f t="shared" si="105"/>
        <v>0</v>
      </c>
      <c r="CB64" s="212">
        <f>BZ49</f>
        <v>0</v>
      </c>
      <c r="CC64" s="494" t="b">
        <f>BZ50</f>
        <v>0</v>
      </c>
      <c r="CD64" s="87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8"/>
      <c r="CT64" s="1"/>
      <c r="CU64" s="1"/>
      <c r="CV64" s="1"/>
      <c r="CW64" s="1"/>
      <c r="CX64" s="1"/>
      <c r="CY64" s="1"/>
      <c r="CZ64" s="87"/>
      <c r="DA64" s="1"/>
      <c r="DB64" s="1"/>
      <c r="DC64" s="1"/>
      <c r="DD64" s="1"/>
      <c r="DE64" s="1"/>
      <c r="DF64" s="1"/>
      <c r="DG64" s="1"/>
      <c r="DH64" s="1"/>
      <c r="DI64" s="341"/>
      <c r="DJ64" s="380">
        <v>112.0</v>
      </c>
      <c r="DK64" s="495">
        <v>7.0</v>
      </c>
      <c r="DL64" s="1" t="str">
        <f t="shared" si="70"/>
        <v/>
      </c>
      <c r="DM64" s="1">
        <f t="shared" si="66"/>
        <v>0</v>
      </c>
      <c r="DN64" s="382">
        <f t="shared" si="77"/>
        <v>100</v>
      </c>
      <c r="DO64" s="86">
        <v>13.0</v>
      </c>
      <c r="DP64" s="1" t="str">
        <f t="shared" si="71"/>
        <v/>
      </c>
      <c r="DQ64" s="1">
        <f t="shared" si="67"/>
        <v>0</v>
      </c>
      <c r="DR64" s="1"/>
      <c r="EU64" s="1"/>
      <c r="EV64" s="1"/>
      <c r="EW64" s="1"/>
      <c r="EX64" s="1"/>
      <c r="EZ64" s="1"/>
      <c r="FA64" s="1"/>
      <c r="FC64" s="1"/>
      <c r="FD64" s="87"/>
      <c r="FE64" s="1"/>
      <c r="FF64" s="142"/>
      <c r="FG64" s="342"/>
      <c r="FH64" s="1"/>
      <c r="FI64" s="342"/>
      <c r="FJ64" s="232"/>
      <c r="FK64" s="343"/>
      <c r="FL64" s="343"/>
      <c r="FM64" s="343"/>
      <c r="FN64" s="343"/>
      <c r="FO64" s="8"/>
      <c r="FP64" s="8"/>
      <c r="FQ64" s="8"/>
      <c r="FR64" s="343"/>
      <c r="FS64" s="343"/>
      <c r="FT64" s="8"/>
      <c r="FU64" s="87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</row>
    <row r="65" ht="12.75" customHeight="1">
      <c r="A65" s="38"/>
      <c r="B65" s="8"/>
      <c r="C65" s="63"/>
      <c r="D65" s="387" t="str">
        <f>'WEB QUOTER'!F11</f>
        <v/>
      </c>
      <c r="E65" s="8"/>
      <c r="F65" s="8"/>
      <c r="G65" s="359"/>
      <c r="H65" s="387"/>
      <c r="I65" s="1"/>
      <c r="J65" s="1"/>
      <c r="K65" s="1"/>
      <c r="L65" s="1"/>
      <c r="M65" s="1"/>
      <c r="N65" s="65"/>
      <c r="O65" s="66"/>
      <c r="P65" s="66"/>
      <c r="Q65" s="66"/>
      <c r="R65" s="496" t="s">
        <v>6</v>
      </c>
      <c r="S65" s="497">
        <f>D56</f>
        <v>1000</v>
      </c>
      <c r="T65" s="69">
        <f>IF(D56&lt;1001,T59+T63,IF(D56&lt;1999,T59+T61+T63+T64,T63+T59+(T61*((D56/1000)-1))))</f>
        <v>418</v>
      </c>
      <c r="U65" s="142"/>
      <c r="AA65" s="1"/>
      <c r="AB65" s="1"/>
      <c r="AC65" s="1"/>
      <c r="AD65" s="1"/>
      <c r="AE65" s="1" t="b">
        <f>IF(D56&lt;1000,AE63-((1-(D56/1000))*AF63))</f>
        <v>0</v>
      </c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 t="b">
        <f>IF(D56&lt;1000,AP63-((1-(D56/1000))*AQ63))</f>
        <v>0</v>
      </c>
      <c r="AQ65" s="1"/>
      <c r="AR65" s="87"/>
      <c r="AS65" s="398">
        <f t="shared" si="99"/>
        <v>96</v>
      </c>
      <c r="AT65" s="399">
        <v>6.0</v>
      </c>
      <c r="AU65" s="440">
        <v>6.0</v>
      </c>
      <c r="AV65" s="399">
        <v>2125.0</v>
      </c>
      <c r="AW65" s="399">
        <v>1140.0</v>
      </c>
      <c r="AX65" s="86"/>
      <c r="AY65" s="498"/>
      <c r="AZ65" s="499" t="str">
        <f t="shared" ref="AZ65:BB65" si="200">AZ64</f>
        <v/>
      </c>
      <c r="BA65" s="499">
        <f t="shared" si="200"/>
        <v>1</v>
      </c>
      <c r="BB65" s="499">
        <f t="shared" si="200"/>
        <v>1</v>
      </c>
      <c r="BC65" s="499">
        <f t="shared" si="89"/>
        <v>0</v>
      </c>
      <c r="BD65" s="499">
        <f t="shared" si="90"/>
        <v>0</v>
      </c>
      <c r="BE65" s="499">
        <f t="shared" si="91"/>
        <v>0</v>
      </c>
      <c r="BF65" s="499">
        <f t="shared" si="92"/>
        <v>0</v>
      </c>
      <c r="BG65" s="499"/>
      <c r="BH65" s="500">
        <f t="shared" ref="BH65:BI65" si="201">SUM(BE45:BE91)</f>
        <v>0</v>
      </c>
      <c r="BI65" s="501">
        <f t="shared" si="201"/>
        <v>0</v>
      </c>
      <c r="BJ65" s="87"/>
      <c r="BK65" s="394">
        <f t="shared" si="114"/>
        <v>80</v>
      </c>
      <c r="BL65" s="95">
        <v>10.0</v>
      </c>
      <c r="BM65" s="445">
        <f>BM64+140</f>
        <v>4380</v>
      </c>
      <c r="BN65" s="428">
        <v>1750.0</v>
      </c>
      <c r="BO65" s="86"/>
      <c r="BP65" s="445">
        <f t="shared" ref="BP65:BQ65" si="202">BM65*0.85</f>
        <v>3723</v>
      </c>
      <c r="BQ65" s="446">
        <f t="shared" si="202"/>
        <v>1487.5</v>
      </c>
      <c r="BR65" s="442"/>
      <c r="BS65" s="86"/>
      <c r="BT65" s="412"/>
      <c r="BU65" s="8">
        <f t="shared" ref="BU65:BV65" si="203">BU64</f>
        <v>1</v>
      </c>
      <c r="BV65" s="443">
        <f t="shared" si="203"/>
        <v>1</v>
      </c>
      <c r="BW65" s="8" t="str">
        <f>BT47</f>
        <v/>
      </c>
      <c r="BX65" s="8">
        <f t="shared" si="103"/>
        <v>0</v>
      </c>
      <c r="BY65" s="8">
        <f t="shared" si="104"/>
        <v>0</v>
      </c>
      <c r="BZ65" s="8"/>
      <c r="CA65" s="8">
        <f t="shared" si="105"/>
        <v>0</v>
      </c>
      <c r="CB65" s="8"/>
      <c r="CC65" s="359" t="s">
        <v>349</v>
      </c>
      <c r="CD65" s="87"/>
      <c r="CE65" s="187" t="s">
        <v>145</v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8"/>
      <c r="CT65" s="1">
        <f t="shared" ref="CT65:CU65" si="204">SUM(CT63,CT56)</f>
        <v>0</v>
      </c>
      <c r="CU65" s="1">
        <f t="shared" si="204"/>
        <v>0</v>
      </c>
      <c r="CV65" s="1"/>
      <c r="CW65" s="1"/>
      <c r="CX65" s="1"/>
      <c r="CY65" s="1"/>
      <c r="CZ65" s="87"/>
      <c r="DA65" s="1"/>
      <c r="DB65" s="1" t="str">
        <f>D95</f>
        <v/>
      </c>
      <c r="DC65" s="1" t="str">
        <f>D92</f>
        <v/>
      </c>
      <c r="DD65" s="1">
        <f t="shared" ref="DD65:DD73" si="209">IF(DB65=DA41,DC41,0)</f>
        <v>0</v>
      </c>
      <c r="DE65" s="1">
        <f t="shared" ref="DE65:DE73" si="210">IF(DB65=DA55,DC55,0)</f>
        <v>0</v>
      </c>
      <c r="DF65" s="1">
        <f t="shared" ref="DF65:DF73" si="211">IF(DB65=DA55,DE55,0)</f>
        <v>0</v>
      </c>
      <c r="DG65" s="1">
        <f t="shared" ref="DG65:DG73" si="212">IF(DB65=DA55,DF55,0)</f>
        <v>0</v>
      </c>
      <c r="DH65" s="1"/>
      <c r="DI65" s="341"/>
      <c r="DJ65" s="392">
        <v>116.0</v>
      </c>
      <c r="DK65" s="502">
        <v>8.0</v>
      </c>
      <c r="DL65" s="1" t="str">
        <f t="shared" si="70"/>
        <v/>
      </c>
      <c r="DM65" s="1">
        <f t="shared" si="66"/>
        <v>0</v>
      </c>
      <c r="DN65" s="503">
        <f t="shared" si="77"/>
        <v>104</v>
      </c>
      <c r="DO65" s="504">
        <v>13.0</v>
      </c>
      <c r="DP65" s="1" t="str">
        <f t="shared" si="71"/>
        <v/>
      </c>
      <c r="DQ65" s="1">
        <f t="shared" si="67"/>
        <v>0</v>
      </c>
      <c r="DR65" s="1"/>
      <c r="EU65" s="1"/>
      <c r="EV65" s="1"/>
      <c r="EW65" s="1"/>
      <c r="EX65" s="1"/>
      <c r="EZ65" s="1"/>
      <c r="FA65" s="1"/>
      <c r="FC65" s="1"/>
      <c r="FD65" s="87"/>
      <c r="FE65" s="1"/>
      <c r="FF65" s="142"/>
      <c r="FG65" s="342"/>
      <c r="FH65" s="1"/>
      <c r="FI65" s="342"/>
      <c r="FJ65" s="232"/>
      <c r="FK65" s="343"/>
      <c r="FL65" s="343"/>
      <c r="FM65" s="343"/>
      <c r="FN65" s="343"/>
      <c r="FO65" s="8"/>
      <c r="FP65" s="8"/>
      <c r="FQ65" s="8"/>
      <c r="FR65" s="343"/>
      <c r="FS65" s="343"/>
      <c r="FT65" s="8"/>
      <c r="FU65" s="87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</row>
    <row r="66" ht="12.75" customHeight="1">
      <c r="A66" s="424"/>
      <c r="B66" s="2"/>
      <c r="C66" s="47"/>
      <c r="D66" s="2" t="str">
        <f>IF(D55=V40,D65,IF(D55=V41,D65/2,IF(D55=V42,D65*2,0)))</f>
        <v/>
      </c>
      <c r="E66" s="2">
        <f>IF('WEB QUOTER'!F30="Y",IF(D66&gt;1,45,0),0)</f>
        <v>0</v>
      </c>
      <c r="F66" s="2"/>
      <c r="G66" s="425"/>
      <c r="H66" s="387"/>
      <c r="I66" s="1" t="s">
        <v>49</v>
      </c>
      <c r="J66" s="1">
        <f>IF('WEB QUOTER'!F30="Y",'quoter (newsprint)'!G69,0)</f>
        <v>0</v>
      </c>
      <c r="K66" s="1"/>
      <c r="L66" s="1"/>
      <c r="M66" s="1"/>
      <c r="N66" s="1"/>
      <c r="O66" s="1"/>
      <c r="P66" s="1"/>
      <c r="Q66" s="1"/>
      <c r="R66" s="8"/>
      <c r="S66" s="63"/>
      <c r="T66" s="9"/>
      <c r="U66" s="87"/>
      <c r="W66" s="1" t="s">
        <v>44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8"/>
      <c r="AQ66" s="1"/>
      <c r="AR66" s="87"/>
      <c r="AS66" s="392">
        <f t="shared" si="99"/>
        <v>100</v>
      </c>
      <c r="AT66" s="393">
        <v>7.0</v>
      </c>
      <c r="AU66" s="421">
        <f t="shared" ref="AU66:AU67" si="213">AU65+0.25</f>
        <v>6.25</v>
      </c>
      <c r="AV66" s="393">
        <v>2225.0</v>
      </c>
      <c r="AW66" s="393">
        <v>1190.0</v>
      </c>
      <c r="AX66" s="86"/>
      <c r="AY66" s="505"/>
      <c r="AZ66" s="86" t="str">
        <f t="shared" ref="AZ66:BB66" si="205">AZ65</f>
        <v/>
      </c>
      <c r="BA66" s="86">
        <f t="shared" si="205"/>
        <v>1</v>
      </c>
      <c r="BB66" s="86">
        <f t="shared" si="205"/>
        <v>1</v>
      </c>
      <c r="BC66" s="86">
        <f t="shared" si="89"/>
        <v>0</v>
      </c>
      <c r="BD66" s="86">
        <f t="shared" si="90"/>
        <v>0</v>
      </c>
      <c r="BE66" s="86">
        <f t="shared" si="91"/>
        <v>0</v>
      </c>
      <c r="BF66" s="86">
        <f t="shared" si="92"/>
        <v>0</v>
      </c>
      <c r="BG66" s="86"/>
      <c r="BH66" s="86"/>
      <c r="BI66" s="86"/>
      <c r="BJ66" s="87"/>
      <c r="BK66" s="382">
        <f t="shared" si="114"/>
        <v>84</v>
      </c>
      <c r="BL66" s="86">
        <v>11.0</v>
      </c>
      <c r="BM66" s="439">
        <f>BM65+280</f>
        <v>4660</v>
      </c>
      <c r="BN66" s="440">
        <v>1840.0</v>
      </c>
      <c r="BO66" s="86"/>
      <c r="BP66" s="439">
        <f t="shared" ref="BP66:BQ66" si="206">BM66*0.85</f>
        <v>3961</v>
      </c>
      <c r="BQ66" s="441">
        <f t="shared" si="206"/>
        <v>1564</v>
      </c>
      <c r="BR66" s="442"/>
      <c r="BS66" s="86"/>
      <c r="BT66" s="412"/>
      <c r="BU66" s="8">
        <f t="shared" ref="BU66:BV66" si="207">BU65</f>
        <v>1</v>
      </c>
      <c r="BV66" s="443">
        <f t="shared" si="207"/>
        <v>1</v>
      </c>
      <c r="BW66" s="8" t="str">
        <f>BT47</f>
        <v/>
      </c>
      <c r="BX66" s="8">
        <f t="shared" si="103"/>
        <v>0</v>
      </c>
      <c r="BY66" s="8">
        <f t="shared" si="104"/>
        <v>0</v>
      </c>
      <c r="BZ66" s="8"/>
      <c r="CA66" s="8">
        <f t="shared" si="105"/>
        <v>0</v>
      </c>
      <c r="CB66" s="8"/>
      <c r="CC66" s="494">
        <f>SUM(CB64:CC64)</f>
        <v>0</v>
      </c>
      <c r="CD66" s="87"/>
      <c r="CE66" s="216" t="s">
        <v>146</v>
      </c>
      <c r="CF66" s="103" t="s">
        <v>74</v>
      </c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8"/>
      <c r="CT66" s="1"/>
      <c r="CU66" s="1"/>
      <c r="CV66" s="1"/>
      <c r="CW66" s="1"/>
      <c r="CX66" s="1"/>
      <c r="CY66" s="1"/>
      <c r="CZ66" s="87"/>
      <c r="DA66" s="1"/>
      <c r="DB66" s="1" t="str">
        <f t="shared" ref="DB66:DC66" si="208">DB65</f>
        <v/>
      </c>
      <c r="DC66" s="1" t="str">
        <f t="shared" si="208"/>
        <v/>
      </c>
      <c r="DD66" s="1">
        <f t="shared" si="209"/>
        <v>0</v>
      </c>
      <c r="DE66" s="1" t="str">
        <f t="shared" si="210"/>
        <v/>
      </c>
      <c r="DF66" s="1">
        <f t="shared" si="211"/>
        <v>0</v>
      </c>
      <c r="DG66" s="1">
        <f t="shared" si="212"/>
        <v>0</v>
      </c>
      <c r="DH66" s="1"/>
      <c r="DI66" s="341"/>
      <c r="DJ66" s="398">
        <v>120.0</v>
      </c>
      <c r="DK66" s="439">
        <v>8.0</v>
      </c>
      <c r="DL66" s="1" t="str">
        <f t="shared" si="70"/>
        <v/>
      </c>
      <c r="DM66" s="1">
        <f t="shared" si="66"/>
        <v>0</v>
      </c>
      <c r="DN66" s="1"/>
      <c r="DO66" s="1"/>
      <c r="DP66" s="1"/>
      <c r="DQ66" s="1">
        <f>SUM(DQ40:DQ65)</f>
        <v>0</v>
      </c>
      <c r="DR66" s="1"/>
      <c r="EU66" s="1"/>
      <c r="EV66" s="1"/>
      <c r="EW66" s="1"/>
      <c r="EX66" s="1"/>
      <c r="EZ66" s="1"/>
      <c r="FA66" s="1"/>
      <c r="FC66" s="1"/>
      <c r="FD66" s="87"/>
      <c r="FE66" s="1"/>
      <c r="FF66" s="142"/>
      <c r="FG66" s="342"/>
      <c r="FH66" s="1"/>
      <c r="FI66" s="342"/>
      <c r="FJ66" s="232"/>
      <c r="FK66" s="343"/>
      <c r="FL66" s="343"/>
      <c r="FM66" s="343"/>
      <c r="FN66" s="343"/>
      <c r="FO66" s="8"/>
      <c r="FP66" s="8"/>
      <c r="FQ66" s="8"/>
      <c r="FR66" s="343"/>
      <c r="FS66" s="343"/>
      <c r="FT66" s="8"/>
      <c r="FU66" s="87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</row>
    <row r="67" ht="12.75" customHeight="1">
      <c r="A67" s="38"/>
      <c r="B67" s="8"/>
      <c r="C67" s="63"/>
      <c r="D67" s="387" t="str">
        <f>'WEB QUOTER'!F12</f>
        <v/>
      </c>
      <c r="E67" s="8"/>
      <c r="F67" s="8"/>
      <c r="G67" s="359"/>
      <c r="H67" s="387"/>
      <c r="I67" s="1"/>
      <c r="J67" s="1"/>
      <c r="K67" s="1"/>
      <c r="L67" s="1"/>
      <c r="M67" s="1"/>
      <c r="N67" s="1"/>
      <c r="O67" s="1"/>
      <c r="P67" s="1"/>
      <c r="Q67" s="1"/>
      <c r="R67" s="66"/>
      <c r="S67" s="506"/>
      <c r="T67" s="66"/>
      <c r="U67" s="87"/>
      <c r="W67" s="1" t="s">
        <v>350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8"/>
      <c r="AQ67" s="1"/>
      <c r="AR67" s="87"/>
      <c r="AS67" s="398">
        <f t="shared" si="99"/>
        <v>104</v>
      </c>
      <c r="AT67" s="399">
        <v>7.0</v>
      </c>
      <c r="AU67" s="440">
        <f t="shared" si="213"/>
        <v>6.5</v>
      </c>
      <c r="AV67" s="399">
        <v>2315.0</v>
      </c>
      <c r="AW67" s="399">
        <v>1235.0</v>
      </c>
      <c r="AX67" s="86"/>
      <c r="AY67" s="505"/>
      <c r="AZ67" s="86" t="str">
        <f t="shared" ref="AZ67:BB67" si="214">AZ66</f>
        <v/>
      </c>
      <c r="BA67" s="86">
        <f t="shared" si="214"/>
        <v>1</v>
      </c>
      <c r="BB67" s="86">
        <f t="shared" si="214"/>
        <v>1</v>
      </c>
      <c r="BC67" s="86">
        <f t="shared" si="89"/>
        <v>0</v>
      </c>
      <c r="BD67" s="86">
        <f t="shared" si="90"/>
        <v>0</v>
      </c>
      <c r="BE67" s="86">
        <f t="shared" si="91"/>
        <v>0</v>
      </c>
      <c r="BF67" s="86">
        <f t="shared" si="92"/>
        <v>0</v>
      </c>
      <c r="BG67" s="86"/>
      <c r="BH67" s="86"/>
      <c r="BI67" s="86"/>
      <c r="BJ67" s="87"/>
      <c r="BK67" s="394">
        <f t="shared" si="114"/>
        <v>88</v>
      </c>
      <c r="BL67" s="95">
        <v>11.0</v>
      </c>
      <c r="BM67" s="445">
        <f>BM66+140</f>
        <v>4800</v>
      </c>
      <c r="BN67" s="428">
        <v>1925.0</v>
      </c>
      <c r="BO67" s="86"/>
      <c r="BP67" s="445">
        <f t="shared" ref="BP67:BQ67" si="215">BM67*0.85</f>
        <v>4080</v>
      </c>
      <c r="BQ67" s="446">
        <f t="shared" si="215"/>
        <v>1636.25</v>
      </c>
      <c r="BR67" s="442"/>
      <c r="BS67" s="86"/>
      <c r="BT67" s="412"/>
      <c r="BU67" s="8">
        <f t="shared" ref="BU67:BV67" si="216">BU66</f>
        <v>1</v>
      </c>
      <c r="BV67" s="443">
        <f t="shared" si="216"/>
        <v>1</v>
      </c>
      <c r="BW67" s="8" t="str">
        <f>BT47</f>
        <v/>
      </c>
      <c r="BX67" s="8">
        <f t="shared" si="103"/>
        <v>0</v>
      </c>
      <c r="BY67" s="8">
        <f t="shared" si="104"/>
        <v>0</v>
      </c>
      <c r="BZ67" s="8"/>
      <c r="CA67" s="8">
        <f t="shared" si="105"/>
        <v>0</v>
      </c>
      <c r="CB67" s="8"/>
      <c r="CC67" s="359"/>
      <c r="CD67" s="87"/>
      <c r="CE67" s="208" t="s">
        <v>147</v>
      </c>
      <c r="CF67" s="103" t="s">
        <v>286</v>
      </c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8"/>
      <c r="CT67" s="1"/>
      <c r="CU67" s="1"/>
      <c r="CV67" s="1"/>
      <c r="CW67" s="1"/>
      <c r="CX67" s="1"/>
      <c r="CY67" s="1"/>
      <c r="CZ67" s="87"/>
      <c r="DA67" s="1"/>
      <c r="DB67" s="1" t="str">
        <f t="shared" ref="DB67:DC67" si="217">DB66</f>
        <v/>
      </c>
      <c r="DC67" s="1" t="str">
        <f t="shared" si="217"/>
        <v/>
      </c>
      <c r="DD67" s="1">
        <f t="shared" si="209"/>
        <v>0</v>
      </c>
      <c r="DE67" s="1" t="str">
        <f t="shared" si="210"/>
        <v/>
      </c>
      <c r="DF67" s="1">
        <f t="shared" si="211"/>
        <v>0</v>
      </c>
      <c r="DG67" s="1">
        <f t="shared" si="212"/>
        <v>0</v>
      </c>
      <c r="DH67" s="1"/>
      <c r="DI67" s="341"/>
      <c r="DJ67" s="392">
        <v>124.0</v>
      </c>
      <c r="DK67" s="502">
        <v>9.0</v>
      </c>
      <c r="DL67" s="1" t="str">
        <f t="shared" si="70"/>
        <v/>
      </c>
      <c r="DM67" s="1">
        <f t="shared" si="66"/>
        <v>0</v>
      </c>
      <c r="DN67" s="1"/>
      <c r="DO67" s="1"/>
      <c r="DP67" s="1"/>
      <c r="DQ67" s="1"/>
      <c r="DR67" s="1"/>
      <c r="EU67" s="1"/>
      <c r="EV67" s="1"/>
      <c r="EW67" s="1"/>
      <c r="EX67" s="1"/>
      <c r="EZ67" s="1"/>
      <c r="FA67" s="1"/>
      <c r="FC67" s="1"/>
      <c r="FD67" s="87"/>
      <c r="FE67" s="1"/>
      <c r="FF67" s="142"/>
      <c r="FG67" s="342"/>
      <c r="FH67" s="1"/>
      <c r="FI67" s="342"/>
      <c r="FJ67" s="232"/>
      <c r="FK67" s="343"/>
      <c r="FL67" s="343"/>
      <c r="FM67" s="343"/>
      <c r="FN67" s="343"/>
      <c r="FO67" s="8"/>
      <c r="FP67" s="8"/>
      <c r="FQ67" s="8"/>
      <c r="FR67" s="343"/>
      <c r="FS67" s="343"/>
      <c r="FT67" s="8"/>
      <c r="FU67" s="87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</row>
    <row r="68" ht="15.75" customHeight="1">
      <c r="A68" s="424"/>
      <c r="B68" s="2"/>
      <c r="C68" s="47"/>
      <c r="D68" s="2" t="str">
        <f>IF(D55=V40,D67,IF(D55=V41,D67/2,IF(D55=V42,D67*2,0)))</f>
        <v/>
      </c>
      <c r="E68" s="2">
        <f>IF('WEB QUOTER'!F30="Y",IF(D68&gt;1,45,0),0)</f>
        <v>0</v>
      </c>
      <c r="F68" s="2"/>
      <c r="G68" s="425" t="s">
        <v>351</v>
      </c>
      <c r="H68" s="387"/>
      <c r="I68" s="1"/>
      <c r="J68" s="1"/>
      <c r="K68" s="1"/>
      <c r="L68" s="1"/>
      <c r="M68" s="1"/>
      <c r="N68" s="1"/>
      <c r="O68" s="1"/>
      <c r="P68" s="1"/>
      <c r="Q68" s="1"/>
      <c r="S68" s="63"/>
      <c r="T68" s="1"/>
      <c r="U68" s="87"/>
      <c r="W68" s="1" t="s">
        <v>352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8"/>
      <c r="AQ68" s="1"/>
      <c r="AR68" s="87"/>
      <c r="AS68" s="492">
        <f t="shared" si="99"/>
        <v>108</v>
      </c>
      <c r="AT68" s="493">
        <v>8.0</v>
      </c>
      <c r="AU68" s="507">
        <v>7.0</v>
      </c>
      <c r="AV68" s="493">
        <v>2395.0</v>
      </c>
      <c r="AW68" s="493">
        <v>1285.0</v>
      </c>
      <c r="AX68" s="86"/>
      <c r="AY68" s="142"/>
      <c r="AZ68" s="86" t="str">
        <f t="shared" ref="AZ68:BB68" si="218">AZ67</f>
        <v/>
      </c>
      <c r="BA68" s="86">
        <f t="shared" si="218"/>
        <v>1</v>
      </c>
      <c r="BB68" s="86">
        <f t="shared" si="218"/>
        <v>1</v>
      </c>
      <c r="BC68" s="86">
        <f t="shared" si="89"/>
        <v>0</v>
      </c>
      <c r="BD68" s="86">
        <f t="shared" si="90"/>
        <v>0</v>
      </c>
      <c r="BE68" s="86">
        <f t="shared" si="91"/>
        <v>0</v>
      </c>
      <c r="BF68" s="86">
        <f t="shared" si="92"/>
        <v>0</v>
      </c>
      <c r="BG68" s="86"/>
      <c r="BH68" s="86"/>
      <c r="BI68" s="86"/>
      <c r="BJ68" s="87"/>
      <c r="BK68" s="382">
        <f t="shared" si="114"/>
        <v>92</v>
      </c>
      <c r="BL68" s="86">
        <v>12.0</v>
      </c>
      <c r="BM68" s="439">
        <f>BM67+280</f>
        <v>5080</v>
      </c>
      <c r="BN68" s="440">
        <v>2015.0</v>
      </c>
      <c r="BO68" s="86"/>
      <c r="BP68" s="439">
        <f t="shared" ref="BP68:BQ68" si="219">BM68*0.85</f>
        <v>4318</v>
      </c>
      <c r="BQ68" s="441">
        <f t="shared" si="219"/>
        <v>1712.75</v>
      </c>
      <c r="BR68" s="442"/>
      <c r="BS68" s="86"/>
      <c r="BT68" s="412"/>
      <c r="BU68" s="8">
        <f t="shared" ref="BU68:BV68" si="220">BU67</f>
        <v>1</v>
      </c>
      <c r="BV68" s="443">
        <f t="shared" si="220"/>
        <v>1</v>
      </c>
      <c r="BW68" s="8" t="str">
        <f>BT47</f>
        <v/>
      </c>
      <c r="BX68" s="8">
        <f t="shared" si="103"/>
        <v>0</v>
      </c>
      <c r="BY68" s="8">
        <f t="shared" si="104"/>
        <v>0</v>
      </c>
      <c r="BZ68" s="8"/>
      <c r="CA68" s="8">
        <f t="shared" si="105"/>
        <v>0</v>
      </c>
      <c r="CB68" s="8"/>
      <c r="CC68" s="359" t="s">
        <v>353</v>
      </c>
      <c r="CD68" s="87"/>
      <c r="CE68" s="147" t="s">
        <v>118</v>
      </c>
      <c r="CF68" s="103" t="s">
        <v>88</v>
      </c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8"/>
      <c r="CT68" s="1"/>
      <c r="CU68" s="1"/>
      <c r="CV68" s="1"/>
      <c r="CW68" s="1"/>
      <c r="CX68" s="1"/>
      <c r="CY68" s="1"/>
      <c r="CZ68" s="87"/>
      <c r="DA68" s="1"/>
      <c r="DB68" s="1" t="str">
        <f t="shared" ref="DB68:DC68" si="221">DB67</f>
        <v/>
      </c>
      <c r="DC68" s="1" t="str">
        <f t="shared" si="221"/>
        <v/>
      </c>
      <c r="DD68" s="1">
        <f t="shared" si="209"/>
        <v>0</v>
      </c>
      <c r="DE68" s="1" t="str">
        <f t="shared" si="210"/>
        <v/>
      </c>
      <c r="DF68" s="1">
        <f t="shared" si="211"/>
        <v>0</v>
      </c>
      <c r="DG68" s="1">
        <f t="shared" si="212"/>
        <v>0</v>
      </c>
      <c r="DH68" s="1"/>
      <c r="DI68" s="341"/>
      <c r="DJ68" s="398">
        <v>128.0</v>
      </c>
      <c r="DK68" s="439">
        <v>8.0</v>
      </c>
      <c r="DL68" s="1" t="str">
        <f t="shared" si="70"/>
        <v/>
      </c>
      <c r="DM68" s="1">
        <f t="shared" si="66"/>
        <v>0</v>
      </c>
      <c r="DN68" s="1"/>
      <c r="DO68" s="1"/>
      <c r="DP68" s="1" t="s">
        <v>16</v>
      </c>
      <c r="DQ68" s="1"/>
      <c r="DR68" s="1"/>
      <c r="EU68" s="1"/>
      <c r="EV68" s="1"/>
      <c r="EW68" s="1"/>
      <c r="EX68" s="1"/>
      <c r="EZ68" s="1"/>
      <c r="FA68" s="1"/>
      <c r="FC68" s="1"/>
      <c r="FD68" s="87"/>
      <c r="FE68" s="1"/>
      <c r="FF68" s="142"/>
      <c r="FG68" s="342"/>
      <c r="FH68" s="1"/>
      <c r="FI68" s="342"/>
      <c r="FJ68" s="232"/>
      <c r="FK68" s="343"/>
      <c r="FL68" s="343"/>
      <c r="FM68" s="343"/>
      <c r="FN68" s="343"/>
      <c r="FO68" s="8"/>
      <c r="FP68" s="8"/>
      <c r="FQ68" s="8"/>
      <c r="FR68" s="343"/>
      <c r="FS68" s="343"/>
      <c r="FT68" s="8"/>
      <c r="FU68" s="87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</row>
    <row r="69" ht="13.5" customHeight="1">
      <c r="A69" s="38" t="s">
        <v>24</v>
      </c>
      <c r="B69" s="8"/>
      <c r="C69" s="63"/>
      <c r="D69" s="508">
        <f>SUM(D63,D61,D59,D57,D65,D67)</f>
        <v>20</v>
      </c>
      <c r="E69" s="8">
        <f>SUM(E60:E68)</f>
        <v>0</v>
      </c>
      <c r="F69" s="8"/>
      <c r="G69" s="359">
        <f>E69*((D56/1000))</f>
        <v>0</v>
      </c>
      <c r="H69" s="1"/>
      <c r="I69" s="1"/>
      <c r="J69" s="1"/>
      <c r="K69" s="1"/>
      <c r="L69" s="1"/>
      <c r="M69" s="1"/>
      <c r="N69" s="2"/>
      <c r="O69" s="1"/>
      <c r="P69" s="1"/>
      <c r="Q69" s="1"/>
      <c r="S69" s="63"/>
      <c r="T69" s="1"/>
      <c r="U69" s="87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8"/>
      <c r="AQ69" s="1"/>
      <c r="AR69" s="87"/>
      <c r="AS69" s="380">
        <v>112.0</v>
      </c>
      <c r="AT69" s="495">
        <v>7.0</v>
      </c>
      <c r="AU69" s="381">
        <v>7.0</v>
      </c>
      <c r="AV69" s="413">
        <v>2465.0</v>
      </c>
      <c r="AW69" s="413">
        <v>1330.0</v>
      </c>
      <c r="AX69" s="86"/>
      <c r="AY69" s="142"/>
      <c r="AZ69" s="86" t="str">
        <f t="shared" ref="AZ69:BB69" si="222">AZ68</f>
        <v/>
      </c>
      <c r="BA69" s="86">
        <f t="shared" si="222"/>
        <v>1</v>
      </c>
      <c r="BB69" s="86">
        <f t="shared" si="222"/>
        <v>1</v>
      </c>
      <c r="BC69" s="86">
        <f t="shared" si="89"/>
        <v>0</v>
      </c>
      <c r="BD69" s="86">
        <f t="shared" si="90"/>
        <v>0</v>
      </c>
      <c r="BE69" s="86">
        <f t="shared" si="91"/>
        <v>0</v>
      </c>
      <c r="BF69" s="86">
        <f t="shared" si="92"/>
        <v>0</v>
      </c>
      <c r="BG69" s="86"/>
      <c r="BH69" s="86"/>
      <c r="BI69" s="86"/>
      <c r="BJ69" s="87"/>
      <c r="BK69" s="394">
        <f t="shared" si="114"/>
        <v>96</v>
      </c>
      <c r="BL69" s="95">
        <v>12.0</v>
      </c>
      <c r="BM69" s="445">
        <f>BM68+140</f>
        <v>5220</v>
      </c>
      <c r="BN69" s="428">
        <v>2100.0</v>
      </c>
      <c r="BO69" s="86"/>
      <c r="BP69" s="445">
        <f t="shared" ref="BP69:BQ69" si="223">BM69*0.85</f>
        <v>4437</v>
      </c>
      <c r="BQ69" s="446">
        <f t="shared" si="223"/>
        <v>1785</v>
      </c>
      <c r="BR69" s="442"/>
      <c r="BS69" s="86"/>
      <c r="BT69" s="509"/>
      <c r="BU69" s="61">
        <f t="shared" ref="BU69:BV69" si="224">BU68</f>
        <v>1</v>
      </c>
      <c r="BV69" s="510">
        <f t="shared" si="224"/>
        <v>1</v>
      </c>
      <c r="BW69" s="61" t="str">
        <f>BT47</f>
        <v/>
      </c>
      <c r="BX69" s="61">
        <f t="shared" si="103"/>
        <v>0</v>
      </c>
      <c r="BY69" s="61">
        <f t="shared" si="104"/>
        <v>0</v>
      </c>
      <c r="BZ69" s="61"/>
      <c r="CA69" s="61">
        <f t="shared" si="105"/>
        <v>0</v>
      </c>
      <c r="CB69" s="61"/>
      <c r="CC69" s="511">
        <f>SUM(CA46:CA71)</f>
        <v>0</v>
      </c>
      <c r="CD69" s="87"/>
      <c r="CE69" s="156" t="s">
        <v>120</v>
      </c>
      <c r="CF69" s="104" t="s">
        <v>89</v>
      </c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8"/>
      <c r="CT69" s="1"/>
      <c r="CU69" s="1"/>
      <c r="CV69" s="1"/>
      <c r="CW69" s="1"/>
      <c r="CX69" s="1"/>
      <c r="CY69" s="1"/>
      <c r="CZ69" s="87"/>
      <c r="DA69" s="1"/>
      <c r="DB69" s="1" t="str">
        <f t="shared" ref="DB69:DC69" si="225">DB68</f>
        <v/>
      </c>
      <c r="DC69" s="1" t="str">
        <f t="shared" si="225"/>
        <v/>
      </c>
      <c r="DD69" s="1">
        <f t="shared" si="209"/>
        <v>0</v>
      </c>
      <c r="DE69" s="1" t="str">
        <f t="shared" si="210"/>
        <v/>
      </c>
      <c r="DF69" s="1">
        <f t="shared" si="211"/>
        <v>0</v>
      </c>
      <c r="DG69" s="1">
        <f t="shared" si="212"/>
        <v>0</v>
      </c>
      <c r="DH69" s="1"/>
      <c r="DI69" s="341"/>
      <c r="DJ69" s="392">
        <v>132.0</v>
      </c>
      <c r="DK69" s="502">
        <v>9.0</v>
      </c>
      <c r="DL69" s="1" t="str">
        <f t="shared" si="70"/>
        <v/>
      </c>
      <c r="DM69" s="1">
        <f t="shared" si="66"/>
        <v>0</v>
      </c>
      <c r="DN69" s="1"/>
      <c r="DO69" s="1"/>
      <c r="DP69" s="1" t="s">
        <v>66</v>
      </c>
      <c r="DQ69" s="1"/>
      <c r="DR69" s="1"/>
      <c r="EU69" s="1"/>
      <c r="EV69" s="1"/>
      <c r="EW69" s="1"/>
      <c r="EX69" s="1"/>
      <c r="EZ69" s="1"/>
      <c r="FA69" s="1"/>
      <c r="FC69" s="1"/>
      <c r="FD69" s="87"/>
      <c r="FE69" s="1"/>
      <c r="FF69" s="142"/>
      <c r="FG69" s="342"/>
      <c r="FH69" s="1"/>
      <c r="FI69" s="342"/>
      <c r="FJ69" s="232"/>
      <c r="FK69" s="343"/>
      <c r="FL69" s="343"/>
      <c r="FM69" s="343"/>
      <c r="FN69" s="343"/>
      <c r="FO69" s="8"/>
      <c r="FP69" s="8"/>
      <c r="FQ69" s="8"/>
      <c r="FR69" s="343"/>
      <c r="FS69" s="343"/>
      <c r="FT69" s="8"/>
      <c r="FU69" s="87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</row>
    <row r="70" ht="12.75" customHeight="1">
      <c r="A70" s="38" t="s">
        <v>354</v>
      </c>
      <c r="B70" s="8"/>
      <c r="C70" s="63" t="s">
        <v>40</v>
      </c>
      <c r="D70" s="8"/>
      <c r="E70" s="8"/>
      <c r="F70" s="8"/>
      <c r="G70" s="494">
        <f>J13+R13+W13+AB13+G74+AI13+AO13+E69</f>
        <v>335.5</v>
      </c>
      <c r="H70" s="512"/>
      <c r="I70" s="1"/>
      <c r="J70" s="1" t="s">
        <v>355</v>
      </c>
      <c r="K70" s="1"/>
      <c r="L70" s="1"/>
      <c r="M70" s="1"/>
      <c r="N70" s="2"/>
      <c r="O70" s="1"/>
      <c r="P70" s="1"/>
      <c r="Q70" s="1"/>
      <c r="S70" s="63"/>
      <c r="T70" s="1"/>
      <c r="U70" s="87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8"/>
      <c r="AQ70" s="1"/>
      <c r="AR70" s="87"/>
      <c r="AS70" s="392">
        <v>116.0</v>
      </c>
      <c r="AT70" s="502">
        <v>8.0</v>
      </c>
      <c r="AU70" s="393">
        <v>7.25</v>
      </c>
      <c r="AV70" s="421">
        <v>2565.0</v>
      </c>
      <c r="AW70" s="421">
        <v>1380.0</v>
      </c>
      <c r="AX70" s="86"/>
      <c r="AY70" s="142"/>
      <c r="AZ70" s="86" t="str">
        <f t="shared" ref="AZ70:BB70" si="226">AZ69</f>
        <v/>
      </c>
      <c r="BA70" s="86">
        <f t="shared" si="226"/>
        <v>1</v>
      </c>
      <c r="BB70" s="86">
        <f t="shared" si="226"/>
        <v>1</v>
      </c>
      <c r="BC70" s="86">
        <f t="shared" si="89"/>
        <v>0</v>
      </c>
      <c r="BD70" s="86">
        <f t="shared" si="90"/>
        <v>0</v>
      </c>
      <c r="BE70" s="86">
        <f t="shared" si="91"/>
        <v>0</v>
      </c>
      <c r="BF70" s="86">
        <f t="shared" si="92"/>
        <v>0</v>
      </c>
      <c r="BG70" s="86"/>
      <c r="BH70" s="86"/>
      <c r="BI70" s="86"/>
      <c r="BJ70" s="87"/>
      <c r="BK70" s="382">
        <f t="shared" si="114"/>
        <v>100</v>
      </c>
      <c r="BL70" s="86">
        <v>13.0</v>
      </c>
      <c r="BM70" s="439">
        <f>BM69+280</f>
        <v>5500</v>
      </c>
      <c r="BN70" s="440">
        <v>2190.0</v>
      </c>
      <c r="BO70" s="86"/>
      <c r="BP70" s="439">
        <f t="shared" ref="BP70:BQ70" si="227">BM70*0.85</f>
        <v>4675</v>
      </c>
      <c r="BQ70" s="441">
        <f t="shared" si="227"/>
        <v>1861.5</v>
      </c>
      <c r="BR70" s="442"/>
      <c r="BS70" s="86"/>
      <c r="BT70" s="39"/>
      <c r="BU70" s="1">
        <f t="shared" ref="BU70:BV70" si="228">BU69</f>
        <v>1</v>
      </c>
      <c r="BV70" s="443">
        <f t="shared" si="228"/>
        <v>1</v>
      </c>
      <c r="BW70" s="1" t="str">
        <f>BT47</f>
        <v/>
      </c>
      <c r="BX70" s="1">
        <f t="shared" si="103"/>
        <v>0</v>
      </c>
      <c r="BY70" s="1">
        <f t="shared" si="104"/>
        <v>0</v>
      </c>
      <c r="BZ70" s="1"/>
      <c r="CA70" s="1">
        <f t="shared" si="105"/>
        <v>0</v>
      </c>
      <c r="CB70" s="1"/>
      <c r="CC70" s="1"/>
      <c r="CD70" s="87"/>
      <c r="CE70" s="162" t="s">
        <v>122</v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8"/>
      <c r="CT70" s="1"/>
      <c r="CU70" s="1"/>
      <c r="CV70" s="1"/>
      <c r="CW70" s="1"/>
      <c r="CX70" s="1"/>
      <c r="CY70" s="1"/>
      <c r="CZ70" s="87"/>
      <c r="DA70" s="1"/>
      <c r="DB70" s="1" t="str">
        <f t="shared" ref="DB70:DC70" si="229">DB69</f>
        <v/>
      </c>
      <c r="DC70" s="1" t="str">
        <f t="shared" si="229"/>
        <v/>
      </c>
      <c r="DD70" s="1">
        <f t="shared" si="209"/>
        <v>0</v>
      </c>
      <c r="DE70" s="1" t="str">
        <f t="shared" si="210"/>
        <v>paper type</v>
      </c>
      <c r="DF70" s="1">
        <f t="shared" si="211"/>
        <v>0</v>
      </c>
      <c r="DG70" s="1">
        <f t="shared" si="212"/>
        <v>0</v>
      </c>
      <c r="DH70" s="1"/>
      <c r="DI70" s="341"/>
      <c r="DJ70" s="398">
        <v>136.0</v>
      </c>
      <c r="DK70" s="439">
        <v>9.0</v>
      </c>
      <c r="DL70" s="1" t="str">
        <f t="shared" si="70"/>
        <v/>
      </c>
      <c r="DM70" s="1">
        <f t="shared" si="66"/>
        <v>0</v>
      </c>
      <c r="DN70" s="1"/>
      <c r="DO70" s="1"/>
      <c r="DP70" s="1" t="s">
        <v>67</v>
      </c>
      <c r="DQ70" s="1"/>
      <c r="DR70" s="1"/>
      <c r="EU70" s="1"/>
      <c r="EV70" s="1"/>
      <c r="EW70" s="1"/>
      <c r="EX70" s="1"/>
      <c r="EZ70" s="1"/>
      <c r="FA70" s="1"/>
      <c r="FC70" s="1"/>
      <c r="FD70" s="87"/>
      <c r="FE70" s="1"/>
      <c r="FF70" s="142"/>
      <c r="FG70" s="342"/>
      <c r="FH70" s="1"/>
      <c r="FI70" s="342"/>
      <c r="FJ70" s="232"/>
      <c r="FK70" s="343"/>
      <c r="FL70" s="343"/>
      <c r="FM70" s="343"/>
      <c r="FN70" s="343"/>
      <c r="FO70" s="8"/>
      <c r="FP70" s="8"/>
      <c r="FQ70" s="8"/>
      <c r="FR70" s="343"/>
      <c r="FS70" s="343"/>
      <c r="FT70" s="8"/>
      <c r="FU70" s="87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</row>
    <row r="71" ht="12.75" customHeight="1">
      <c r="A71" s="513"/>
      <c r="B71" s="13"/>
      <c r="C71" s="514" t="s">
        <v>5</v>
      </c>
      <c r="D71" s="13">
        <v>1000.0</v>
      </c>
      <c r="E71" s="8"/>
      <c r="F71" s="8"/>
      <c r="G71" s="494">
        <f>IF(D56&lt;1001,0,I17+G43+G46+G75+N17+V17+AA17+AJ13+AP13+E69)</f>
        <v>0</v>
      </c>
      <c r="H71" s="512"/>
      <c r="I71" s="1"/>
      <c r="J71" s="444" t="s">
        <v>356</v>
      </c>
      <c r="K71" s="1"/>
      <c r="L71" s="1"/>
      <c r="M71" s="1"/>
      <c r="N71" s="2"/>
      <c r="O71" s="1"/>
      <c r="P71" s="1"/>
      <c r="Q71" s="1"/>
      <c r="R71" s="170" t="s">
        <v>357</v>
      </c>
      <c r="S71" s="47"/>
      <c r="T71" s="2"/>
      <c r="U71" s="87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8"/>
      <c r="AQ71" s="1"/>
      <c r="AR71" s="87"/>
      <c r="AS71" s="398">
        <v>120.0</v>
      </c>
      <c r="AT71" s="439">
        <v>8.0</v>
      </c>
      <c r="AU71" s="399">
        <v>7.5</v>
      </c>
      <c r="AV71" s="440">
        <v>2655.0</v>
      </c>
      <c r="AW71" s="440">
        <v>1425.0</v>
      </c>
      <c r="AX71" s="1"/>
      <c r="AY71" s="142"/>
      <c r="AZ71" s="86" t="str">
        <f t="shared" ref="AZ71:BB71" si="230">AZ70</f>
        <v/>
      </c>
      <c r="BA71" s="86">
        <f t="shared" si="230"/>
        <v>1</v>
      </c>
      <c r="BB71" s="86">
        <f t="shared" si="230"/>
        <v>1</v>
      </c>
      <c r="BC71" s="86">
        <f t="shared" si="89"/>
        <v>0</v>
      </c>
      <c r="BD71" s="86">
        <f t="shared" si="90"/>
        <v>0</v>
      </c>
      <c r="BE71" s="86">
        <f t="shared" si="91"/>
        <v>0</v>
      </c>
      <c r="BF71" s="86">
        <f t="shared" si="92"/>
        <v>0</v>
      </c>
      <c r="BG71" s="1"/>
      <c r="BH71" s="1"/>
      <c r="BI71" s="1"/>
      <c r="BJ71" s="87"/>
      <c r="BK71" s="503">
        <f t="shared" si="114"/>
        <v>104</v>
      </c>
      <c r="BL71" s="504">
        <v>13.0</v>
      </c>
      <c r="BM71" s="515">
        <f>BM70+140</f>
        <v>5640</v>
      </c>
      <c r="BN71" s="516">
        <v>2285.0</v>
      </c>
      <c r="BO71" s="86"/>
      <c r="BP71" s="515">
        <f t="shared" ref="BP71:BQ71" si="231">BM71*0.85</f>
        <v>4794</v>
      </c>
      <c r="BQ71" s="517">
        <f t="shared" si="231"/>
        <v>1942.25</v>
      </c>
      <c r="BR71" s="442"/>
      <c r="BS71" s="86"/>
      <c r="BT71" s="39"/>
      <c r="BU71" s="1">
        <f t="shared" ref="BU71:BV71" si="232">BU70</f>
        <v>1</v>
      </c>
      <c r="BV71" s="443">
        <f t="shared" si="232"/>
        <v>1</v>
      </c>
      <c r="BW71" s="1" t="str">
        <f>BT47</f>
        <v/>
      </c>
      <c r="BX71" s="1">
        <f t="shared" si="103"/>
        <v>0</v>
      </c>
      <c r="BY71" s="1">
        <f t="shared" si="104"/>
        <v>0</v>
      </c>
      <c r="BZ71" s="1"/>
      <c r="CA71" s="1">
        <f t="shared" si="105"/>
        <v>0</v>
      </c>
      <c r="CB71" s="1"/>
      <c r="CC71" s="1"/>
      <c r="CD71" s="87"/>
      <c r="CE71" s="156" t="s">
        <v>124</v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8"/>
      <c r="CT71" s="1"/>
      <c r="CU71" s="1"/>
      <c r="CV71" s="1"/>
      <c r="CW71" s="1"/>
      <c r="CX71" s="1"/>
      <c r="CY71" s="1"/>
      <c r="CZ71" s="87"/>
      <c r="DA71" s="1"/>
      <c r="DB71" s="1" t="str">
        <f t="shared" ref="DB71:DC71" si="233">DB70</f>
        <v/>
      </c>
      <c r="DC71" s="1" t="str">
        <f t="shared" si="233"/>
        <v/>
      </c>
      <c r="DD71" s="1">
        <f t="shared" si="209"/>
        <v>0</v>
      </c>
      <c r="DE71" s="1" t="str">
        <f t="shared" si="210"/>
        <v/>
      </c>
      <c r="DF71" s="1">
        <f t="shared" si="211"/>
        <v>0</v>
      </c>
      <c r="DG71" s="1">
        <f t="shared" si="212"/>
        <v>0</v>
      </c>
      <c r="DH71" s="1"/>
      <c r="DI71" s="341"/>
      <c r="DJ71" s="392">
        <v>140.0</v>
      </c>
      <c r="DK71" s="502">
        <v>10.0</v>
      </c>
      <c r="DL71" s="1" t="str">
        <f t="shared" si="70"/>
        <v/>
      </c>
      <c r="DM71" s="1">
        <f t="shared" si="66"/>
        <v>0</v>
      </c>
      <c r="DN71" s="1"/>
      <c r="DO71" s="518">
        <f>SUM(DM87,DQ66)</f>
        <v>0</v>
      </c>
      <c r="DP71" s="1" t="s">
        <v>358</v>
      </c>
      <c r="DQ71" s="1"/>
      <c r="DR71" s="1"/>
      <c r="EU71" s="1"/>
      <c r="EV71" s="1"/>
      <c r="EW71" s="1"/>
      <c r="EX71" s="1"/>
      <c r="EZ71" s="1"/>
      <c r="FA71" s="1"/>
      <c r="FC71" s="1"/>
      <c r="FD71" s="87"/>
      <c r="FE71" s="1"/>
      <c r="FF71" s="142"/>
      <c r="FG71" s="342"/>
      <c r="FH71" s="1"/>
      <c r="FI71" s="342"/>
      <c r="FJ71" s="232"/>
      <c r="FK71" s="343"/>
      <c r="FL71" s="343"/>
      <c r="FM71" s="343"/>
      <c r="FN71" s="343"/>
      <c r="FO71" s="8"/>
      <c r="FP71" s="8"/>
      <c r="FQ71" s="8"/>
      <c r="FR71" s="343"/>
      <c r="FS71" s="343"/>
      <c r="FT71" s="8"/>
      <c r="FU71" s="87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</row>
    <row r="72" ht="12.75" customHeight="1">
      <c r="A72" s="519"/>
      <c r="B72" s="520"/>
      <c r="C72" s="521" t="s">
        <v>245</v>
      </c>
      <c r="D72" s="522">
        <f>D56</f>
        <v>1000</v>
      </c>
      <c r="E72" s="520"/>
      <c r="F72" s="520"/>
      <c r="G72" s="523">
        <f>IF(D56&lt;1001,J13,SUM(J13,K14,R13:S13,W13:X13,AB13:AC13,G74, (G75*IF(D56&lt;1999,(1-(D56/1000)),(D56/1000)-1))))</f>
        <v>335.5</v>
      </c>
      <c r="H72" s="512"/>
      <c r="I72" s="1"/>
      <c r="J72" s="1"/>
      <c r="K72" s="1"/>
      <c r="L72" s="1"/>
      <c r="M72" s="1"/>
      <c r="N72" s="2"/>
      <c r="O72" s="1"/>
      <c r="P72" s="1"/>
      <c r="Q72" s="1"/>
      <c r="R72" s="3"/>
      <c r="S72" s="462"/>
      <c r="T72" s="5"/>
      <c r="U72" s="87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8"/>
      <c r="AQ72" s="1"/>
      <c r="AR72" s="87"/>
      <c r="AS72" s="392">
        <v>124.0</v>
      </c>
      <c r="AT72" s="502">
        <v>9.0</v>
      </c>
      <c r="AU72" s="393">
        <v>8.0</v>
      </c>
      <c r="AV72" s="421">
        <v>2735.0</v>
      </c>
      <c r="AW72" s="421">
        <v>1475.0</v>
      </c>
      <c r="AX72" s="1"/>
      <c r="AY72" s="142"/>
      <c r="AZ72" s="86" t="str">
        <f t="shared" ref="AZ72:BB72" si="234">AZ71</f>
        <v/>
      </c>
      <c r="BA72" s="86">
        <f t="shared" si="234"/>
        <v>1</v>
      </c>
      <c r="BB72" s="86">
        <f t="shared" si="234"/>
        <v>1</v>
      </c>
      <c r="BC72" s="86">
        <f t="shared" si="89"/>
        <v>0</v>
      </c>
      <c r="BD72" s="86">
        <f t="shared" si="90"/>
        <v>0</v>
      </c>
      <c r="BE72" s="86">
        <f t="shared" si="91"/>
        <v>0</v>
      </c>
      <c r="BF72" s="86">
        <f t="shared" si="92"/>
        <v>0</v>
      </c>
      <c r="BG72" s="1"/>
      <c r="BH72" s="1"/>
      <c r="BI72" s="1"/>
      <c r="BJ72" s="87"/>
      <c r="BK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>
        <f t="shared" ref="BX72:BY72" si="235">SUM(BX46:BX71)</f>
        <v>0</v>
      </c>
      <c r="BY72" s="1">
        <f t="shared" si="235"/>
        <v>0</v>
      </c>
      <c r="BZ72" s="1"/>
      <c r="CA72" s="1"/>
      <c r="CB72" s="1"/>
      <c r="CC72" s="1"/>
      <c r="CD72" s="87"/>
      <c r="CE72" s="162" t="s">
        <v>126</v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8"/>
      <c r="CT72" s="1"/>
      <c r="CU72" s="1"/>
      <c r="CV72" s="1"/>
      <c r="CW72" s="1"/>
      <c r="CX72" s="1"/>
      <c r="CY72" s="1"/>
      <c r="CZ72" s="87"/>
      <c r="DA72" s="1"/>
      <c r="DB72" s="1" t="str">
        <f t="shared" ref="DB72:DC72" si="236">DB71</f>
        <v/>
      </c>
      <c r="DC72" s="1" t="str">
        <f t="shared" si="236"/>
        <v/>
      </c>
      <c r="DD72" s="1">
        <f t="shared" si="209"/>
        <v>0</v>
      </c>
      <c r="DE72" s="1" t="str">
        <f t="shared" si="210"/>
        <v/>
      </c>
      <c r="DF72" s="1" t="str">
        <f t="shared" si="211"/>
        <v/>
      </c>
      <c r="DG72" s="1" t="str">
        <f t="shared" si="212"/>
        <v/>
      </c>
      <c r="DH72" s="1"/>
      <c r="DI72" s="341"/>
      <c r="DJ72" s="398">
        <v>144.0</v>
      </c>
      <c r="DK72" s="439">
        <v>9.0</v>
      </c>
      <c r="DL72" s="1" t="str">
        <f t="shared" si="70"/>
        <v/>
      </c>
      <c r="DM72" s="1">
        <f t="shared" si="66"/>
        <v>0</v>
      </c>
      <c r="DN72" s="1"/>
      <c r="DO72" s="1"/>
      <c r="DP72" s="1"/>
      <c r="DQ72" s="1"/>
      <c r="DR72" s="1"/>
      <c r="EU72" s="1"/>
      <c r="EV72" s="1"/>
      <c r="EW72" s="1"/>
      <c r="EX72" s="1"/>
      <c r="EZ72" s="1"/>
      <c r="FA72" s="1"/>
      <c r="FC72" s="1"/>
      <c r="FD72" s="87"/>
      <c r="FE72" s="1"/>
      <c r="FF72" s="142"/>
      <c r="FG72" s="342"/>
      <c r="FH72" s="1"/>
      <c r="FI72" s="342"/>
      <c r="FJ72" s="232"/>
      <c r="FK72" s="343"/>
      <c r="FL72" s="343"/>
      <c r="FM72" s="343"/>
      <c r="FN72" s="343"/>
      <c r="FO72" s="8"/>
      <c r="FP72" s="8"/>
      <c r="FQ72" s="8"/>
      <c r="FR72" s="343"/>
      <c r="FS72" s="343"/>
      <c r="FT72" s="8"/>
      <c r="FU72" s="87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</row>
    <row r="73" ht="12.75" customHeight="1">
      <c r="A73" s="92" t="s">
        <v>359</v>
      </c>
      <c r="B73" s="1"/>
      <c r="C73" s="63"/>
      <c r="D73" s="1"/>
      <c r="E73" s="384"/>
      <c r="F73" s="384"/>
      <c r="G73" s="384"/>
      <c r="H73" s="512"/>
      <c r="I73" s="1"/>
      <c r="J73" s="524" t="s">
        <v>360</v>
      </c>
      <c r="K73" s="1"/>
      <c r="L73" s="1"/>
      <c r="M73" s="1"/>
      <c r="N73" s="2"/>
      <c r="O73" s="1"/>
      <c r="P73" s="1"/>
      <c r="Q73" s="1"/>
      <c r="R73" s="7" t="str">
        <f>IF(E79&gt;0, CONCATENATE("Cover: 4 pgs ",D79)," ")</f>
        <v> </v>
      </c>
      <c r="S73" s="63"/>
      <c r="T73" s="9"/>
      <c r="U73" s="87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8"/>
      <c r="AQ73" s="1"/>
      <c r="AR73" s="87"/>
      <c r="AS73" s="398">
        <v>128.0</v>
      </c>
      <c r="AT73" s="439">
        <v>8.0</v>
      </c>
      <c r="AU73" s="399">
        <v>8.0</v>
      </c>
      <c r="AV73" s="440">
        <v>2805.0</v>
      </c>
      <c r="AW73" s="440">
        <v>1520.0</v>
      </c>
      <c r="AX73" s="1"/>
      <c r="AY73" s="142"/>
      <c r="AZ73" s="86" t="str">
        <f t="shared" ref="AZ73:BB73" si="237">AZ72</f>
        <v/>
      </c>
      <c r="BA73" s="86">
        <f t="shared" si="237"/>
        <v>1</v>
      </c>
      <c r="BB73" s="86">
        <f t="shared" si="237"/>
        <v>1</v>
      </c>
      <c r="BC73" s="86">
        <f t="shared" si="89"/>
        <v>0</v>
      </c>
      <c r="BD73" s="86">
        <f t="shared" si="90"/>
        <v>0</v>
      </c>
      <c r="BE73" s="86">
        <f t="shared" si="91"/>
        <v>0</v>
      </c>
      <c r="BF73" s="86">
        <f t="shared" si="92"/>
        <v>0</v>
      </c>
      <c r="BG73" s="1"/>
      <c r="BH73" s="1"/>
      <c r="BI73" s="1"/>
      <c r="BJ73" s="87"/>
      <c r="BK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>
        <f>BX72-((1-(D56/1000))*BY72)</f>
        <v>0</v>
      </c>
      <c r="BY73" s="1"/>
      <c r="BZ73" s="1"/>
      <c r="CA73" s="1"/>
      <c r="CB73" s="1"/>
      <c r="CC73" s="1"/>
      <c r="CD73" s="87"/>
      <c r="CE73" s="156" t="s">
        <v>128</v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8"/>
      <c r="CT73" s="1"/>
      <c r="CU73" s="1"/>
      <c r="CV73" s="1"/>
      <c r="CW73" s="1"/>
      <c r="CX73" s="1"/>
      <c r="CY73" s="1"/>
      <c r="CZ73" s="87"/>
      <c r="DA73" s="1"/>
      <c r="DB73" s="1" t="str">
        <f t="shared" ref="DB73:DC73" si="238">DB72</f>
        <v/>
      </c>
      <c r="DC73" s="1" t="str">
        <f t="shared" si="238"/>
        <v/>
      </c>
      <c r="DD73" s="1">
        <f t="shared" si="209"/>
        <v>0</v>
      </c>
      <c r="DE73" s="1" t="str">
        <f t="shared" si="210"/>
        <v/>
      </c>
      <c r="DF73" s="1" t="str">
        <f t="shared" si="211"/>
        <v/>
      </c>
      <c r="DG73" s="1" t="str">
        <f t="shared" si="212"/>
        <v/>
      </c>
      <c r="DH73" s="1"/>
      <c r="DI73" s="341"/>
      <c r="DJ73" s="392">
        <v>148.0</v>
      </c>
      <c r="DK73" s="502">
        <v>10.0</v>
      </c>
      <c r="DL73" s="1" t="str">
        <f t="shared" si="70"/>
        <v/>
      </c>
      <c r="DM73" s="1">
        <f t="shared" si="66"/>
        <v>0</v>
      </c>
      <c r="DN73" s="1"/>
      <c r="DO73" s="1">
        <f>IF(D79="self",DO71,DO71+1)</f>
        <v>1</v>
      </c>
      <c r="DP73" s="1"/>
      <c r="DQ73" s="1"/>
      <c r="DR73" s="1"/>
      <c r="EU73" s="1"/>
      <c r="EV73" s="1"/>
      <c r="EW73" s="1"/>
      <c r="EX73" s="1"/>
      <c r="EZ73" s="1"/>
      <c r="FA73" s="1"/>
      <c r="FC73" s="1"/>
      <c r="FD73" s="87"/>
      <c r="FE73" s="1"/>
      <c r="FF73" s="142"/>
      <c r="FG73" s="342"/>
      <c r="FH73" s="1"/>
      <c r="FI73" s="342"/>
      <c r="FJ73" s="232"/>
      <c r="FK73" s="343"/>
      <c r="FL73" s="343"/>
      <c r="FM73" s="343"/>
      <c r="FN73" s="343"/>
      <c r="FO73" s="8"/>
      <c r="FP73" s="8"/>
      <c r="FQ73" s="8"/>
      <c r="FR73" s="343"/>
      <c r="FS73" s="343"/>
      <c r="FT73" s="8"/>
      <c r="FU73" s="87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</row>
    <row r="74" ht="12.75" customHeight="1">
      <c r="A74" s="525" t="s">
        <v>226</v>
      </c>
      <c r="B74" s="53"/>
      <c r="C74" s="526"/>
      <c r="D74" s="527" t="str">
        <f t="shared" ref="D74:D75" si="241">D141</f>
        <v>None</v>
      </c>
      <c r="E74" s="53" t="s">
        <v>40</v>
      </c>
      <c r="F74" s="53"/>
      <c r="G74" s="528">
        <f>(IF(D74=W66,0,IF(D74=W67,IF(D56&gt;999,AE63,AE65),IF(D56&gt;999,AP63,AP64))))*(D143/100)</f>
        <v>0</v>
      </c>
      <c r="H74" s="512"/>
      <c r="I74" s="1"/>
      <c r="J74" s="529" t="s">
        <v>361</v>
      </c>
      <c r="K74" s="1"/>
      <c r="L74" s="1"/>
      <c r="M74" s="1"/>
      <c r="N74" s="2"/>
      <c r="O74" s="1"/>
      <c r="P74" s="1"/>
      <c r="Q74" s="1"/>
      <c r="R74" s="7" t="str">
        <f>IF(E82&gt;0,CONCATENATE("1/1 ", D82, " pgs"),"")</f>
        <v/>
      </c>
      <c r="S74" s="63"/>
      <c r="T74" s="9"/>
      <c r="U74" s="87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8"/>
      <c r="AQ74" s="1"/>
      <c r="AR74" s="87"/>
      <c r="AS74" s="392">
        <v>132.0</v>
      </c>
      <c r="AT74" s="502">
        <v>9.0</v>
      </c>
      <c r="AU74" s="393">
        <v>8.25</v>
      </c>
      <c r="AV74" s="421">
        <v>2905.0</v>
      </c>
      <c r="AW74" s="421">
        <v>1570.0</v>
      </c>
      <c r="AX74" s="1"/>
      <c r="AY74" s="142"/>
      <c r="AZ74" s="86" t="str">
        <f t="shared" ref="AZ74:BB74" si="239">AZ73</f>
        <v/>
      </c>
      <c r="BA74" s="86">
        <f t="shared" si="239"/>
        <v>1</v>
      </c>
      <c r="BB74" s="86">
        <f t="shared" si="239"/>
        <v>1</v>
      </c>
      <c r="BC74" s="86">
        <f t="shared" si="89"/>
        <v>0</v>
      </c>
      <c r="BD74" s="86">
        <f t="shared" si="90"/>
        <v>0</v>
      </c>
      <c r="BE74" s="86">
        <f t="shared" si="91"/>
        <v>0</v>
      </c>
      <c r="BF74" s="86">
        <f t="shared" si="92"/>
        <v>0</v>
      </c>
      <c r="BG74" s="1"/>
      <c r="BH74" s="1"/>
      <c r="BI74" s="1"/>
      <c r="BJ74" s="87"/>
      <c r="BK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87"/>
      <c r="CE74" s="162" t="s">
        <v>129</v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8"/>
      <c r="CT74" s="1"/>
      <c r="CU74" s="1"/>
      <c r="CV74" s="1"/>
      <c r="CW74" s="1"/>
      <c r="CX74" s="1"/>
      <c r="CY74" s="1"/>
      <c r="CZ74" s="87"/>
      <c r="DA74" s="1"/>
      <c r="DB74" s="1"/>
      <c r="DC74" s="1" t="s">
        <v>338</v>
      </c>
      <c r="DD74" s="1">
        <f t="shared" ref="DD74:DG74" si="240">SUM(DD65:DD73)</f>
        <v>0</v>
      </c>
      <c r="DE74" s="1">
        <f t="shared" si="240"/>
        <v>0</v>
      </c>
      <c r="DF74" s="1">
        <f t="shared" si="240"/>
        <v>0</v>
      </c>
      <c r="DG74" s="1">
        <f t="shared" si="240"/>
        <v>0</v>
      </c>
      <c r="DH74" s="1"/>
      <c r="DI74" s="341"/>
      <c r="DJ74" s="398">
        <v>152.0</v>
      </c>
      <c r="DK74" s="439">
        <v>10.0</v>
      </c>
      <c r="DL74" s="1" t="str">
        <f t="shared" si="70"/>
        <v/>
      </c>
      <c r="DM74" s="1">
        <f t="shared" si="66"/>
        <v>0</v>
      </c>
      <c r="DN74" s="1"/>
      <c r="DO74" s="1"/>
      <c r="DP74" s="1"/>
      <c r="DQ74" s="1"/>
      <c r="DR74" s="1"/>
      <c r="EU74" s="1"/>
      <c r="EV74" s="1"/>
      <c r="EW74" s="1"/>
      <c r="EX74" s="1"/>
      <c r="EZ74" s="1"/>
      <c r="FA74" s="1"/>
      <c r="FC74" s="1"/>
      <c r="FD74" s="87"/>
      <c r="FE74" s="1"/>
      <c r="FF74" s="142"/>
      <c r="FG74" s="342"/>
      <c r="FH74" s="1"/>
      <c r="FI74" s="342"/>
      <c r="FJ74" s="232"/>
      <c r="FK74" s="343"/>
      <c r="FL74" s="343"/>
      <c r="FM74" s="343"/>
      <c r="FN74" s="343"/>
      <c r="FO74" s="8"/>
      <c r="FP74" s="8"/>
      <c r="FQ74" s="8"/>
      <c r="FR74" s="343"/>
      <c r="FS74" s="343"/>
      <c r="FT74" s="8"/>
      <c r="FU74" s="87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</row>
    <row r="75" ht="12.75" customHeight="1">
      <c r="A75" s="60" t="s">
        <v>46</v>
      </c>
      <c r="B75" s="61"/>
      <c r="C75" s="530">
        <f>IF(D55="Sheetfed",DO73,IF(D55="Tabloid",ROUNDUP(D57/24,0)+ROUNDUP(D59/24,0)+ROUNDUP(D61/24,0)+ROUNDUP(D63/24,0)+ROUNDUP(D65/24,0)+ROUNDUP(D67/24,0),IF(D55="Minitab",ROUNDUP(D57/48,0)+ROUNDUP(D59/48,0)+ROUNDUP(D61/48,0)+ROUNDUP(D63/48,0)+ROUNDUP(D65/48,0)+ROUNDUP(D67/48,0),"")))</f>
        <v>1</v>
      </c>
      <c r="D75" s="531" t="str">
        <f t="shared" si="241"/>
        <v/>
      </c>
      <c r="E75" s="61" t="s">
        <v>5</v>
      </c>
      <c r="F75" s="61"/>
      <c r="G75" s="511">
        <f>(IF(D74=W66,0,IF(D74=W67,AF63,AQ63)))*(D144/100)</f>
        <v>0</v>
      </c>
      <c r="H75" s="512"/>
      <c r="I75" s="1"/>
      <c r="J75" s="1" t="s">
        <v>362</v>
      </c>
      <c r="K75" s="1"/>
      <c r="L75" s="1"/>
      <c r="M75" s="1"/>
      <c r="N75" s="2"/>
      <c r="O75" s="1"/>
      <c r="P75" s="1"/>
      <c r="Q75" s="1"/>
      <c r="R75" s="7" t="str">
        <f>IF(E82&gt;0,CONCATENATE("1/1 ", D82, " pgs"),"")</f>
        <v/>
      </c>
      <c r="S75" s="63"/>
      <c r="T75" s="9"/>
      <c r="U75" s="87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8"/>
      <c r="AQ75" s="1"/>
      <c r="AR75" s="87"/>
      <c r="AS75" s="398">
        <v>136.0</v>
      </c>
      <c r="AT75" s="439">
        <v>9.0</v>
      </c>
      <c r="AU75" s="399">
        <v>8.5</v>
      </c>
      <c r="AV75" s="440">
        <v>2995.0</v>
      </c>
      <c r="AW75" s="440">
        <v>1615.0</v>
      </c>
      <c r="AX75" s="1"/>
      <c r="AY75" s="142"/>
      <c r="AZ75" s="86" t="str">
        <f t="shared" ref="AZ75:BB75" si="242">AZ74</f>
        <v/>
      </c>
      <c r="BA75" s="86">
        <f t="shared" si="242"/>
        <v>1</v>
      </c>
      <c r="BB75" s="86">
        <f t="shared" si="242"/>
        <v>1</v>
      </c>
      <c r="BC75" s="86">
        <f t="shared" si="89"/>
        <v>0</v>
      </c>
      <c r="BD75" s="86">
        <f t="shared" si="90"/>
        <v>0</v>
      </c>
      <c r="BE75" s="86">
        <f t="shared" si="91"/>
        <v>0</v>
      </c>
      <c r="BF75" s="86">
        <f t="shared" si="92"/>
        <v>0</v>
      </c>
      <c r="BG75" s="1"/>
      <c r="BH75" s="1"/>
      <c r="BI75" s="1"/>
      <c r="BJ75" s="87"/>
      <c r="BK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87"/>
      <c r="CE75" s="156" t="s">
        <v>130</v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8"/>
      <c r="CT75" s="1"/>
      <c r="CU75" s="1"/>
      <c r="CV75" s="1"/>
      <c r="CW75" s="1"/>
      <c r="CX75" s="1"/>
      <c r="CY75" s="1"/>
      <c r="CZ75" s="87"/>
      <c r="DA75" s="1"/>
      <c r="DB75" s="1"/>
      <c r="DC75" s="1"/>
      <c r="DD75" s="1">
        <f>IF(DC65=DA66,DD74,0)</f>
        <v>0</v>
      </c>
      <c r="DE75" s="1">
        <f>IF(DC66=DA67,DE74,0)</f>
        <v>0</v>
      </c>
      <c r="DF75" s="1">
        <f>IF(DC66=DA68,DF74,0)</f>
        <v>0</v>
      </c>
      <c r="DG75" s="1">
        <f>IF(DA69=DC68,DG74,0)</f>
        <v>0</v>
      </c>
      <c r="DH75" s="1">
        <f>SUM(DD75:DG75)</f>
        <v>0</v>
      </c>
      <c r="DI75" s="341"/>
      <c r="DJ75" s="392">
        <v>156.0</v>
      </c>
      <c r="DK75" s="502">
        <v>11.0</v>
      </c>
      <c r="DL75" s="1" t="str">
        <f t="shared" si="70"/>
        <v/>
      </c>
      <c r="DM75" s="1">
        <f t="shared" si="66"/>
        <v>0</v>
      </c>
      <c r="DN75" s="1"/>
      <c r="DO75" s="1"/>
      <c r="DP75" s="1"/>
      <c r="DQ75" s="1"/>
      <c r="DR75" s="1"/>
      <c r="EU75" s="1"/>
      <c r="EV75" s="1"/>
      <c r="EW75" s="1"/>
      <c r="EX75" s="1"/>
      <c r="EZ75" s="1"/>
      <c r="FA75" s="1"/>
      <c r="FC75" s="1"/>
      <c r="FD75" s="87"/>
      <c r="FE75" s="1"/>
      <c r="FF75" s="142"/>
      <c r="FG75" s="342"/>
      <c r="FH75" s="1"/>
      <c r="FI75" s="342"/>
      <c r="FJ75" s="232"/>
      <c r="FK75" s="343"/>
      <c r="FL75" s="343"/>
      <c r="FM75" s="343"/>
      <c r="FN75" s="343"/>
      <c r="FO75" s="8"/>
      <c r="FP75" s="8"/>
      <c r="FQ75" s="8"/>
      <c r="FR75" s="343"/>
      <c r="FS75" s="343"/>
      <c r="FT75" s="8"/>
      <c r="FU75" s="87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</row>
    <row r="76" ht="12.75" customHeight="1">
      <c r="A76" s="12" t="s">
        <v>363</v>
      </c>
      <c r="B76" s="13"/>
      <c r="C76" s="514"/>
      <c r="D76" s="532">
        <f>D56</f>
        <v>1000</v>
      </c>
      <c r="E76" s="13" t="s">
        <v>245</v>
      </c>
      <c r="F76" s="13"/>
      <c r="G76" s="533">
        <f>SUM(G74:G75)</f>
        <v>0</v>
      </c>
      <c r="H76" s="512"/>
      <c r="I76" s="1"/>
      <c r="J76" s="1"/>
      <c r="K76" s="1"/>
      <c r="L76" s="1"/>
      <c r="M76" s="1"/>
      <c r="N76" s="2"/>
      <c r="O76" s="1"/>
      <c r="P76" s="1"/>
      <c r="Q76" s="1"/>
      <c r="R76" s="7" t="str">
        <f>IF(E83&gt;0,CONCATENATE("4/4 ", D83," pgs"),"")</f>
        <v/>
      </c>
      <c r="S76" s="63"/>
      <c r="T76" s="9"/>
      <c r="U76" s="87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8"/>
      <c r="AQ76" s="1"/>
      <c r="AR76" s="87"/>
      <c r="AS76" s="392">
        <v>140.0</v>
      </c>
      <c r="AT76" s="502">
        <v>10.0</v>
      </c>
      <c r="AU76" s="393">
        <v>9.0</v>
      </c>
      <c r="AV76" s="421">
        <v>3075.0</v>
      </c>
      <c r="AW76" s="421">
        <v>1665.0</v>
      </c>
      <c r="AX76" s="1"/>
      <c r="AY76" s="142"/>
      <c r="AZ76" s="86" t="str">
        <f t="shared" ref="AZ76:BB76" si="243">AZ75</f>
        <v/>
      </c>
      <c r="BA76" s="86">
        <f t="shared" si="243"/>
        <v>1</v>
      </c>
      <c r="BB76" s="86">
        <f t="shared" si="243"/>
        <v>1</v>
      </c>
      <c r="BC76" s="86">
        <f t="shared" si="89"/>
        <v>0</v>
      </c>
      <c r="BD76" s="86">
        <f t="shared" si="90"/>
        <v>0</v>
      </c>
      <c r="BE76" s="86">
        <f t="shared" si="91"/>
        <v>0</v>
      </c>
      <c r="BF76" s="86">
        <f t="shared" si="92"/>
        <v>0</v>
      </c>
      <c r="BG76" s="1"/>
      <c r="BH76" s="1"/>
      <c r="BI76" s="1"/>
      <c r="BJ76" s="87"/>
      <c r="BK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87"/>
      <c r="CE76" s="162" t="s">
        <v>131</v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8"/>
      <c r="CT76" s="1"/>
      <c r="CU76" s="1"/>
      <c r="CV76" s="1"/>
      <c r="CW76" s="1"/>
      <c r="CX76" s="1"/>
      <c r="CY76" s="1"/>
      <c r="CZ76" s="87"/>
      <c r="DA76" s="1"/>
      <c r="DB76" s="1"/>
      <c r="DC76" s="1"/>
      <c r="DD76" s="1"/>
      <c r="DE76" s="1"/>
      <c r="DF76" s="1"/>
      <c r="DG76" s="1"/>
      <c r="DH76" s="1"/>
      <c r="DI76" s="341"/>
      <c r="DJ76" s="398">
        <v>160.0</v>
      </c>
      <c r="DK76" s="439">
        <v>10.0</v>
      </c>
      <c r="DL76" s="1" t="str">
        <f t="shared" si="70"/>
        <v/>
      </c>
      <c r="DM76" s="1">
        <f t="shared" si="66"/>
        <v>0</v>
      </c>
      <c r="DN76" s="1"/>
      <c r="DO76" s="1"/>
      <c r="DP76" s="1"/>
      <c r="DQ76" s="1"/>
      <c r="DR76" s="1"/>
      <c r="EU76" s="1"/>
      <c r="EV76" s="1"/>
      <c r="EW76" s="1"/>
      <c r="EX76" s="1"/>
      <c r="EZ76" s="1"/>
      <c r="FA76" s="1"/>
      <c r="FC76" s="1"/>
      <c r="FD76" s="87"/>
      <c r="FE76" s="1"/>
      <c r="FF76" s="142"/>
      <c r="FG76" s="342"/>
      <c r="FH76" s="1"/>
      <c r="FI76" s="342"/>
      <c r="FJ76" s="232"/>
      <c r="FK76" s="343"/>
      <c r="FL76" s="343"/>
      <c r="FM76" s="343"/>
      <c r="FN76" s="343"/>
      <c r="FO76" s="8"/>
      <c r="FP76" s="8"/>
      <c r="FQ76" s="8"/>
      <c r="FR76" s="343"/>
      <c r="FS76" s="343"/>
      <c r="FT76" s="8"/>
      <c r="FU76" s="87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</row>
    <row r="77" ht="12.75" customHeight="1">
      <c r="A77" s="534" t="s">
        <v>364</v>
      </c>
      <c r="B77" s="8"/>
      <c r="C77" s="63"/>
      <c r="D77" s="8"/>
      <c r="E77" s="1"/>
      <c r="F77" s="1"/>
      <c r="G77" s="1"/>
      <c r="H77" s="512"/>
      <c r="I77" s="1"/>
      <c r="J77" s="1"/>
      <c r="K77" s="1"/>
      <c r="L77" s="1"/>
      <c r="M77" s="1"/>
      <c r="N77" s="2"/>
      <c r="O77" s="1"/>
      <c r="P77" s="1"/>
      <c r="Q77" s="1"/>
      <c r="R77" s="7" t="str">
        <f>IF(E93&gt;0,CONCATENATE("Cover stock: ",D93),"")</f>
        <v/>
      </c>
      <c r="S77" s="63"/>
      <c r="T77" s="9"/>
      <c r="U77" s="87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8"/>
      <c r="AQ77" s="1"/>
      <c r="AR77" s="87"/>
      <c r="AS77" s="398">
        <v>144.0</v>
      </c>
      <c r="AT77" s="439">
        <v>9.0</v>
      </c>
      <c r="AU77" s="399">
        <v>9.0</v>
      </c>
      <c r="AV77" s="440">
        <v>3145.0</v>
      </c>
      <c r="AW77" s="440">
        <v>1710.0</v>
      </c>
      <c r="AX77" s="1"/>
      <c r="AY77" s="142"/>
      <c r="AZ77" s="86" t="str">
        <f t="shared" ref="AZ77:BB77" si="244">AZ76</f>
        <v/>
      </c>
      <c r="BA77" s="86">
        <f t="shared" si="244"/>
        <v>1</v>
      </c>
      <c r="BB77" s="86">
        <f t="shared" si="244"/>
        <v>1</v>
      </c>
      <c r="BC77" s="86">
        <f t="shared" si="89"/>
        <v>0</v>
      </c>
      <c r="BD77" s="86">
        <f t="shared" si="90"/>
        <v>0</v>
      </c>
      <c r="BE77" s="86">
        <f t="shared" si="91"/>
        <v>0</v>
      </c>
      <c r="BF77" s="86">
        <f t="shared" si="92"/>
        <v>0</v>
      </c>
      <c r="BG77" s="1"/>
      <c r="BH77" s="1"/>
      <c r="BI77" s="1"/>
      <c r="BJ77" s="87"/>
      <c r="BK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87"/>
      <c r="CE77" s="156" t="s">
        <v>132</v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8"/>
      <c r="CT77" s="1"/>
      <c r="CU77" s="1"/>
      <c r="CV77" s="1"/>
      <c r="CW77" s="1"/>
      <c r="CX77" s="1"/>
      <c r="CY77" s="1"/>
      <c r="CZ77" s="87"/>
      <c r="DA77" s="1"/>
      <c r="DB77" s="1"/>
      <c r="DC77" s="1"/>
      <c r="DD77" s="1"/>
      <c r="DE77" s="1"/>
      <c r="DF77" s="1"/>
      <c r="DG77" s="1"/>
      <c r="DH77" s="1"/>
      <c r="DI77" s="341"/>
      <c r="DJ77" s="392">
        <v>164.0</v>
      </c>
      <c r="DK77" s="502">
        <v>11.0</v>
      </c>
      <c r="DL77" s="1" t="str">
        <f t="shared" si="70"/>
        <v/>
      </c>
      <c r="DM77" s="1">
        <f t="shared" si="66"/>
        <v>0</v>
      </c>
      <c r="DN77" s="1"/>
      <c r="DO77" s="1"/>
      <c r="DP77" s="1"/>
      <c r="DQ77" s="1"/>
      <c r="DR77" s="1"/>
      <c r="EU77" s="1"/>
      <c r="EV77" s="1"/>
      <c r="EW77" s="1"/>
      <c r="EX77" s="1"/>
      <c r="EZ77" s="1"/>
      <c r="FA77" s="1"/>
      <c r="FC77" s="1"/>
      <c r="FD77" s="87"/>
      <c r="FE77" s="1"/>
      <c r="FF77" s="142"/>
      <c r="FG77" s="342"/>
      <c r="FH77" s="1"/>
      <c r="FI77" s="342"/>
      <c r="FJ77" s="232"/>
      <c r="FK77" s="343"/>
      <c r="FL77" s="343"/>
      <c r="FM77" s="343"/>
      <c r="FN77" s="343"/>
      <c r="FO77" s="8"/>
      <c r="FP77" s="8"/>
      <c r="FQ77" s="8"/>
      <c r="FR77" s="343"/>
      <c r="FS77" s="343"/>
      <c r="FT77" s="8"/>
      <c r="FU77" s="87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</row>
    <row r="78" ht="12.75" customHeight="1">
      <c r="A78" s="525" t="s">
        <v>365</v>
      </c>
      <c r="B78" s="53"/>
      <c r="C78" s="526"/>
      <c r="D78" s="535" t="str">
        <f t="shared" ref="D78:D79" si="246">D116</f>
        <v/>
      </c>
      <c r="E78" s="53" t="s">
        <v>40</v>
      </c>
      <c r="F78" s="53"/>
      <c r="G78" s="404" t="s">
        <v>5</v>
      </c>
      <c r="H78" s="512"/>
      <c r="I78" s="1"/>
      <c r="J78" s="1"/>
      <c r="K78" s="1"/>
      <c r="L78" s="1"/>
      <c r="M78" s="1"/>
      <c r="N78" s="2"/>
      <c r="O78" s="1"/>
      <c r="P78" s="1"/>
      <c r="Q78" s="1"/>
      <c r="R78" s="7" t="str">
        <f>IF(E96&gt;0,CONCATENATE("Inside stock: ", D95),"")</f>
        <v/>
      </c>
      <c r="S78" s="63"/>
      <c r="T78" s="9"/>
      <c r="U78" s="87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8"/>
      <c r="AQ78" s="1"/>
      <c r="AR78" s="87"/>
      <c r="AS78" s="392">
        <v>148.0</v>
      </c>
      <c r="AT78" s="502">
        <v>10.0</v>
      </c>
      <c r="AU78" s="393">
        <v>9.25</v>
      </c>
      <c r="AV78" s="421">
        <v>3245.0</v>
      </c>
      <c r="AW78" s="421">
        <v>1760.0</v>
      </c>
      <c r="AX78" s="1"/>
      <c r="AY78" s="142"/>
      <c r="AZ78" s="86" t="str">
        <f t="shared" ref="AZ78:BB78" si="245">AZ77</f>
        <v/>
      </c>
      <c r="BA78" s="86">
        <f t="shared" si="245"/>
        <v>1</v>
      </c>
      <c r="BB78" s="86">
        <f t="shared" si="245"/>
        <v>1</v>
      </c>
      <c r="BC78" s="86">
        <f t="shared" si="89"/>
        <v>0</v>
      </c>
      <c r="BD78" s="86">
        <f t="shared" si="90"/>
        <v>0</v>
      </c>
      <c r="BE78" s="86">
        <f t="shared" si="91"/>
        <v>0</v>
      </c>
      <c r="BF78" s="86">
        <f t="shared" si="92"/>
        <v>0</v>
      </c>
      <c r="BG78" s="1"/>
      <c r="BH78" s="1"/>
      <c r="BI78" s="1"/>
      <c r="BJ78" s="87"/>
      <c r="BK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87"/>
      <c r="CE78" s="162" t="s">
        <v>133</v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8"/>
      <c r="CT78" s="1"/>
      <c r="CU78" s="1"/>
      <c r="CV78" s="1"/>
      <c r="CW78" s="1"/>
      <c r="CX78" s="1"/>
      <c r="CY78" s="1"/>
      <c r="CZ78" s="87"/>
      <c r="DA78" s="1"/>
      <c r="DB78" s="1"/>
      <c r="DC78" s="1"/>
      <c r="DD78" s="1"/>
      <c r="DE78" s="1"/>
      <c r="DF78" s="1"/>
      <c r="DG78" s="1"/>
      <c r="DH78" s="1"/>
      <c r="DI78" s="341"/>
      <c r="DJ78" s="398">
        <v>168.0</v>
      </c>
      <c r="DK78" s="439">
        <v>11.0</v>
      </c>
      <c r="DL78" s="1" t="str">
        <f t="shared" si="70"/>
        <v/>
      </c>
      <c r="DM78" s="1">
        <f t="shared" si="66"/>
        <v>0</v>
      </c>
      <c r="DN78" s="1"/>
      <c r="DO78" s="1"/>
      <c r="DP78" s="1"/>
      <c r="DQ78" s="1"/>
      <c r="DR78" s="1"/>
      <c r="EU78" s="1"/>
      <c r="EV78" s="1"/>
      <c r="EW78" s="1"/>
      <c r="EX78" s="1"/>
      <c r="EZ78" s="1"/>
      <c r="FA78" s="1"/>
      <c r="FC78" s="1"/>
      <c r="FD78" s="87"/>
      <c r="FE78" s="1"/>
      <c r="FF78" s="142"/>
      <c r="FG78" s="342"/>
      <c r="FH78" s="1"/>
      <c r="FI78" s="342"/>
      <c r="FJ78" s="232"/>
      <c r="FK78" s="343"/>
      <c r="FL78" s="343"/>
      <c r="FM78" s="343"/>
      <c r="FN78" s="343"/>
      <c r="FO78" s="8"/>
      <c r="FP78" s="8"/>
      <c r="FQ78" s="8"/>
      <c r="FR78" s="343"/>
      <c r="FS78" s="343"/>
      <c r="FT78" s="8"/>
      <c r="FU78" s="87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</row>
    <row r="79" ht="12.75" customHeight="1">
      <c r="A79" s="38" t="s">
        <v>366</v>
      </c>
      <c r="B79" s="8"/>
      <c r="C79" s="63"/>
      <c r="D79" s="444" t="str">
        <f t="shared" si="246"/>
        <v/>
      </c>
      <c r="E79" s="8">
        <f>IF(D56&gt;999,(D89/100)*CT65,CT65-((1-(D56/1000))*((D89/100)*CU65)))</f>
        <v>0</v>
      </c>
      <c r="F79" s="8"/>
      <c r="G79" s="359">
        <f>IF(D56&gt;999,((D90/100)*CU65),0)</f>
        <v>0</v>
      </c>
      <c r="H79" s="512"/>
      <c r="I79" s="1"/>
      <c r="J79" s="1"/>
      <c r="K79" s="1"/>
      <c r="L79" s="1"/>
      <c r="M79" s="1"/>
      <c r="N79" s="2"/>
      <c r="O79" s="1"/>
      <c r="P79" s="1"/>
      <c r="Q79" s="1"/>
      <c r="R79" s="7"/>
      <c r="S79" s="63"/>
      <c r="T79" s="9"/>
      <c r="U79" s="87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8"/>
      <c r="AQ79" s="1"/>
      <c r="AR79" s="87"/>
      <c r="AS79" s="398">
        <v>152.0</v>
      </c>
      <c r="AT79" s="439">
        <v>10.0</v>
      </c>
      <c r="AU79" s="399">
        <v>9.5</v>
      </c>
      <c r="AV79" s="440">
        <v>3335.0</v>
      </c>
      <c r="AW79" s="440">
        <v>1805.0</v>
      </c>
      <c r="AX79" s="1"/>
      <c r="AY79" s="142"/>
      <c r="AZ79" s="86" t="str">
        <f t="shared" ref="AZ79:BB79" si="247">AZ78</f>
        <v/>
      </c>
      <c r="BA79" s="86">
        <f t="shared" si="247"/>
        <v>1</v>
      </c>
      <c r="BB79" s="86">
        <f t="shared" si="247"/>
        <v>1</v>
      </c>
      <c r="BC79" s="86">
        <f t="shared" si="89"/>
        <v>0</v>
      </c>
      <c r="BD79" s="86">
        <f t="shared" si="90"/>
        <v>0</v>
      </c>
      <c r="BE79" s="86">
        <f t="shared" si="91"/>
        <v>0</v>
      </c>
      <c r="BF79" s="86">
        <f t="shared" si="92"/>
        <v>0</v>
      </c>
      <c r="BG79" s="1"/>
      <c r="BH79" s="1"/>
      <c r="BI79" s="1"/>
      <c r="BJ79" s="87"/>
      <c r="BK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87"/>
      <c r="CE79" s="156" t="s">
        <v>137</v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8"/>
      <c r="CT79" s="1"/>
      <c r="CU79" s="1"/>
      <c r="CV79" s="1"/>
      <c r="CW79" s="1"/>
      <c r="CX79" s="1"/>
      <c r="CY79" s="1"/>
      <c r="CZ79" s="87"/>
      <c r="DA79" s="1"/>
      <c r="DB79" s="1"/>
      <c r="DC79" s="1"/>
      <c r="DD79" s="1"/>
      <c r="DE79" s="1"/>
      <c r="DF79" s="1"/>
      <c r="DG79" s="1"/>
      <c r="DH79" s="1"/>
      <c r="DI79" s="341"/>
      <c r="DJ79" s="392">
        <v>172.0</v>
      </c>
      <c r="DK79" s="502">
        <v>12.0</v>
      </c>
      <c r="DL79" s="1" t="str">
        <f t="shared" si="70"/>
        <v/>
      </c>
      <c r="DM79" s="1">
        <f t="shared" si="66"/>
        <v>0</v>
      </c>
      <c r="DN79" s="1"/>
      <c r="DO79" s="1"/>
      <c r="DP79" s="1"/>
      <c r="DQ79" s="1"/>
      <c r="DR79" s="1"/>
      <c r="EU79" s="1"/>
      <c r="EV79" s="1"/>
      <c r="EW79" s="1"/>
      <c r="EX79" s="1"/>
      <c r="EZ79" s="1" t="s">
        <v>367</v>
      </c>
      <c r="FA79" s="1">
        <f>SUM(E96,E99,E100,E101,E93,E83,E82,E79,G74)</f>
        <v>0</v>
      </c>
      <c r="FC79" s="1"/>
      <c r="FD79" s="87"/>
      <c r="FE79" s="1"/>
      <c r="FF79" s="142"/>
      <c r="FG79" s="342"/>
      <c r="FH79" s="1"/>
      <c r="FI79" s="342"/>
      <c r="FJ79" s="232"/>
      <c r="FK79" s="343"/>
      <c r="FL79" s="343"/>
      <c r="FM79" s="343"/>
      <c r="FN79" s="343"/>
      <c r="FO79" s="8"/>
      <c r="FP79" s="8"/>
      <c r="FQ79" s="8"/>
      <c r="FR79" s="343"/>
      <c r="FS79" s="343"/>
      <c r="FT79" s="8"/>
      <c r="FU79" s="87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</row>
    <row r="80" ht="12.75" customHeight="1">
      <c r="A80" s="38"/>
      <c r="B80" s="8"/>
      <c r="C80" s="63"/>
      <c r="D80" s="8"/>
      <c r="E80" s="8"/>
      <c r="F80" s="8"/>
      <c r="G80" s="359"/>
      <c r="H80" s="512"/>
      <c r="I80" s="1"/>
      <c r="J80" s="1"/>
      <c r="K80" s="1"/>
      <c r="L80" s="1"/>
      <c r="M80" s="1"/>
      <c r="N80" s="2"/>
      <c r="O80" s="1"/>
      <c r="P80" s="1"/>
      <c r="Q80" s="1"/>
      <c r="R80" s="7" t="str">
        <f>IF(G74&gt;0,D74," ")</f>
        <v> </v>
      </c>
      <c r="S80" s="63"/>
      <c r="T80" s="9"/>
      <c r="U80" s="87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8"/>
      <c r="AQ80" s="1"/>
      <c r="AR80" s="87"/>
      <c r="AS80" s="392">
        <v>156.0</v>
      </c>
      <c r="AT80" s="502">
        <v>11.0</v>
      </c>
      <c r="AU80" s="393">
        <v>10.0</v>
      </c>
      <c r="AV80" s="421">
        <v>3415.0</v>
      </c>
      <c r="AW80" s="421">
        <v>1855.0</v>
      </c>
      <c r="AX80" s="1"/>
      <c r="AY80" s="142"/>
      <c r="AZ80" s="86" t="str">
        <f t="shared" ref="AZ80:BB80" si="248">AZ79</f>
        <v/>
      </c>
      <c r="BA80" s="86">
        <f t="shared" si="248"/>
        <v>1</v>
      </c>
      <c r="BB80" s="86">
        <f t="shared" si="248"/>
        <v>1</v>
      </c>
      <c r="BC80" s="86">
        <f t="shared" si="89"/>
        <v>0</v>
      </c>
      <c r="BD80" s="86">
        <f t="shared" si="90"/>
        <v>0</v>
      </c>
      <c r="BE80" s="86">
        <f t="shared" si="91"/>
        <v>0</v>
      </c>
      <c r="BF80" s="86">
        <f t="shared" si="92"/>
        <v>0</v>
      </c>
      <c r="BG80" s="1"/>
      <c r="BH80" s="1"/>
      <c r="BI80" s="1"/>
      <c r="BJ80" s="87"/>
      <c r="BK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87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8"/>
      <c r="CT80" s="1"/>
      <c r="CU80" s="1"/>
      <c r="CV80" s="1"/>
      <c r="CW80" s="1"/>
      <c r="CX80" s="1"/>
      <c r="CY80" s="1"/>
      <c r="CZ80" s="87"/>
      <c r="DA80" s="1"/>
      <c r="DB80" s="1"/>
      <c r="DC80" s="1"/>
      <c r="DD80" s="1"/>
      <c r="DE80" s="1"/>
      <c r="DF80" s="1"/>
      <c r="DG80" s="1"/>
      <c r="DH80" s="1"/>
      <c r="DI80" s="341"/>
      <c r="DJ80" s="398">
        <v>176.0</v>
      </c>
      <c r="DK80" s="439">
        <v>11.0</v>
      </c>
      <c r="DL80" s="1" t="str">
        <f t="shared" si="70"/>
        <v/>
      </c>
      <c r="DM80" s="1">
        <f t="shared" si="66"/>
        <v>0</v>
      </c>
      <c r="DN80" s="1"/>
      <c r="DO80" s="1"/>
      <c r="DP80" s="1"/>
      <c r="DQ80" s="1"/>
      <c r="DR80" s="1"/>
      <c r="EU80" s="1"/>
      <c r="EV80" s="1"/>
      <c r="EW80" s="1"/>
      <c r="EX80" s="1"/>
      <c r="EZ80" s="1"/>
      <c r="FA80" s="1"/>
      <c r="FC80" s="1"/>
      <c r="FD80" s="87"/>
      <c r="FE80" s="1"/>
      <c r="FF80" s="142"/>
      <c r="FG80" s="342"/>
      <c r="FH80" s="1"/>
      <c r="FI80" s="342"/>
      <c r="FJ80" s="232"/>
      <c r="FK80" s="343"/>
      <c r="FL80" s="343"/>
      <c r="FM80" s="343"/>
      <c r="FN80" s="343"/>
      <c r="FO80" s="8"/>
      <c r="FP80" s="8"/>
      <c r="FQ80" s="8"/>
      <c r="FR80" s="343"/>
      <c r="FS80" s="343"/>
      <c r="FT80" s="8"/>
      <c r="FU80" s="87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</row>
    <row r="81" ht="12.75" customHeight="1">
      <c r="A81" s="38"/>
      <c r="B81" s="8"/>
      <c r="C81" s="63"/>
      <c r="D81" s="8"/>
      <c r="E81" s="8"/>
      <c r="F81" s="8"/>
      <c r="G81" s="359"/>
      <c r="H81" s="512"/>
      <c r="I81" s="1"/>
      <c r="J81" s="1"/>
      <c r="K81" s="1"/>
      <c r="L81" s="1"/>
      <c r="M81" s="1"/>
      <c r="N81" s="2"/>
      <c r="O81" s="1"/>
      <c r="P81" s="1"/>
      <c r="Q81" s="1"/>
      <c r="R81" s="7" t="s">
        <v>40</v>
      </c>
      <c r="S81" s="63">
        <f>S59</f>
        <v>1000</v>
      </c>
      <c r="T81" s="57">
        <f>FA79</f>
        <v>0</v>
      </c>
      <c r="U81" s="87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8"/>
      <c r="AQ81" s="1"/>
      <c r="AR81" s="87"/>
      <c r="AS81" s="398">
        <v>160.0</v>
      </c>
      <c r="AT81" s="439">
        <v>10.0</v>
      </c>
      <c r="AU81" s="399">
        <v>10.0</v>
      </c>
      <c r="AV81" s="440">
        <v>3485.0</v>
      </c>
      <c r="AW81" s="440">
        <v>1900.0</v>
      </c>
      <c r="AX81" s="1"/>
      <c r="AY81" s="142"/>
      <c r="AZ81" s="86" t="str">
        <f t="shared" ref="AZ81:BB81" si="249">AZ80</f>
        <v/>
      </c>
      <c r="BA81" s="86">
        <f t="shared" si="249"/>
        <v>1</v>
      </c>
      <c r="BB81" s="86">
        <f t="shared" si="249"/>
        <v>1</v>
      </c>
      <c r="BC81" s="86">
        <f t="shared" si="89"/>
        <v>0</v>
      </c>
      <c r="BD81" s="86">
        <f t="shared" si="90"/>
        <v>0</v>
      </c>
      <c r="BE81" s="86">
        <f t="shared" si="91"/>
        <v>0</v>
      </c>
      <c r="BF81" s="86">
        <f t="shared" si="92"/>
        <v>0</v>
      </c>
      <c r="BG81" s="1"/>
      <c r="BH81" s="1"/>
      <c r="BI81" s="1"/>
      <c r="BJ81" s="87"/>
      <c r="BK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87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8"/>
      <c r="CT81" s="1"/>
      <c r="CU81" s="1"/>
      <c r="CV81" s="1"/>
      <c r="CW81" s="1"/>
      <c r="CX81" s="1"/>
      <c r="CY81" s="1"/>
      <c r="CZ81" s="87"/>
      <c r="DA81" s="1"/>
      <c r="DB81" s="1"/>
      <c r="DC81" s="1"/>
      <c r="DD81" s="1"/>
      <c r="DE81" s="1"/>
      <c r="DF81" s="1"/>
      <c r="DG81" s="1"/>
      <c r="DH81" s="1"/>
      <c r="DI81" s="341"/>
      <c r="DJ81" s="392">
        <v>180.0</v>
      </c>
      <c r="DK81" s="502">
        <v>12.0</v>
      </c>
      <c r="DL81" s="1" t="str">
        <f t="shared" si="70"/>
        <v/>
      </c>
      <c r="DM81" s="1">
        <f t="shared" si="66"/>
        <v>0</v>
      </c>
      <c r="DN81" s="1"/>
      <c r="DO81" s="1"/>
      <c r="DP81" s="1"/>
      <c r="DQ81" s="1"/>
      <c r="DR81" s="1"/>
      <c r="EU81" s="1"/>
      <c r="EV81" s="1"/>
      <c r="EW81" s="1"/>
      <c r="EX81" s="1"/>
      <c r="EZ81" s="1" t="s">
        <v>139</v>
      </c>
      <c r="FA81" s="1">
        <f>SUM(G96,G93,G83,G82,G79,G75,G99,G100,G101)</f>
        <v>0</v>
      </c>
      <c r="FC81" s="1"/>
      <c r="FD81" s="87"/>
      <c r="FE81" s="1"/>
      <c r="FF81" s="142"/>
      <c r="FG81" s="342"/>
      <c r="FH81" s="1"/>
      <c r="FI81" s="342"/>
      <c r="FJ81" s="232"/>
      <c r="FK81" s="343"/>
      <c r="FL81" s="343"/>
      <c r="FM81" s="343"/>
      <c r="FN81" s="343"/>
      <c r="FO81" s="8"/>
      <c r="FP81" s="8"/>
      <c r="FQ81" s="8"/>
      <c r="FR81" s="343"/>
      <c r="FS81" s="343"/>
      <c r="FT81" s="8"/>
      <c r="FU81" s="87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</row>
    <row r="82" ht="12.75" customHeight="1">
      <c r="A82" s="38" t="s">
        <v>368</v>
      </c>
      <c r="B82" s="8"/>
      <c r="C82" s="63"/>
      <c r="D82" s="536" t="str">
        <f t="shared" ref="D82:D83" si="251">D120</f>
        <v/>
      </c>
      <c r="E82" s="8">
        <f>IF(D56&gt;999,BC92,(BC93))</f>
        <v>0</v>
      </c>
      <c r="F82" s="8"/>
      <c r="G82" s="359">
        <f>IF(D56&gt;999,(BD92),0)</f>
        <v>0</v>
      </c>
      <c r="H82" s="512"/>
      <c r="I82" s="1"/>
      <c r="J82" s="1"/>
      <c r="K82" s="1"/>
      <c r="L82" s="1"/>
      <c r="M82" s="1"/>
      <c r="N82" s="2"/>
      <c r="O82" s="1"/>
      <c r="P82" s="1"/>
      <c r="Q82" s="1"/>
      <c r="R82" s="7"/>
      <c r="S82" s="63"/>
      <c r="T82" s="57"/>
      <c r="U82" s="87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8"/>
      <c r="AQ82" s="1"/>
      <c r="AR82" s="87"/>
      <c r="AS82" s="392">
        <v>164.0</v>
      </c>
      <c r="AT82" s="502">
        <v>11.0</v>
      </c>
      <c r="AU82" s="393">
        <v>10.25</v>
      </c>
      <c r="AV82" s="421">
        <v>3585.0</v>
      </c>
      <c r="AW82" s="421">
        <v>1950.0</v>
      </c>
      <c r="AX82" s="1"/>
      <c r="AY82" s="142"/>
      <c r="AZ82" s="86" t="str">
        <f t="shared" ref="AZ82:BB82" si="250">AZ81</f>
        <v/>
      </c>
      <c r="BA82" s="86">
        <f t="shared" si="250"/>
        <v>1</v>
      </c>
      <c r="BB82" s="86">
        <f t="shared" si="250"/>
        <v>1</v>
      </c>
      <c r="BC82" s="86">
        <f t="shared" si="89"/>
        <v>0</v>
      </c>
      <c r="BD82" s="86">
        <f t="shared" si="90"/>
        <v>0</v>
      </c>
      <c r="BE82" s="86">
        <f t="shared" si="91"/>
        <v>0</v>
      </c>
      <c r="BF82" s="86">
        <f t="shared" si="92"/>
        <v>0</v>
      </c>
      <c r="BG82" s="1"/>
      <c r="BH82" s="1"/>
      <c r="BI82" s="1"/>
      <c r="BJ82" s="87"/>
      <c r="BK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87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8"/>
      <c r="CT82" s="1"/>
      <c r="CU82" s="1"/>
      <c r="CV82" s="1"/>
      <c r="CW82" s="1"/>
      <c r="CX82" s="1"/>
      <c r="CY82" s="1"/>
      <c r="CZ82" s="87"/>
      <c r="DA82" s="1"/>
      <c r="DB82" s="1"/>
      <c r="DC82" s="1"/>
      <c r="DD82" s="1"/>
      <c r="DE82" s="1"/>
      <c r="DF82" s="1"/>
      <c r="DG82" s="1"/>
      <c r="DH82" s="1"/>
      <c r="DI82" s="341"/>
      <c r="DJ82" s="398">
        <v>184.0</v>
      </c>
      <c r="DK82" s="439">
        <v>12.0</v>
      </c>
      <c r="DL82" s="1" t="str">
        <f t="shared" si="70"/>
        <v/>
      </c>
      <c r="DM82" s="1">
        <f t="shared" si="66"/>
        <v>0</v>
      </c>
      <c r="DN82" s="1"/>
      <c r="DO82" s="1"/>
      <c r="DP82" s="1"/>
      <c r="DQ82" s="1"/>
      <c r="DR82" s="1"/>
      <c r="EU82" s="1"/>
      <c r="EV82" s="1"/>
      <c r="EW82" s="1"/>
      <c r="EX82" s="1"/>
      <c r="EZ82" s="1"/>
      <c r="FA82" s="1"/>
      <c r="FC82" s="1"/>
      <c r="FD82" s="87"/>
      <c r="FE82" s="1"/>
      <c r="FF82" s="142"/>
      <c r="FG82" s="342"/>
      <c r="FH82" s="1"/>
      <c r="FI82" s="342"/>
      <c r="FJ82" s="232"/>
      <c r="FK82" s="343"/>
      <c r="FL82" s="343"/>
      <c r="FM82" s="343"/>
      <c r="FN82" s="343"/>
      <c r="FO82" s="8"/>
      <c r="FP82" s="8"/>
      <c r="FQ82" s="8"/>
      <c r="FR82" s="343"/>
      <c r="FS82" s="343"/>
      <c r="FT82" s="8"/>
      <c r="FU82" s="87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</row>
    <row r="83" ht="12.75" customHeight="1">
      <c r="A83" s="38" t="s">
        <v>369</v>
      </c>
      <c r="B83" s="8"/>
      <c r="C83" s="63"/>
      <c r="D83" s="444" t="str">
        <f t="shared" si="251"/>
        <v/>
      </c>
      <c r="E83" s="8">
        <f>IF(D56&gt;999,BX72,BX73)</f>
        <v>0</v>
      </c>
      <c r="F83" s="8"/>
      <c r="G83" s="359">
        <f>IF(D56&gt;999,(BY72),0)</f>
        <v>0</v>
      </c>
      <c r="H83" s="512"/>
      <c r="I83" s="1"/>
      <c r="J83" s="1"/>
      <c r="K83" s="1"/>
      <c r="L83" s="1"/>
      <c r="M83" s="1"/>
      <c r="N83" s="2"/>
      <c r="O83" s="1"/>
      <c r="P83" s="1"/>
      <c r="Q83" s="1"/>
      <c r="R83" s="7" t="s">
        <v>5</v>
      </c>
      <c r="S83" s="484">
        <f>S61</f>
        <v>0</v>
      </c>
      <c r="T83" s="57" t="str">
        <f>IF(D56&lt;2000,IF(D56&lt;1001,"",FA81*((D56/1000)-1)),FA81)</f>
        <v/>
      </c>
      <c r="U83" s="87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8"/>
      <c r="AQ83" s="1"/>
      <c r="AR83" s="87"/>
      <c r="AS83" s="398">
        <v>168.0</v>
      </c>
      <c r="AT83" s="439">
        <v>11.0</v>
      </c>
      <c r="AU83" s="399">
        <v>10.5</v>
      </c>
      <c r="AV83" s="440">
        <v>3675.0</v>
      </c>
      <c r="AW83" s="440">
        <v>1995.0</v>
      </c>
      <c r="AX83" s="1"/>
      <c r="AY83" s="142"/>
      <c r="AZ83" s="86" t="str">
        <f t="shared" ref="AZ83:BB83" si="252">AZ82</f>
        <v/>
      </c>
      <c r="BA83" s="86">
        <f t="shared" si="252"/>
        <v>1</v>
      </c>
      <c r="BB83" s="86">
        <f t="shared" si="252"/>
        <v>1</v>
      </c>
      <c r="BC83" s="86">
        <f t="shared" si="89"/>
        <v>0</v>
      </c>
      <c r="BD83" s="86">
        <f t="shared" si="90"/>
        <v>0</v>
      </c>
      <c r="BE83" s="86">
        <f t="shared" si="91"/>
        <v>0</v>
      </c>
      <c r="BF83" s="86">
        <f t="shared" si="92"/>
        <v>0</v>
      </c>
      <c r="BG83" s="1"/>
      <c r="BH83" s="1"/>
      <c r="BI83" s="1"/>
      <c r="BJ83" s="87"/>
      <c r="BK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87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8"/>
      <c r="CT83" s="1"/>
      <c r="CU83" s="1"/>
      <c r="CV83" s="1"/>
      <c r="CW83" s="1"/>
      <c r="CX83" s="1"/>
      <c r="CY83" s="1"/>
      <c r="CZ83" s="87"/>
      <c r="DA83" s="1"/>
      <c r="DB83" s="1"/>
      <c r="DC83" s="1"/>
      <c r="DD83" s="1"/>
      <c r="DE83" s="1"/>
      <c r="DF83" s="1"/>
      <c r="DG83" s="1"/>
      <c r="DH83" s="1"/>
      <c r="DI83" s="341"/>
      <c r="DJ83" s="392">
        <v>188.0</v>
      </c>
      <c r="DK83" s="502">
        <v>13.0</v>
      </c>
      <c r="DL83" s="1" t="str">
        <f t="shared" si="70"/>
        <v/>
      </c>
      <c r="DM83" s="1">
        <f t="shared" si="66"/>
        <v>0</v>
      </c>
      <c r="DN83" s="1"/>
      <c r="DO83" s="1"/>
      <c r="DP83" s="1"/>
      <c r="DQ83" s="1"/>
      <c r="DR83" s="1"/>
      <c r="EU83" s="1"/>
      <c r="EV83" s="1"/>
      <c r="EW83" s="1"/>
      <c r="EX83" s="1"/>
      <c r="EZ83" s="1"/>
      <c r="FA83" s="1"/>
      <c r="FC83" s="1"/>
      <c r="FD83" s="87"/>
      <c r="FE83" s="1"/>
      <c r="FF83" s="142"/>
      <c r="FG83" s="342"/>
      <c r="FH83" s="1"/>
      <c r="FI83" s="342"/>
      <c r="FJ83" s="232"/>
      <c r="FK83" s="343"/>
      <c r="FL83" s="343"/>
      <c r="FM83" s="343"/>
      <c r="FN83" s="343"/>
      <c r="FO83" s="8"/>
      <c r="FP83" s="8"/>
      <c r="FQ83" s="8"/>
      <c r="FR83" s="343"/>
      <c r="FS83" s="343"/>
      <c r="FT83" s="8"/>
      <c r="FU83" s="87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</row>
    <row r="84" ht="12.75" customHeight="1">
      <c r="A84" s="38"/>
      <c r="B84" s="8"/>
      <c r="C84" s="63"/>
      <c r="D84" s="8"/>
      <c r="E84" s="8"/>
      <c r="F84" s="8"/>
      <c r="G84" s="359"/>
      <c r="H84" s="512"/>
      <c r="I84" s="1"/>
      <c r="J84" s="1"/>
      <c r="K84" s="1"/>
      <c r="L84" s="1"/>
      <c r="M84" s="1"/>
      <c r="N84" s="2"/>
      <c r="O84" s="1"/>
      <c r="P84" s="1"/>
      <c r="Q84" s="1"/>
      <c r="R84" s="7"/>
      <c r="S84" s="63"/>
      <c r="T84" s="537"/>
      <c r="U84" s="87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8"/>
      <c r="AQ84" s="1"/>
      <c r="AR84" s="87"/>
      <c r="AS84" s="392">
        <v>172.0</v>
      </c>
      <c r="AT84" s="502">
        <v>12.0</v>
      </c>
      <c r="AU84" s="393">
        <v>11.0</v>
      </c>
      <c r="AV84" s="421">
        <v>3755.0</v>
      </c>
      <c r="AW84" s="421">
        <v>2045.0</v>
      </c>
      <c r="AX84" s="1"/>
      <c r="AY84" s="142"/>
      <c r="AZ84" s="86" t="str">
        <f t="shared" ref="AZ84:BB84" si="253">AZ83</f>
        <v/>
      </c>
      <c r="BA84" s="86">
        <f t="shared" si="253"/>
        <v>1</v>
      </c>
      <c r="BB84" s="86">
        <f t="shared" si="253"/>
        <v>1</v>
      </c>
      <c r="BC84" s="86">
        <f t="shared" si="89"/>
        <v>0</v>
      </c>
      <c r="BD84" s="86">
        <f t="shared" si="90"/>
        <v>0</v>
      </c>
      <c r="BE84" s="86">
        <f t="shared" si="91"/>
        <v>0</v>
      </c>
      <c r="BF84" s="86">
        <f t="shared" si="92"/>
        <v>0</v>
      </c>
      <c r="BG84" s="1"/>
      <c r="BH84" s="1"/>
      <c r="BI84" s="1"/>
      <c r="BJ84" s="87"/>
      <c r="BK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87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8"/>
      <c r="CT84" s="1"/>
      <c r="CU84" s="1"/>
      <c r="CV84" s="1"/>
      <c r="CW84" s="1"/>
      <c r="CX84" s="1"/>
      <c r="CY84" s="1"/>
      <c r="CZ84" s="87"/>
      <c r="DA84" s="1"/>
      <c r="DB84" s="1"/>
      <c r="DC84" s="1"/>
      <c r="DD84" s="1"/>
      <c r="DE84" s="1"/>
      <c r="DF84" s="1"/>
      <c r="DG84" s="1"/>
      <c r="DH84" s="1"/>
      <c r="DI84" s="341"/>
      <c r="DJ84" s="398">
        <v>192.0</v>
      </c>
      <c r="DK84" s="439">
        <v>12.0</v>
      </c>
      <c r="DL84" s="1" t="str">
        <f t="shared" si="70"/>
        <v/>
      </c>
      <c r="DM84" s="1">
        <f t="shared" si="66"/>
        <v>0</v>
      </c>
      <c r="DN84" s="1"/>
      <c r="DO84" s="1"/>
      <c r="DP84" s="1"/>
      <c r="DQ84" s="1"/>
      <c r="DR84" s="1"/>
      <c r="EU84" s="1"/>
      <c r="EV84" s="1"/>
      <c r="EW84" s="1"/>
      <c r="EX84" s="1"/>
      <c r="EZ84" s="1"/>
      <c r="FA84" s="1"/>
      <c r="FC84" s="1"/>
      <c r="FD84" s="87"/>
      <c r="FE84" s="1"/>
      <c r="FF84" s="142"/>
      <c r="FG84" s="342"/>
      <c r="FH84" s="1"/>
      <c r="FI84" s="342"/>
      <c r="FJ84" s="232"/>
      <c r="FK84" s="343"/>
      <c r="FL84" s="343"/>
      <c r="FM84" s="343"/>
      <c r="FN84" s="343"/>
      <c r="FO84" s="8"/>
      <c r="FP84" s="8"/>
      <c r="FQ84" s="8"/>
      <c r="FR84" s="343"/>
      <c r="FS84" s="343"/>
      <c r="FT84" s="8"/>
      <c r="FU84" s="87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</row>
    <row r="85" ht="12.75" customHeight="1">
      <c r="A85" s="38"/>
      <c r="B85" s="8"/>
      <c r="C85" s="63"/>
      <c r="D85" s="8"/>
      <c r="E85" s="8"/>
      <c r="F85" s="8"/>
      <c r="G85" s="359"/>
      <c r="H85" s="512"/>
      <c r="I85" s="1"/>
      <c r="J85" s="1"/>
      <c r="K85" s="1"/>
      <c r="L85" s="1"/>
      <c r="M85" s="1"/>
      <c r="N85" s="2"/>
      <c r="O85" s="1"/>
      <c r="P85" s="1"/>
      <c r="Q85" s="1"/>
      <c r="R85" s="7"/>
      <c r="S85" s="63"/>
      <c r="T85" s="537"/>
      <c r="U85" s="87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8"/>
      <c r="AQ85" s="1"/>
      <c r="AR85" s="87"/>
      <c r="AS85" s="398">
        <v>176.0</v>
      </c>
      <c r="AT85" s="439">
        <v>11.0</v>
      </c>
      <c r="AU85" s="399">
        <v>11.0</v>
      </c>
      <c r="AV85" s="440">
        <v>3825.0</v>
      </c>
      <c r="AW85" s="440">
        <v>2090.0</v>
      </c>
      <c r="AX85" s="1"/>
      <c r="AY85" s="142"/>
      <c r="AZ85" s="86" t="str">
        <f t="shared" ref="AZ85:BB85" si="254">AZ84</f>
        <v/>
      </c>
      <c r="BA85" s="86">
        <f t="shared" si="254"/>
        <v>1</v>
      </c>
      <c r="BB85" s="86">
        <f t="shared" si="254"/>
        <v>1</v>
      </c>
      <c r="BC85" s="86">
        <f t="shared" si="89"/>
        <v>0</v>
      </c>
      <c r="BD85" s="86">
        <f t="shared" si="90"/>
        <v>0</v>
      </c>
      <c r="BE85" s="86">
        <f t="shared" si="91"/>
        <v>0</v>
      </c>
      <c r="BF85" s="86">
        <f t="shared" si="92"/>
        <v>0</v>
      </c>
      <c r="BG85" s="1"/>
      <c r="BH85" s="1"/>
      <c r="BI85" s="1"/>
      <c r="BJ85" s="87"/>
      <c r="BK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87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8"/>
      <c r="CT85" s="1"/>
      <c r="CU85" s="1"/>
      <c r="CV85" s="1"/>
      <c r="CW85" s="1"/>
      <c r="CX85" s="1"/>
      <c r="CY85" s="1"/>
      <c r="CZ85" s="87"/>
      <c r="DA85" s="1"/>
      <c r="DB85" s="1"/>
      <c r="DC85" s="1"/>
      <c r="DD85" s="1"/>
      <c r="DE85" s="1"/>
      <c r="DF85" s="1"/>
      <c r="DG85" s="1"/>
      <c r="DH85" s="1"/>
      <c r="DI85" s="341"/>
      <c r="DJ85" s="392">
        <v>196.0</v>
      </c>
      <c r="DK85" s="502">
        <v>13.0</v>
      </c>
      <c r="DL85" s="1" t="str">
        <f t="shared" si="70"/>
        <v/>
      </c>
      <c r="DM85" s="1">
        <f t="shared" si="66"/>
        <v>0</v>
      </c>
      <c r="DN85" s="1"/>
      <c r="DO85" s="1"/>
      <c r="DP85" s="1"/>
      <c r="DQ85" s="1"/>
      <c r="DR85" s="1"/>
      <c r="EU85" s="1"/>
      <c r="EV85" s="1"/>
      <c r="EW85" s="1"/>
      <c r="EX85" s="1"/>
      <c r="EZ85" s="1"/>
      <c r="FA85" s="1"/>
      <c r="FC85" s="1"/>
      <c r="FD85" s="87"/>
      <c r="FE85" s="1"/>
      <c r="FF85" s="142"/>
      <c r="FG85" s="342"/>
      <c r="FH85" s="1"/>
      <c r="FI85" s="342"/>
      <c r="FJ85" s="232"/>
      <c r="FK85" s="343"/>
      <c r="FL85" s="343"/>
      <c r="FM85" s="343"/>
      <c r="FN85" s="343"/>
      <c r="FO85" s="8"/>
      <c r="FP85" s="8"/>
      <c r="FQ85" s="8"/>
      <c r="FR85" s="343"/>
      <c r="FS85" s="343"/>
      <c r="FT85" s="8"/>
      <c r="FU85" s="87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</row>
    <row r="86" ht="12.75" customHeight="1">
      <c r="A86" s="38"/>
      <c r="B86" s="8"/>
      <c r="C86" s="63"/>
      <c r="D86" s="8"/>
      <c r="E86" s="8"/>
      <c r="F86" s="8"/>
      <c r="G86" s="359"/>
      <c r="H86" s="512"/>
      <c r="I86" s="1"/>
      <c r="J86" s="1"/>
      <c r="K86" s="1"/>
      <c r="L86" s="1"/>
      <c r="M86" s="1"/>
      <c r="N86" s="2"/>
      <c r="O86" s="1"/>
      <c r="P86" s="1"/>
      <c r="Q86" s="1"/>
      <c r="R86" s="7"/>
      <c r="S86" s="63"/>
      <c r="T86" s="537"/>
      <c r="U86" s="87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8"/>
      <c r="AQ86" s="1"/>
      <c r="AR86" s="87"/>
      <c r="AS86" s="392">
        <v>180.0</v>
      </c>
      <c r="AT86" s="502">
        <v>12.0</v>
      </c>
      <c r="AU86" s="393">
        <v>11.25</v>
      </c>
      <c r="AV86" s="421">
        <v>3925.0</v>
      </c>
      <c r="AW86" s="421">
        <v>2140.0</v>
      </c>
      <c r="AX86" s="1"/>
      <c r="AY86" s="142"/>
      <c r="AZ86" s="86" t="str">
        <f t="shared" ref="AZ86:BB86" si="255">AZ85</f>
        <v/>
      </c>
      <c r="BA86" s="86">
        <f t="shared" si="255"/>
        <v>1</v>
      </c>
      <c r="BB86" s="86">
        <f t="shared" si="255"/>
        <v>1</v>
      </c>
      <c r="BC86" s="86">
        <f t="shared" si="89"/>
        <v>0</v>
      </c>
      <c r="BD86" s="86">
        <f t="shared" si="90"/>
        <v>0</v>
      </c>
      <c r="BE86" s="86">
        <f t="shared" si="91"/>
        <v>0</v>
      </c>
      <c r="BF86" s="86">
        <f t="shared" si="92"/>
        <v>0</v>
      </c>
      <c r="BG86" s="1"/>
      <c r="BH86" s="1"/>
      <c r="BI86" s="1"/>
      <c r="BJ86" s="87"/>
      <c r="BK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87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8"/>
      <c r="CT86" s="1"/>
      <c r="CU86" s="1"/>
      <c r="CV86" s="1"/>
      <c r="CW86" s="1"/>
      <c r="CX86" s="1"/>
      <c r="CY86" s="1"/>
      <c r="CZ86" s="87"/>
      <c r="DA86" s="1"/>
      <c r="DB86" s="1"/>
      <c r="DC86" s="1"/>
      <c r="DD86" s="1"/>
      <c r="DE86" s="1"/>
      <c r="DF86" s="1"/>
      <c r="DG86" s="1"/>
      <c r="DH86" s="1"/>
      <c r="DI86" s="341"/>
      <c r="DJ86" s="538">
        <v>200.0</v>
      </c>
      <c r="DK86" s="539">
        <v>13.0</v>
      </c>
      <c r="DL86" s="1" t="str">
        <f t="shared" si="70"/>
        <v/>
      </c>
      <c r="DM86" s="1">
        <f t="shared" si="66"/>
        <v>0</v>
      </c>
      <c r="DN86" s="1"/>
      <c r="DO86" s="1"/>
      <c r="DP86" s="1"/>
      <c r="DQ86" s="1"/>
      <c r="DR86" s="1"/>
      <c r="EU86" s="1"/>
      <c r="EV86" s="1"/>
      <c r="EW86" s="1"/>
      <c r="EX86" s="1"/>
      <c r="EZ86" s="1"/>
      <c r="FA86" s="1"/>
      <c r="FC86" s="1"/>
      <c r="FD86" s="87"/>
      <c r="FE86" s="1"/>
      <c r="FF86" s="142"/>
      <c r="FG86" s="342"/>
      <c r="FH86" s="1"/>
      <c r="FI86" s="342"/>
      <c r="FJ86" s="232"/>
      <c r="FK86" s="343"/>
      <c r="FL86" s="343"/>
      <c r="FM86" s="343"/>
      <c r="FN86" s="343"/>
      <c r="FO86" s="8"/>
      <c r="FP86" s="8"/>
      <c r="FQ86" s="8"/>
      <c r="FR86" s="343"/>
      <c r="FS86" s="343"/>
      <c r="FT86" s="8"/>
      <c r="FU86" s="87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</row>
    <row r="87" ht="12.75" customHeight="1">
      <c r="A87" s="38"/>
      <c r="B87" s="8"/>
      <c r="C87" s="63"/>
      <c r="D87" s="8"/>
      <c r="E87" s="8"/>
      <c r="F87" s="8"/>
      <c r="G87" s="359"/>
      <c r="H87" s="512"/>
      <c r="I87" s="1"/>
      <c r="J87" s="1"/>
      <c r="K87" s="1"/>
      <c r="L87" s="1"/>
      <c r="M87" s="1"/>
      <c r="N87" s="1"/>
      <c r="O87" s="1"/>
      <c r="P87" s="1"/>
      <c r="Q87" s="1"/>
      <c r="R87" s="540" t="s">
        <v>5</v>
      </c>
      <c r="S87" s="541" t="str">
        <f>IF(D56&gt;2000,(D56-1000)," ")</f>
        <v> </v>
      </c>
      <c r="T87" s="542" t="str">
        <f>IF(D56&gt;2000,FA81*((D56/1000)-1),"")</f>
        <v/>
      </c>
      <c r="U87" s="87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8"/>
      <c r="AQ87" s="1"/>
      <c r="AR87" s="87"/>
      <c r="AS87" s="398">
        <v>184.0</v>
      </c>
      <c r="AT87" s="439">
        <v>12.0</v>
      </c>
      <c r="AU87" s="399">
        <v>11.5</v>
      </c>
      <c r="AV87" s="440">
        <v>4015.0</v>
      </c>
      <c r="AW87" s="440">
        <v>2185.0</v>
      </c>
      <c r="AX87" s="1"/>
      <c r="AY87" s="142"/>
      <c r="AZ87" s="86" t="str">
        <f t="shared" ref="AZ87:BB87" si="256">AZ86</f>
        <v/>
      </c>
      <c r="BA87" s="86">
        <f t="shared" si="256"/>
        <v>1</v>
      </c>
      <c r="BB87" s="86">
        <f t="shared" si="256"/>
        <v>1</v>
      </c>
      <c r="BC87" s="86">
        <f t="shared" si="89"/>
        <v>0</v>
      </c>
      <c r="BD87" s="86">
        <f t="shared" si="90"/>
        <v>0</v>
      </c>
      <c r="BE87" s="86">
        <f t="shared" si="91"/>
        <v>0</v>
      </c>
      <c r="BF87" s="86">
        <f t="shared" si="92"/>
        <v>0</v>
      </c>
      <c r="BG87" s="1"/>
      <c r="BH87" s="1"/>
      <c r="BI87" s="1"/>
      <c r="BJ87" s="87"/>
      <c r="BK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87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8"/>
      <c r="CT87" s="1"/>
      <c r="CU87" s="1"/>
      <c r="CV87" s="1"/>
      <c r="CW87" s="1"/>
      <c r="CX87" s="1"/>
      <c r="CY87" s="1"/>
      <c r="CZ87" s="87"/>
      <c r="DA87" s="1"/>
      <c r="DB87" s="1"/>
      <c r="DC87" s="1"/>
      <c r="DD87" s="1"/>
      <c r="DE87" s="1"/>
      <c r="DF87" s="1"/>
      <c r="DG87" s="1"/>
      <c r="DH87" s="1"/>
      <c r="DI87" s="341"/>
      <c r="DJ87" s="1"/>
      <c r="DK87" s="1"/>
      <c r="DL87" s="1"/>
      <c r="DM87" s="1">
        <f>SUM(DM40:DM86)</f>
        <v>0</v>
      </c>
      <c r="DN87" s="1"/>
      <c r="DO87" s="1"/>
      <c r="DP87" s="1"/>
      <c r="DQ87" s="1"/>
      <c r="DR87" s="1"/>
      <c r="EU87" s="1"/>
      <c r="EV87" s="1"/>
      <c r="EW87" s="1"/>
      <c r="EX87" s="1"/>
      <c r="EZ87" s="1"/>
      <c r="FA87" s="1"/>
      <c r="FC87" s="1"/>
      <c r="FD87" s="87"/>
      <c r="FE87" s="1"/>
      <c r="FF87" s="142"/>
      <c r="FG87" s="342"/>
      <c r="FH87" s="1"/>
      <c r="FI87" s="342"/>
      <c r="FJ87" s="232"/>
      <c r="FK87" s="343"/>
      <c r="FL87" s="343"/>
      <c r="FM87" s="343"/>
      <c r="FN87" s="343"/>
      <c r="FO87" s="8"/>
      <c r="FP87" s="8"/>
      <c r="FQ87" s="8"/>
      <c r="FR87" s="343"/>
      <c r="FS87" s="343"/>
      <c r="FT87" s="8"/>
      <c r="FU87" s="87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</row>
    <row r="88" ht="12.75" customHeight="1">
      <c r="A88" s="38" t="s">
        <v>370</v>
      </c>
      <c r="B88" s="8"/>
      <c r="C88" s="63"/>
      <c r="D88" s="8"/>
      <c r="E88" s="8"/>
      <c r="F88" s="8"/>
      <c r="G88" s="359"/>
      <c r="H88" s="512"/>
      <c r="I88" s="1"/>
      <c r="J88" s="1"/>
      <c r="K88" s="1"/>
      <c r="L88" s="1"/>
      <c r="M88" s="1"/>
      <c r="N88" s="1"/>
      <c r="O88" s="1"/>
      <c r="P88" s="1"/>
      <c r="Q88" s="1"/>
      <c r="R88" s="7"/>
      <c r="S88" s="63"/>
      <c r="T88" s="57"/>
      <c r="U88" s="87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8"/>
      <c r="AQ88" s="1"/>
      <c r="AR88" s="87"/>
      <c r="AS88" s="392">
        <v>188.0</v>
      </c>
      <c r="AT88" s="502">
        <v>13.0</v>
      </c>
      <c r="AU88" s="393">
        <v>12.0</v>
      </c>
      <c r="AV88" s="421">
        <v>4095.0</v>
      </c>
      <c r="AW88" s="421">
        <v>2235.0</v>
      </c>
      <c r="AX88" s="1"/>
      <c r="AY88" s="142"/>
      <c r="AZ88" s="86" t="str">
        <f t="shared" ref="AZ88:BB88" si="257">AZ87</f>
        <v/>
      </c>
      <c r="BA88" s="86">
        <f t="shared" si="257"/>
        <v>1</v>
      </c>
      <c r="BB88" s="86">
        <f t="shared" si="257"/>
        <v>1</v>
      </c>
      <c r="BC88" s="86">
        <f t="shared" si="89"/>
        <v>0</v>
      </c>
      <c r="BD88" s="86">
        <f t="shared" si="90"/>
        <v>0</v>
      </c>
      <c r="BE88" s="86">
        <f t="shared" si="91"/>
        <v>0</v>
      </c>
      <c r="BF88" s="86">
        <f t="shared" si="92"/>
        <v>0</v>
      </c>
      <c r="BG88" s="1"/>
      <c r="BH88" s="1"/>
      <c r="BI88" s="1"/>
      <c r="BJ88" s="87"/>
      <c r="BK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87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8"/>
      <c r="CT88" s="1"/>
      <c r="CU88" s="1"/>
      <c r="CV88" s="1"/>
      <c r="CW88" s="1"/>
      <c r="CX88" s="1"/>
      <c r="CY88" s="1"/>
      <c r="CZ88" s="87"/>
      <c r="DA88" s="1"/>
      <c r="DB88" s="1"/>
      <c r="DC88" s="1"/>
      <c r="DD88" s="1"/>
      <c r="DE88" s="1"/>
      <c r="DF88" s="1"/>
      <c r="DG88" s="1"/>
      <c r="DH88" s="1"/>
      <c r="DI88" s="341"/>
      <c r="DJ88" s="1"/>
      <c r="DK88" s="1"/>
      <c r="DL88" s="1"/>
      <c r="DM88" s="1"/>
      <c r="DN88" s="1"/>
      <c r="DO88" s="1"/>
      <c r="DP88" s="1"/>
      <c r="DQ88" s="1"/>
      <c r="DR88" s="1"/>
      <c r="EU88" s="1"/>
      <c r="EV88" s="1"/>
      <c r="EW88" s="1"/>
      <c r="EX88" s="1"/>
      <c r="EZ88" s="1"/>
      <c r="FA88" s="1"/>
      <c r="FC88" s="1"/>
      <c r="FD88" s="87"/>
      <c r="FE88" s="1"/>
      <c r="FF88" s="142"/>
      <c r="FG88" s="342"/>
      <c r="FH88" s="1"/>
      <c r="FI88" s="342"/>
      <c r="FJ88" s="232"/>
      <c r="FK88" s="343"/>
      <c r="FL88" s="343"/>
      <c r="FM88" s="343"/>
      <c r="FN88" s="343"/>
      <c r="FO88" s="8"/>
      <c r="FP88" s="8"/>
      <c r="FQ88" s="8"/>
      <c r="FR88" s="343"/>
      <c r="FS88" s="343"/>
      <c r="FT88" s="8"/>
      <c r="FU88" s="87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</row>
    <row r="89" ht="12.75" customHeight="1">
      <c r="A89" s="38" t="s">
        <v>40</v>
      </c>
      <c r="B89" s="8"/>
      <c r="C89" s="63"/>
      <c r="D89" s="444">
        <f t="shared" ref="D89:D90" si="259">D127</f>
        <v>100</v>
      </c>
      <c r="E89" s="8"/>
      <c r="F89" s="8"/>
      <c r="G89" s="359"/>
      <c r="H89" s="512"/>
      <c r="I89" s="1"/>
      <c r="J89" s="1"/>
      <c r="K89" s="1"/>
      <c r="L89" s="1"/>
      <c r="M89" s="1"/>
      <c r="N89" s="1"/>
      <c r="O89" s="1"/>
      <c r="P89" s="1"/>
      <c r="Q89" s="1"/>
      <c r="R89" s="12" t="s">
        <v>245</v>
      </c>
      <c r="S89" s="497">
        <f>S65</f>
        <v>1000</v>
      </c>
      <c r="T89" s="69">
        <f>IF(D56&gt;2000,SUM(T87,T81),SUM(T83,T81))</f>
        <v>0</v>
      </c>
      <c r="U89" s="87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8"/>
      <c r="AQ89" s="1"/>
      <c r="AR89" s="87"/>
      <c r="AS89" s="398">
        <v>192.0</v>
      </c>
      <c r="AT89" s="439">
        <v>12.0</v>
      </c>
      <c r="AU89" s="399">
        <v>12.0</v>
      </c>
      <c r="AV89" s="440">
        <v>4165.0</v>
      </c>
      <c r="AW89" s="440">
        <v>2280.0</v>
      </c>
      <c r="AX89" s="1"/>
      <c r="AY89" s="142"/>
      <c r="AZ89" s="86" t="str">
        <f t="shared" ref="AZ89:BB89" si="258">AZ88</f>
        <v/>
      </c>
      <c r="BA89" s="86">
        <f t="shared" si="258"/>
        <v>1</v>
      </c>
      <c r="BB89" s="86">
        <f t="shared" si="258"/>
        <v>1</v>
      </c>
      <c r="BC89" s="86">
        <f t="shared" si="89"/>
        <v>0</v>
      </c>
      <c r="BD89" s="86">
        <f t="shared" si="90"/>
        <v>0</v>
      </c>
      <c r="BE89" s="86">
        <f t="shared" si="91"/>
        <v>0</v>
      </c>
      <c r="BF89" s="86">
        <f t="shared" si="92"/>
        <v>0</v>
      </c>
      <c r="BG89" s="1"/>
      <c r="BH89" s="1"/>
      <c r="BI89" s="1"/>
      <c r="BJ89" s="87"/>
      <c r="BK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87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8"/>
      <c r="CT89" s="1"/>
      <c r="CU89" s="1"/>
      <c r="CV89" s="1"/>
      <c r="CW89" s="1"/>
      <c r="CX89" s="1"/>
      <c r="CY89" s="1"/>
      <c r="CZ89" s="87"/>
      <c r="DA89" s="1"/>
      <c r="DB89" s="1"/>
      <c r="DC89" s="1"/>
      <c r="DD89" s="1"/>
      <c r="DE89" s="1"/>
      <c r="DF89" s="1"/>
      <c r="DG89" s="1"/>
      <c r="DH89" s="1"/>
      <c r="DI89" s="341"/>
      <c r="DJ89" s="1"/>
      <c r="DK89" s="1"/>
      <c r="DL89" s="1"/>
      <c r="DM89" s="1"/>
      <c r="DN89" s="1"/>
      <c r="DO89" s="1"/>
      <c r="DP89" s="1"/>
      <c r="DQ89" s="1"/>
      <c r="DR89" s="1"/>
      <c r="EU89" s="1"/>
      <c r="EV89" s="1"/>
      <c r="EW89" s="1"/>
      <c r="EX89" s="1"/>
      <c r="EZ89" s="1"/>
      <c r="FA89" s="1"/>
      <c r="FC89" s="1"/>
      <c r="FD89" s="87"/>
      <c r="FE89" s="1"/>
      <c r="FF89" s="142"/>
      <c r="FG89" s="342"/>
      <c r="FH89" s="1"/>
      <c r="FI89" s="342"/>
      <c r="FJ89" s="232"/>
      <c r="FK89" s="343"/>
      <c r="FL89" s="343"/>
      <c r="FM89" s="343"/>
      <c r="FN89" s="343"/>
      <c r="FO89" s="8"/>
      <c r="FP89" s="8"/>
      <c r="FQ89" s="8"/>
      <c r="FR89" s="343"/>
      <c r="FS89" s="343"/>
      <c r="FT89" s="8"/>
      <c r="FU89" s="87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</row>
    <row r="90" ht="12.75" customHeight="1">
      <c r="A90" s="366" t="s">
        <v>5</v>
      </c>
      <c r="B90" s="61"/>
      <c r="C90" s="543"/>
      <c r="D90" s="531">
        <f t="shared" si="259"/>
        <v>100</v>
      </c>
      <c r="E90" s="61"/>
      <c r="F90" s="61"/>
      <c r="G90" s="367"/>
      <c r="H90" s="512"/>
      <c r="I90" s="1"/>
      <c r="J90" s="1"/>
      <c r="K90" s="1"/>
      <c r="L90" s="1"/>
      <c r="M90" s="1"/>
      <c r="N90" s="1"/>
      <c r="O90" s="1"/>
      <c r="P90" s="1"/>
      <c r="Q90" s="1"/>
      <c r="S90" s="63"/>
      <c r="T90" s="1"/>
      <c r="U90" s="87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8"/>
      <c r="AQ90" s="1"/>
      <c r="AR90" s="87"/>
      <c r="AS90" s="392">
        <v>196.0</v>
      </c>
      <c r="AT90" s="502">
        <v>13.0</v>
      </c>
      <c r="AU90" s="393">
        <v>12.25</v>
      </c>
      <c r="AV90" s="421">
        <v>4265.0</v>
      </c>
      <c r="AW90" s="421">
        <v>2330.0</v>
      </c>
      <c r="AX90" s="1"/>
      <c r="AY90" s="142"/>
      <c r="AZ90" s="86" t="str">
        <f t="shared" ref="AZ90:BB90" si="260">AZ89</f>
        <v/>
      </c>
      <c r="BA90" s="86">
        <f t="shared" si="260"/>
        <v>1</v>
      </c>
      <c r="BB90" s="86">
        <f t="shared" si="260"/>
        <v>1</v>
      </c>
      <c r="BC90" s="86">
        <f t="shared" si="89"/>
        <v>0</v>
      </c>
      <c r="BD90" s="86">
        <f t="shared" si="90"/>
        <v>0</v>
      </c>
      <c r="BE90" s="86">
        <f t="shared" si="91"/>
        <v>0</v>
      </c>
      <c r="BF90" s="86">
        <f t="shared" si="92"/>
        <v>0</v>
      </c>
      <c r="BG90" s="1"/>
      <c r="BH90" s="1"/>
      <c r="BI90" s="1"/>
      <c r="BJ90" s="87"/>
      <c r="BK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87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8"/>
      <c r="CT90" s="1"/>
      <c r="CU90" s="1"/>
      <c r="CV90" s="1"/>
      <c r="CW90" s="1"/>
      <c r="CX90" s="1"/>
      <c r="CY90" s="1"/>
      <c r="CZ90" s="87"/>
      <c r="DA90" s="1"/>
      <c r="DB90" s="1"/>
      <c r="DC90" s="1"/>
      <c r="DD90" s="1"/>
      <c r="DE90" s="1"/>
      <c r="DF90" s="1"/>
      <c r="DG90" s="1"/>
      <c r="DH90" s="1"/>
      <c r="DI90" s="341"/>
      <c r="DJ90" s="1"/>
      <c r="DK90" s="1"/>
      <c r="DL90" s="1"/>
      <c r="DM90" s="1"/>
      <c r="DN90" s="1"/>
      <c r="DO90" s="1"/>
      <c r="DP90" s="1"/>
      <c r="DQ90" s="1"/>
      <c r="DR90" s="212">
        <f>D96/4</f>
        <v>0</v>
      </c>
      <c r="EU90" s="1"/>
      <c r="EV90" s="1"/>
      <c r="EW90" s="1"/>
      <c r="EX90" s="1"/>
      <c r="EZ90" s="1"/>
      <c r="FA90" s="1"/>
      <c r="FC90" s="1"/>
      <c r="FD90" s="87"/>
      <c r="FE90" s="1"/>
      <c r="FF90" s="142"/>
      <c r="FG90" s="342"/>
      <c r="FH90" s="1"/>
      <c r="FI90" s="342"/>
      <c r="FJ90" s="232"/>
      <c r="FK90" s="343"/>
      <c r="FL90" s="343"/>
      <c r="FM90" s="343"/>
      <c r="FN90" s="343"/>
      <c r="FO90" s="8"/>
      <c r="FP90" s="8"/>
      <c r="FQ90" s="8"/>
      <c r="FR90" s="343"/>
      <c r="FS90" s="343"/>
      <c r="FT90" s="8"/>
      <c r="FU90" s="87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</row>
    <row r="91" ht="14.25" customHeight="1">
      <c r="A91" s="534" t="s">
        <v>371</v>
      </c>
      <c r="B91" s="1"/>
      <c r="C91" s="63"/>
      <c r="D91" s="1"/>
      <c r="E91" s="1"/>
      <c r="F91" s="1"/>
      <c r="G91" s="1"/>
      <c r="H91" s="512"/>
      <c r="I91" s="1"/>
      <c r="J91" s="1"/>
      <c r="K91" s="1"/>
      <c r="L91" s="1"/>
      <c r="M91" s="1"/>
      <c r="N91" s="2"/>
      <c r="O91" s="1"/>
      <c r="P91" s="1"/>
      <c r="Q91" s="1"/>
      <c r="S91" s="63"/>
      <c r="T91" s="1"/>
      <c r="U91" s="87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8"/>
      <c r="AQ91" s="1"/>
      <c r="AR91" s="87"/>
      <c r="AS91" s="538">
        <v>200.0</v>
      </c>
      <c r="AT91" s="539">
        <v>13.0</v>
      </c>
      <c r="AU91" s="115">
        <v>12.5</v>
      </c>
      <c r="AV91" s="544">
        <v>4355.0</v>
      </c>
      <c r="AW91" s="544">
        <v>2375.0</v>
      </c>
      <c r="AX91" s="1"/>
      <c r="AY91" s="142"/>
      <c r="AZ91" s="86" t="str">
        <f t="shared" ref="AZ91:BB91" si="261">AZ90</f>
        <v/>
      </c>
      <c r="BA91" s="86">
        <f t="shared" si="261"/>
        <v>1</v>
      </c>
      <c r="BB91" s="86">
        <f t="shared" si="261"/>
        <v>1</v>
      </c>
      <c r="BC91" s="86">
        <f t="shared" si="89"/>
        <v>0</v>
      </c>
      <c r="BD91" s="86">
        <f t="shared" si="90"/>
        <v>0</v>
      </c>
      <c r="BE91" s="86">
        <f t="shared" si="91"/>
        <v>0</v>
      </c>
      <c r="BF91" s="86">
        <f t="shared" si="92"/>
        <v>0</v>
      </c>
      <c r="BG91" s="1"/>
      <c r="BH91" s="1"/>
      <c r="BI91" s="1"/>
      <c r="BJ91" s="87"/>
      <c r="BK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87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8"/>
      <c r="CT91" s="1"/>
      <c r="CU91" s="1"/>
      <c r="CV91" s="1"/>
      <c r="CW91" s="1"/>
      <c r="CX91" s="1"/>
      <c r="CY91" s="1"/>
      <c r="CZ91" s="87"/>
      <c r="DA91" s="1"/>
      <c r="DB91" s="1"/>
      <c r="DC91" s="1"/>
      <c r="DD91" s="1"/>
      <c r="DE91" s="1"/>
      <c r="DF91" s="1"/>
      <c r="DG91" s="1"/>
      <c r="DH91" s="1"/>
      <c r="DI91" s="341"/>
      <c r="DJ91" s="1"/>
      <c r="DK91" s="1"/>
      <c r="DL91" s="1"/>
      <c r="DM91" s="1"/>
      <c r="DN91" s="1"/>
      <c r="DO91" s="1"/>
      <c r="DP91" s="1"/>
      <c r="DQ91" s="1"/>
      <c r="DR91" s="1"/>
      <c r="EU91" s="1"/>
      <c r="EV91" s="1"/>
      <c r="EW91" s="1"/>
      <c r="EX91" s="1"/>
      <c r="EZ91" s="1"/>
      <c r="FA91" s="1"/>
      <c r="FC91" s="1"/>
      <c r="FD91" s="87"/>
      <c r="FE91" s="1"/>
      <c r="FF91" s="142"/>
      <c r="FG91" s="342"/>
      <c r="FH91" s="1"/>
      <c r="FI91" s="342"/>
      <c r="FJ91" s="232"/>
      <c r="FK91" s="343"/>
      <c r="FL91" s="343"/>
      <c r="FM91" s="343"/>
      <c r="FN91" s="343"/>
      <c r="FO91" s="8"/>
      <c r="FP91" s="8"/>
      <c r="FQ91" s="8"/>
      <c r="FR91" s="343"/>
      <c r="FS91" s="343"/>
      <c r="FT91" s="8"/>
      <c r="FU91" s="87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</row>
    <row r="92" ht="12.75" customHeight="1">
      <c r="A92" s="525" t="s">
        <v>372</v>
      </c>
      <c r="B92" s="53"/>
      <c r="C92" s="526"/>
      <c r="D92" s="545" t="str">
        <f t="shared" ref="D92:D93" si="262">D130</f>
        <v/>
      </c>
      <c r="E92" s="53" t="s">
        <v>40</v>
      </c>
      <c r="F92" s="53"/>
      <c r="G92" s="404" t="s">
        <v>5</v>
      </c>
      <c r="H92" s="512"/>
      <c r="I92" s="1"/>
      <c r="J92" s="1"/>
      <c r="K92" s="1"/>
      <c r="L92" s="1"/>
      <c r="M92" s="1"/>
      <c r="N92" s="2"/>
      <c r="O92" s="1"/>
      <c r="P92" s="1"/>
      <c r="Q92" s="1"/>
      <c r="S92" s="63" t="s">
        <v>373</v>
      </c>
      <c r="T92" s="1"/>
      <c r="U92" s="87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8"/>
      <c r="AQ92" s="1"/>
      <c r="AR92" s="87"/>
      <c r="AS92" s="1"/>
      <c r="AU92" s="1"/>
      <c r="AV92" s="1"/>
      <c r="AW92" s="1"/>
      <c r="AX92" s="1"/>
      <c r="AY92" s="1"/>
      <c r="AZ92" s="1"/>
      <c r="BA92" s="1"/>
      <c r="BB92" s="1"/>
      <c r="BC92" s="86">
        <f>SUM(BC44:BC91)</f>
        <v>0</v>
      </c>
      <c r="BD92" s="86">
        <f>SUM(BD45:BD91)</f>
        <v>0</v>
      </c>
      <c r="BE92" s="1"/>
      <c r="BF92" s="1"/>
      <c r="BG92" s="1"/>
      <c r="BH92" s="1"/>
      <c r="BI92" s="1"/>
      <c r="BJ92" s="87"/>
      <c r="BK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87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8"/>
      <c r="CT92" s="1"/>
      <c r="CU92" s="1"/>
      <c r="CV92" s="1"/>
      <c r="CW92" s="1"/>
      <c r="CX92" s="1"/>
      <c r="CY92" s="1"/>
      <c r="CZ92" s="87"/>
      <c r="DA92" s="1"/>
      <c r="DB92" s="1"/>
      <c r="DC92" s="1"/>
      <c r="DD92" s="1"/>
      <c r="DE92" s="1"/>
      <c r="DF92" s="1"/>
      <c r="DG92" s="1"/>
      <c r="DH92" s="1"/>
      <c r="DI92" s="341"/>
      <c r="DJ92" s="1"/>
      <c r="DK92" s="1"/>
      <c r="DL92" s="1"/>
      <c r="DM92" s="1"/>
      <c r="DN92" s="1"/>
      <c r="DO92" s="1"/>
      <c r="DP92" s="1"/>
      <c r="DQ92" s="1"/>
      <c r="DR92" s="1"/>
      <c r="EU92" s="1"/>
      <c r="EV92" s="1"/>
      <c r="EW92" s="1"/>
      <c r="EX92" s="1"/>
      <c r="EZ92" s="1"/>
      <c r="FA92" s="1"/>
      <c r="FC92" s="1"/>
      <c r="FD92" s="87"/>
      <c r="FE92" s="1"/>
      <c r="FF92" s="142"/>
      <c r="FG92" s="342"/>
      <c r="FH92" s="1"/>
      <c r="FI92" s="342"/>
      <c r="FJ92" s="232"/>
      <c r="FK92" s="343"/>
      <c r="FL92" s="343"/>
      <c r="FM92" s="343"/>
      <c r="FN92" s="343"/>
      <c r="FO92" s="8"/>
      <c r="FP92" s="8"/>
      <c r="FQ92" s="8"/>
      <c r="FR92" s="343"/>
      <c r="FS92" s="343"/>
      <c r="FT92" s="8"/>
      <c r="FU92" s="87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</row>
    <row r="93" ht="12.75" customHeight="1">
      <c r="A93" s="38" t="s">
        <v>374</v>
      </c>
      <c r="B93" s="8"/>
      <c r="C93" s="63"/>
      <c r="D93" s="536" t="str">
        <f t="shared" si="262"/>
        <v/>
      </c>
      <c r="E93" s="8">
        <f>IF(D56&gt;999,DH61,(D56/1000)*DH61)</f>
        <v>0</v>
      </c>
      <c r="F93" s="8"/>
      <c r="G93" s="359">
        <f>IF(D56&gt;999,(E93),0)</f>
        <v>0</v>
      </c>
      <c r="H93" s="512"/>
      <c r="I93" s="1"/>
      <c r="J93" s="1"/>
      <c r="K93" s="1"/>
      <c r="L93" s="1"/>
      <c r="M93" s="1"/>
      <c r="N93" s="2"/>
      <c r="O93" s="1"/>
      <c r="P93" s="1"/>
      <c r="Q93" s="1"/>
      <c r="R93" s="170" t="s">
        <v>375</v>
      </c>
      <c r="S93" s="47"/>
      <c r="T93" s="2"/>
      <c r="U93" s="87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8"/>
      <c r="AQ93" s="1"/>
      <c r="AR93" s="87"/>
      <c r="AS93" s="1"/>
      <c r="AU93" s="1"/>
      <c r="AV93" s="1"/>
      <c r="AW93" s="1"/>
      <c r="AX93" s="1"/>
      <c r="AY93" s="1"/>
      <c r="AZ93" s="1"/>
      <c r="BA93" s="1"/>
      <c r="BB93" s="1"/>
      <c r="BC93" s="1">
        <f>IF(D56&gt;1000,BC92,BC92-((1-(D56/1000))*BD92))</f>
        <v>0</v>
      </c>
      <c r="BD93" s="1"/>
      <c r="BE93" s="1"/>
      <c r="BF93" s="1"/>
      <c r="BG93" s="1"/>
      <c r="BH93" s="1"/>
      <c r="BI93" s="1"/>
      <c r="BJ93" s="87"/>
      <c r="BK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87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8"/>
      <c r="CT93" s="1"/>
      <c r="CU93" s="1"/>
      <c r="CV93" s="1"/>
      <c r="CW93" s="1"/>
      <c r="CX93" s="1"/>
      <c r="CY93" s="1"/>
      <c r="CZ93" s="87"/>
      <c r="DA93" s="1"/>
      <c r="DB93" s="1"/>
      <c r="DC93" s="1"/>
      <c r="DD93" s="1"/>
      <c r="DE93" s="1"/>
      <c r="DF93" s="1"/>
      <c r="DG93" s="1"/>
      <c r="DH93" s="1"/>
      <c r="DI93" s="341"/>
      <c r="DJ93" s="1"/>
      <c r="DK93" s="1"/>
      <c r="DL93" s="1"/>
      <c r="DM93" s="1"/>
      <c r="DN93" s="1"/>
      <c r="DO93" s="1"/>
      <c r="DP93" s="1"/>
      <c r="DQ93" s="1"/>
      <c r="DR93" s="1"/>
      <c r="EU93" s="1"/>
      <c r="EV93" s="1"/>
      <c r="EW93" s="1"/>
      <c r="EX93" s="1"/>
      <c r="EZ93" s="1"/>
      <c r="FA93" s="1"/>
      <c r="FC93" s="1"/>
      <c r="FD93" s="87"/>
      <c r="FE93" s="1"/>
      <c r="FF93" s="142"/>
      <c r="FG93" s="342"/>
      <c r="FH93" s="1"/>
      <c r="FI93" s="342"/>
      <c r="FJ93" s="232"/>
      <c r="FK93" s="343"/>
      <c r="FL93" s="343"/>
      <c r="FM93" s="343"/>
      <c r="FN93" s="343"/>
      <c r="FO93" s="8"/>
      <c r="FP93" s="8"/>
      <c r="FQ93" s="8"/>
      <c r="FR93" s="343"/>
      <c r="FS93" s="343"/>
      <c r="FT93" s="8"/>
      <c r="FU93" s="87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</row>
    <row r="94" ht="13.5" customHeight="1">
      <c r="A94" s="546"/>
      <c r="B94" s="547"/>
      <c r="C94" s="548"/>
      <c r="D94" s="547"/>
      <c r="E94" s="547"/>
      <c r="F94" s="547"/>
      <c r="G94" s="549"/>
      <c r="H94" s="512"/>
      <c r="I94" s="1"/>
      <c r="J94" s="1"/>
      <c r="K94" s="1"/>
      <c r="L94" s="1"/>
      <c r="M94" s="1"/>
      <c r="N94" s="2"/>
      <c r="O94" s="1"/>
      <c r="P94" s="1"/>
      <c r="Q94" s="1"/>
      <c r="R94" s="3" t="str">
        <f>D55</f>
        <v>Tabloid</v>
      </c>
      <c r="S94" s="462"/>
      <c r="T94" s="5"/>
      <c r="U94" s="87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8"/>
      <c r="AQ94" s="1"/>
      <c r="AR94" s="87"/>
      <c r="AS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87"/>
      <c r="BK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87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8"/>
      <c r="CT94" s="1"/>
      <c r="CU94" s="1"/>
      <c r="CV94" s="1"/>
      <c r="CW94" s="1"/>
      <c r="CX94" s="1"/>
      <c r="CY94" s="1"/>
      <c r="CZ94" s="87"/>
      <c r="DA94" s="1"/>
      <c r="DB94" s="1"/>
      <c r="DC94" s="1"/>
      <c r="DD94" s="1"/>
      <c r="DE94" s="1"/>
      <c r="DF94" s="1"/>
      <c r="DG94" s="1"/>
      <c r="DH94" s="1"/>
      <c r="DI94" s="341"/>
      <c r="DJ94" s="1"/>
      <c r="DK94" s="1"/>
      <c r="DL94" s="1"/>
      <c r="DM94" s="1"/>
      <c r="DN94" s="1"/>
      <c r="DO94" s="1"/>
      <c r="DP94" s="1"/>
      <c r="DQ94" s="1"/>
      <c r="DR94" s="1"/>
      <c r="EU94" s="1"/>
      <c r="EV94" s="1"/>
      <c r="EW94" s="1"/>
      <c r="EX94" s="1"/>
      <c r="EZ94" s="1"/>
      <c r="FA94" s="1"/>
      <c r="FB94" s="19" t="str">
        <f>IF(D56&lt;999,(E99-G99*(1-(D56/1000))),E99)</f>
        <v/>
      </c>
      <c r="FC94" s="19" t="str">
        <f>IF(D56&lt;1000,"",G99)</f>
        <v/>
      </c>
      <c r="FD94" s="87"/>
      <c r="FE94" s="1"/>
      <c r="FF94" s="142"/>
      <c r="FG94" s="342"/>
      <c r="FH94" s="1"/>
      <c r="FI94" s="342"/>
      <c r="FJ94" s="232"/>
      <c r="FK94" s="343"/>
      <c r="FL94" s="343"/>
      <c r="FM94" s="343"/>
      <c r="FN94" s="343"/>
      <c r="FO94" s="8"/>
      <c r="FP94" s="8"/>
      <c r="FQ94" s="8"/>
      <c r="FR94" s="343"/>
      <c r="FS94" s="343"/>
      <c r="FT94" s="8"/>
      <c r="FU94" s="87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</row>
    <row r="95" ht="12.75" customHeight="1">
      <c r="A95" s="38" t="s">
        <v>376</v>
      </c>
      <c r="B95" s="8"/>
      <c r="C95" s="63"/>
      <c r="D95" s="550" t="str">
        <f t="shared" ref="D95:D96" si="263">D133</f>
        <v/>
      </c>
      <c r="E95" s="8"/>
      <c r="F95" s="8"/>
      <c r="G95" s="359"/>
      <c r="H95" s="512"/>
      <c r="I95" s="1"/>
      <c r="J95" s="1"/>
      <c r="K95" s="1"/>
      <c r="L95" s="1"/>
      <c r="M95" s="1"/>
      <c r="N95" s="2"/>
      <c r="O95" s="1"/>
      <c r="P95" s="1"/>
      <c r="Q95" s="1"/>
      <c r="R95" s="7" t="str">
        <f>CONCATENATE(D69," pages")</f>
        <v>20 pages</v>
      </c>
      <c r="S95" s="63"/>
      <c r="T95" s="9"/>
      <c r="U95" s="87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8"/>
      <c r="AQ95" s="1"/>
      <c r="AR95" s="87"/>
      <c r="AS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87"/>
      <c r="BK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87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8"/>
      <c r="CT95" s="1"/>
      <c r="CU95" s="1"/>
      <c r="CV95" s="1"/>
      <c r="CW95" s="1"/>
      <c r="CX95" s="1"/>
      <c r="CY95" s="1"/>
      <c r="CZ95" s="87"/>
      <c r="DA95" s="1"/>
      <c r="DB95" s="1"/>
      <c r="DC95" s="1"/>
      <c r="DD95" s="1"/>
      <c r="DE95" s="1"/>
      <c r="DF95" s="1"/>
      <c r="DG95" s="1"/>
      <c r="DH95" s="1"/>
      <c r="DI95" s="341"/>
      <c r="DJ95" s="1"/>
      <c r="DK95" s="1"/>
      <c r="DL95" s="1"/>
      <c r="DM95" s="1"/>
      <c r="DN95" s="1"/>
      <c r="DO95" s="1"/>
      <c r="DP95" s="1"/>
      <c r="DQ95" s="1"/>
      <c r="DR95" s="1"/>
      <c r="DS95" s="1">
        <f>IF(D56&gt;1000,IF(D56&lt;2000,G99,((D56/1000)-1)*G99),0)</f>
        <v>0</v>
      </c>
      <c r="EU95" s="1"/>
      <c r="EV95" s="1"/>
      <c r="EW95" s="1"/>
      <c r="EX95" s="1"/>
      <c r="EZ95" s="1"/>
      <c r="FA95" s="1"/>
      <c r="FB95" s="19" t="str">
        <f>IF(D56&lt;999,(E100-G99*(1-(D56/1000))),E100)</f>
        <v/>
      </c>
      <c r="FC95" s="19" t="str">
        <f>IF(D56&lt;1000,"",G100)</f>
        <v/>
      </c>
      <c r="FD95" s="87"/>
      <c r="FE95" s="1"/>
      <c r="FF95" s="142"/>
      <c r="FG95" s="342"/>
      <c r="FH95" s="1"/>
      <c r="FI95" s="342"/>
      <c r="FJ95" s="232"/>
      <c r="FK95" s="343"/>
      <c r="FL95" s="343"/>
      <c r="FM95" s="343"/>
      <c r="FN95" s="343"/>
      <c r="FO95" s="8"/>
      <c r="FP95" s="8"/>
      <c r="FQ95" s="8"/>
      <c r="FR95" s="343"/>
      <c r="FS95" s="343"/>
      <c r="FT95" s="8"/>
      <c r="FU95" s="87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</row>
    <row r="96" ht="12.75" customHeight="1">
      <c r="A96" s="38" t="s">
        <v>377</v>
      </c>
      <c r="B96" s="8"/>
      <c r="C96" s="63"/>
      <c r="D96" s="550" t="str">
        <f t="shared" si="263"/>
        <v/>
      </c>
      <c r="E96" s="8">
        <f>IF(D56&gt;1000,DD74*DR90,(DD74*DR90)*((D56/1000)))</f>
        <v>0</v>
      </c>
      <c r="F96" s="8"/>
      <c r="G96" s="359">
        <f>IF(D56&gt;1000,DD74*DR90,0)</f>
        <v>0</v>
      </c>
      <c r="H96" s="512"/>
      <c r="I96" s="1"/>
      <c r="J96" s="1"/>
      <c r="K96" s="1"/>
      <c r="L96" s="1"/>
      <c r="M96" s="1"/>
      <c r="N96" s="2"/>
      <c r="O96" s="1"/>
      <c r="P96" s="1"/>
      <c r="Q96" s="1"/>
      <c r="R96" s="7" t="str">
        <f>CONCATENATE(C43," ",S56, " Plates")</f>
        <v> 4/c Plates</v>
      </c>
      <c r="S96" s="63"/>
      <c r="T96" s="9"/>
      <c r="U96" s="87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8"/>
      <c r="AQ96" s="1"/>
      <c r="AR96" s="87"/>
      <c r="AS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87"/>
      <c r="BK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87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8"/>
      <c r="CT96" s="1"/>
      <c r="CU96" s="1"/>
      <c r="CV96" s="1"/>
      <c r="CW96" s="1"/>
      <c r="CX96" s="1"/>
      <c r="CY96" s="1"/>
      <c r="CZ96" s="87"/>
      <c r="DA96" s="1"/>
      <c r="DB96" s="1"/>
      <c r="DC96" s="1"/>
      <c r="DD96" s="1"/>
      <c r="DE96" s="1"/>
      <c r="DF96" s="1"/>
      <c r="DG96" s="1"/>
      <c r="DH96" s="1"/>
      <c r="DI96" s="341"/>
      <c r="DJ96" s="1"/>
      <c r="DK96" s="1"/>
      <c r="DL96" s="1"/>
      <c r="DM96" s="1"/>
      <c r="DN96" s="1"/>
      <c r="DO96" s="1"/>
      <c r="DP96" s="1"/>
      <c r="DQ96" s="1"/>
      <c r="DR96" s="1"/>
      <c r="DS96" s="1">
        <f>IF(D56&gt;1000,IF(D56&lt;2000,G100,((D56/1000)-1)*G100),0)</f>
        <v>0</v>
      </c>
      <c r="EU96" s="1"/>
      <c r="EV96" s="1"/>
      <c r="EW96" s="1"/>
      <c r="EX96" s="1"/>
      <c r="EZ96" s="1"/>
      <c r="FA96" s="1"/>
      <c r="FB96" s="19" t="str">
        <f>IF(D56&lt;999,(E101-G100*(1-(D56/1000))),E101)</f>
        <v/>
      </c>
      <c r="FC96" s="19" t="str">
        <f>IF(D56&lt;1000,"",G101)</f>
        <v/>
      </c>
      <c r="FD96" s="87"/>
      <c r="FE96" s="1"/>
      <c r="FF96" s="142"/>
      <c r="FG96" s="342"/>
      <c r="FH96" s="1"/>
      <c r="FI96" s="342"/>
      <c r="FJ96" s="232"/>
      <c r="FK96" s="343"/>
      <c r="FL96" s="343"/>
      <c r="FM96" s="343"/>
      <c r="FN96" s="343"/>
      <c r="FO96" s="8"/>
      <c r="FP96" s="8"/>
      <c r="FQ96" s="8"/>
      <c r="FR96" s="343"/>
      <c r="FS96" s="343"/>
      <c r="FT96" s="8"/>
      <c r="FU96" s="87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</row>
    <row r="97" ht="12.75" customHeight="1">
      <c r="A97" s="366" t="s">
        <v>378</v>
      </c>
      <c r="B97" s="61"/>
      <c r="C97" s="543"/>
      <c r="D97" s="61"/>
      <c r="E97" s="61"/>
      <c r="F97" s="61"/>
      <c r="G97" s="367"/>
      <c r="H97" s="512"/>
      <c r="I97" s="1"/>
      <c r="J97" s="1"/>
      <c r="K97" s="1"/>
      <c r="L97" s="1"/>
      <c r="M97" s="1"/>
      <c r="N97" s="2"/>
      <c r="O97" s="1"/>
      <c r="P97" s="1"/>
      <c r="Q97" s="1"/>
      <c r="R97" s="7" t="str">
        <f>IF(C46&gt;0,CONCATENATE(R57," ",S57),"")</f>
        <v/>
      </c>
      <c r="S97" s="63"/>
      <c r="T97" s="9"/>
      <c r="U97" s="87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8"/>
      <c r="AQ97" s="1"/>
      <c r="AR97" s="87"/>
      <c r="AS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87"/>
      <c r="BK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87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8"/>
      <c r="CT97" s="1"/>
      <c r="CU97" s="1"/>
      <c r="CV97" s="1"/>
      <c r="CW97" s="1"/>
      <c r="CX97" s="1"/>
      <c r="CY97" s="1"/>
      <c r="CZ97" s="87"/>
      <c r="DA97" s="1"/>
      <c r="DB97" s="1"/>
      <c r="DC97" s="1"/>
      <c r="DD97" s="1"/>
      <c r="DE97" s="1"/>
      <c r="DF97" s="1"/>
      <c r="DG97" s="1"/>
      <c r="DH97" s="1"/>
      <c r="DI97" s="341"/>
      <c r="DJ97" s="1"/>
      <c r="DK97" s="1"/>
      <c r="DL97" s="1"/>
      <c r="DM97" s="1"/>
      <c r="DN97" s="1"/>
      <c r="DO97" s="1"/>
      <c r="DP97" s="1"/>
      <c r="DQ97" s="1"/>
      <c r="DR97" s="1"/>
      <c r="DS97" s="1">
        <f>IF(D56&gt;1000,IF(D56&lt;2000,G101,((D56/1000)-1)*G101),0)</f>
        <v>0</v>
      </c>
      <c r="EU97" s="1"/>
      <c r="EV97" s="1"/>
      <c r="EW97" s="1"/>
      <c r="EX97" s="1"/>
      <c r="EZ97" s="1"/>
      <c r="FA97" s="1"/>
      <c r="FC97" s="1"/>
      <c r="FD97" s="87"/>
      <c r="FE97" s="1"/>
      <c r="FF97" s="142"/>
      <c r="FG97" s="342"/>
      <c r="FH97" s="1"/>
      <c r="FI97" s="342"/>
      <c r="FJ97" s="232"/>
      <c r="FK97" s="343"/>
      <c r="FL97" s="343"/>
      <c r="FM97" s="343"/>
      <c r="FN97" s="343"/>
      <c r="FO97" s="8"/>
      <c r="FP97" s="8"/>
      <c r="FQ97" s="8"/>
      <c r="FR97" s="343"/>
      <c r="FS97" s="343"/>
      <c r="FT97" s="8"/>
      <c r="FU97" s="87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</row>
    <row r="98" ht="4.5" customHeight="1">
      <c r="A98" s="534" t="s">
        <v>379</v>
      </c>
      <c r="B98" s="8"/>
      <c r="C98" s="63"/>
      <c r="D98" s="8"/>
      <c r="E98" s="8" t="s">
        <v>40</v>
      </c>
      <c r="F98" s="8"/>
      <c r="G98" s="8" t="s">
        <v>380</v>
      </c>
      <c r="H98" s="512"/>
      <c r="I98" s="1"/>
      <c r="J98" s="1"/>
      <c r="K98" s="1"/>
      <c r="L98" s="1"/>
      <c r="M98" s="1"/>
      <c r="N98" s="2"/>
      <c r="O98" s="1"/>
      <c r="P98" s="1"/>
      <c r="Q98" s="1"/>
      <c r="R98" s="7" t="str">
        <f>R73</f>
        <v> </v>
      </c>
      <c r="S98" s="63"/>
      <c r="T98" s="9" t="str">
        <f>D93</f>
        <v/>
      </c>
      <c r="U98" s="87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8"/>
      <c r="AQ98" s="1"/>
      <c r="AR98" s="87"/>
      <c r="AS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87"/>
      <c r="BK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87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8"/>
      <c r="CT98" s="1"/>
      <c r="CU98" s="1"/>
      <c r="CV98" s="1"/>
      <c r="CW98" s="1"/>
      <c r="CX98" s="1"/>
      <c r="CY98" s="1"/>
      <c r="CZ98" s="87"/>
      <c r="DA98" s="1"/>
      <c r="DB98" s="1"/>
      <c r="DC98" s="1"/>
      <c r="DD98" s="1"/>
      <c r="DE98" s="1"/>
      <c r="DF98" s="1"/>
      <c r="DG98" s="1"/>
      <c r="DH98" s="1"/>
      <c r="DI98" s="341"/>
      <c r="DJ98" s="1"/>
      <c r="DK98" s="1"/>
      <c r="DL98" s="1"/>
      <c r="DM98" s="1"/>
      <c r="DN98" s="1"/>
      <c r="DO98" s="1"/>
      <c r="DP98" s="1"/>
      <c r="DQ98" s="1"/>
      <c r="DR98" s="1"/>
      <c r="EU98" s="1"/>
      <c r="EV98" s="1"/>
      <c r="EW98" s="1"/>
      <c r="EX98" s="1"/>
      <c r="EZ98" s="1"/>
      <c r="FA98" s="1"/>
      <c r="FC98" s="1"/>
      <c r="FD98" s="87"/>
      <c r="FE98" s="1"/>
      <c r="FF98" s="142"/>
      <c r="FG98" s="342"/>
      <c r="FH98" s="1"/>
      <c r="FI98" s="342"/>
      <c r="FJ98" s="232"/>
      <c r="FK98" s="343"/>
      <c r="FL98" s="343"/>
      <c r="FM98" s="343"/>
      <c r="FN98" s="343"/>
      <c r="FO98" s="8"/>
      <c r="FP98" s="8"/>
      <c r="FQ98" s="8"/>
      <c r="FR98" s="343"/>
      <c r="FS98" s="343"/>
      <c r="FT98" s="8"/>
      <c r="FU98" s="87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</row>
    <row r="99" ht="12.75" customHeight="1">
      <c r="A99" s="525" t="s">
        <v>381</v>
      </c>
      <c r="B99" s="53"/>
      <c r="C99" s="526"/>
      <c r="D99" s="53"/>
      <c r="E99" s="535" t="str">
        <f t="shared" ref="E99:E101" si="264">E137</f>
        <v/>
      </c>
      <c r="F99" s="551"/>
      <c r="G99" s="552" t="str">
        <f t="shared" ref="G99:G101" si="265">G137</f>
        <v/>
      </c>
      <c r="H99" s="1"/>
      <c r="I99" s="1"/>
      <c r="J99" s="1"/>
      <c r="K99" s="1"/>
      <c r="L99" s="1"/>
      <c r="M99" s="1"/>
      <c r="N99" s="2"/>
      <c r="O99" s="1"/>
      <c r="P99" s="1"/>
      <c r="Q99" s="1"/>
      <c r="R99" s="7" t="str">
        <f>R75</f>
        <v/>
      </c>
      <c r="S99" s="63"/>
      <c r="T99" s="9" t="str">
        <f>D95</f>
        <v/>
      </c>
      <c r="U99" s="87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8"/>
      <c r="AQ99" s="1"/>
      <c r="AR99" s="87"/>
      <c r="AS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87"/>
      <c r="BK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87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8"/>
      <c r="CT99" s="1"/>
      <c r="CU99" s="1"/>
      <c r="CV99" s="1"/>
      <c r="CW99" s="1"/>
      <c r="CX99" s="1"/>
      <c r="CY99" s="1"/>
      <c r="CZ99" s="87"/>
      <c r="DA99" s="1"/>
      <c r="DB99" s="1"/>
      <c r="DC99" s="1"/>
      <c r="DD99" s="1"/>
      <c r="DE99" s="1"/>
      <c r="DF99" s="1"/>
      <c r="DG99" s="1"/>
      <c r="DH99" s="1"/>
      <c r="DI99" s="341"/>
      <c r="DJ99" s="1"/>
      <c r="DK99" s="1"/>
      <c r="DL99" s="1"/>
      <c r="DM99" s="1"/>
      <c r="DN99" s="1"/>
      <c r="DO99" s="1"/>
      <c r="DP99" s="1"/>
      <c r="DQ99" s="1"/>
      <c r="DR99" s="1"/>
      <c r="EU99" s="1"/>
      <c r="EV99" s="1"/>
      <c r="EW99" s="1"/>
      <c r="EX99" s="1"/>
      <c r="EZ99" s="1"/>
      <c r="FA99" s="1"/>
      <c r="FC99" s="1"/>
      <c r="FD99" s="87"/>
      <c r="FE99" s="1"/>
      <c r="FF99" s="142"/>
      <c r="FG99" s="342"/>
      <c r="FH99" s="1"/>
      <c r="FI99" s="342"/>
      <c r="FJ99" s="232"/>
      <c r="FK99" s="343"/>
      <c r="FL99" s="343"/>
      <c r="FM99" s="343"/>
      <c r="FN99" s="343"/>
      <c r="FO99" s="8"/>
      <c r="FP99" s="8"/>
      <c r="FQ99" s="8"/>
      <c r="FR99" s="343"/>
      <c r="FS99" s="343"/>
      <c r="FT99" s="8"/>
      <c r="FU99" s="87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</row>
    <row r="100" ht="12.75" customHeight="1">
      <c r="A100" s="38" t="s">
        <v>382</v>
      </c>
      <c r="B100" s="8" t="s">
        <v>383</v>
      </c>
      <c r="C100" s="400" t="str">
        <f t="shared" ref="C100:C101" si="266">C138</f>
        <v/>
      </c>
      <c r="D100" s="8"/>
      <c r="E100" s="444" t="str">
        <f t="shared" si="264"/>
        <v/>
      </c>
      <c r="F100" s="443"/>
      <c r="G100" s="553" t="str">
        <f t="shared" si="265"/>
        <v/>
      </c>
      <c r="H100" s="1"/>
      <c r="I100" s="1"/>
      <c r="J100" s="1"/>
      <c r="K100" s="1"/>
      <c r="L100" s="1"/>
      <c r="M100" s="1"/>
      <c r="N100" s="2"/>
      <c r="O100" s="1"/>
      <c r="P100" s="1"/>
      <c r="Q100" s="1"/>
      <c r="R100" s="7"/>
      <c r="S100" s="63"/>
      <c r="T100" s="9"/>
      <c r="U100" s="87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8"/>
      <c r="AQ100" s="1"/>
      <c r="AR100" s="87"/>
      <c r="AS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87"/>
      <c r="BK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87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8"/>
      <c r="CT100" s="1"/>
      <c r="CU100" s="1"/>
      <c r="CV100" s="1"/>
      <c r="CW100" s="1"/>
      <c r="CX100" s="1"/>
      <c r="CY100" s="1"/>
      <c r="CZ100" s="87"/>
      <c r="DA100" s="1"/>
      <c r="DB100" s="1"/>
      <c r="DC100" s="1"/>
      <c r="DD100" s="1"/>
      <c r="DE100" s="1"/>
      <c r="DF100" s="1"/>
      <c r="DG100" s="1"/>
      <c r="DH100" s="1"/>
      <c r="DI100" s="341"/>
      <c r="DJ100" s="1"/>
      <c r="DK100" s="1"/>
      <c r="DL100" s="1"/>
      <c r="DM100" s="1"/>
      <c r="DN100" s="1"/>
      <c r="DO100" s="1"/>
      <c r="DP100" s="1"/>
      <c r="DQ100" s="1"/>
      <c r="DR100" s="1"/>
      <c r="EU100" s="1"/>
      <c r="EV100" s="1"/>
      <c r="EW100" s="1"/>
      <c r="EX100" s="1"/>
      <c r="EZ100" s="1"/>
      <c r="FA100" s="1"/>
      <c r="FC100" s="1"/>
      <c r="FD100" s="87"/>
      <c r="FE100" s="1"/>
      <c r="FF100" s="142"/>
      <c r="FG100" s="342"/>
      <c r="FH100" s="1"/>
      <c r="FI100" s="342"/>
      <c r="FJ100" s="232"/>
      <c r="FK100" s="343"/>
      <c r="FL100" s="343"/>
      <c r="FM100" s="343"/>
      <c r="FN100" s="343"/>
      <c r="FO100" s="8"/>
      <c r="FP100" s="8"/>
      <c r="FQ100" s="8"/>
      <c r="FR100" s="343"/>
      <c r="FS100" s="343"/>
      <c r="FT100" s="8"/>
      <c r="FU100" s="87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</row>
    <row r="101" ht="12.75" customHeight="1">
      <c r="A101" s="366" t="s">
        <v>382</v>
      </c>
      <c r="B101" s="61" t="s">
        <v>383</v>
      </c>
      <c r="C101" s="554" t="str">
        <f t="shared" si="266"/>
        <v/>
      </c>
      <c r="D101" s="61"/>
      <c r="E101" s="531" t="str">
        <f t="shared" si="264"/>
        <v/>
      </c>
      <c r="F101" s="510"/>
      <c r="G101" s="555" t="str">
        <f t="shared" si="265"/>
        <v/>
      </c>
      <c r="H101" s="1"/>
      <c r="I101" s="1"/>
      <c r="J101" s="1"/>
      <c r="K101" s="1"/>
      <c r="L101" s="1"/>
      <c r="M101" s="1"/>
      <c r="N101" s="2"/>
      <c r="O101" s="1"/>
      <c r="P101" s="1"/>
      <c r="Q101" s="1"/>
      <c r="R101" s="7" t="str">
        <f>R76</f>
        <v/>
      </c>
      <c r="S101" s="63"/>
      <c r="T101" s="9" t="str">
        <f>D95</f>
        <v/>
      </c>
      <c r="U101" s="87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8"/>
      <c r="AQ101" s="1"/>
      <c r="AR101" s="87"/>
      <c r="AS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87"/>
      <c r="BK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87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8"/>
      <c r="CT101" s="1"/>
      <c r="CU101" s="1"/>
      <c r="CV101" s="1"/>
      <c r="CW101" s="1"/>
      <c r="CX101" s="1"/>
      <c r="CY101" s="1"/>
      <c r="CZ101" s="87"/>
      <c r="DA101" s="1"/>
      <c r="DB101" s="1"/>
      <c r="DC101" s="1"/>
      <c r="DD101" s="1"/>
      <c r="DE101" s="1"/>
      <c r="DF101" s="1"/>
      <c r="DG101" s="1"/>
      <c r="DH101" s="1"/>
      <c r="DI101" s="341"/>
      <c r="DJ101" s="1"/>
      <c r="DK101" s="1"/>
      <c r="DL101" s="1"/>
      <c r="DM101" s="1"/>
      <c r="DN101" s="1"/>
      <c r="DO101" s="1"/>
      <c r="DP101" s="1"/>
      <c r="DQ101" s="1"/>
      <c r="DR101" s="1"/>
      <c r="EU101" s="1"/>
      <c r="EV101" s="1"/>
      <c r="EW101" s="1"/>
      <c r="EX101" s="1"/>
      <c r="EZ101" s="1"/>
      <c r="FA101" s="1"/>
      <c r="FC101" s="1"/>
      <c r="FD101" s="87"/>
      <c r="FE101" s="1"/>
      <c r="FF101" s="142"/>
      <c r="FG101" s="342"/>
      <c r="FH101" s="1"/>
      <c r="FI101" s="342"/>
      <c r="FJ101" s="232"/>
      <c r="FK101" s="343"/>
      <c r="FL101" s="343"/>
      <c r="FM101" s="343"/>
      <c r="FN101" s="343"/>
      <c r="FO101" s="8"/>
      <c r="FP101" s="8"/>
      <c r="FQ101" s="8"/>
      <c r="FR101" s="343"/>
      <c r="FS101" s="343"/>
      <c r="FT101" s="8"/>
      <c r="FU101" s="87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</row>
    <row r="102" ht="12.75" customHeight="1">
      <c r="A102" s="512"/>
      <c r="B102" s="512"/>
      <c r="C102" s="556"/>
      <c r="D102" s="512"/>
      <c r="E102" s="512"/>
      <c r="F102" s="512"/>
      <c r="G102" s="512"/>
      <c r="H102" s="1"/>
      <c r="I102" s="1"/>
      <c r="J102" s="1"/>
      <c r="K102" s="1"/>
      <c r="L102" s="1"/>
      <c r="M102" s="1"/>
      <c r="N102" s="2"/>
      <c r="O102" s="1"/>
      <c r="P102" s="1"/>
      <c r="Q102" s="1"/>
      <c r="R102" s="7" t="str">
        <f>IF(D74="None","",D74)</f>
        <v/>
      </c>
      <c r="S102" s="63"/>
      <c r="T102" s="9"/>
      <c r="U102" s="87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8"/>
      <c r="AQ102" s="1"/>
      <c r="AR102" s="87"/>
      <c r="AS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87"/>
      <c r="BK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87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8"/>
      <c r="CT102" s="1"/>
      <c r="CU102" s="1"/>
      <c r="CV102" s="1"/>
      <c r="CW102" s="1"/>
      <c r="CX102" s="1"/>
      <c r="CY102" s="1"/>
      <c r="CZ102" s="87"/>
      <c r="DA102" s="1"/>
      <c r="DB102" s="1"/>
      <c r="DC102" s="1"/>
      <c r="DD102" s="1"/>
      <c r="DE102" s="1"/>
      <c r="DF102" s="1"/>
      <c r="DG102" s="1"/>
      <c r="DH102" s="1"/>
      <c r="DI102" s="341"/>
      <c r="DJ102" s="1"/>
      <c r="DK102" s="1"/>
      <c r="DL102" s="1"/>
      <c r="DM102" s="1"/>
      <c r="DN102" s="1"/>
      <c r="DO102" s="1"/>
      <c r="DP102" s="1"/>
      <c r="DQ102" s="1"/>
      <c r="DR102" s="1"/>
      <c r="EU102" s="1"/>
      <c r="EV102" s="1"/>
      <c r="EW102" s="1"/>
      <c r="EX102" s="1"/>
      <c r="EZ102" s="1" t="s">
        <v>367</v>
      </c>
      <c r="FA102" s="1">
        <f>SUM(FB94,FB95,FB96,E96,E93,E83,E82,E79,G70)</f>
        <v>335.5</v>
      </c>
      <c r="FC102" s="1"/>
      <c r="FD102" s="87"/>
      <c r="FE102" s="1"/>
      <c r="FF102" s="142"/>
      <c r="FG102" s="342"/>
      <c r="FH102" s="1"/>
      <c r="FI102" s="342"/>
      <c r="FJ102" s="232"/>
      <c r="FK102" s="343"/>
      <c r="FL102" s="343"/>
      <c r="FM102" s="343"/>
      <c r="FN102" s="343"/>
      <c r="FO102" s="8"/>
      <c r="FP102" s="8"/>
      <c r="FQ102" s="8"/>
      <c r="FR102" s="343"/>
      <c r="FS102" s="343"/>
      <c r="FT102" s="8"/>
      <c r="FU102" s="87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</row>
    <row r="103" ht="12.75" customHeight="1">
      <c r="A103" s="1"/>
      <c r="B103" s="1"/>
      <c r="C103" s="63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2"/>
      <c r="O103" s="1"/>
      <c r="P103" s="1"/>
      <c r="Q103" s="1"/>
      <c r="R103" s="7"/>
      <c r="S103" s="63"/>
      <c r="T103" s="9"/>
      <c r="U103" s="87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8"/>
      <c r="AQ103" s="1"/>
      <c r="AR103" s="87"/>
      <c r="AS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87"/>
      <c r="BK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87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8"/>
      <c r="CT103" s="1"/>
      <c r="CU103" s="1"/>
      <c r="CV103" s="1"/>
      <c r="CW103" s="1"/>
      <c r="CX103" s="1"/>
      <c r="CY103" s="1"/>
      <c r="CZ103" s="87"/>
      <c r="DA103" s="1"/>
      <c r="DB103" s="1"/>
      <c r="DC103" s="1"/>
      <c r="DD103" s="1"/>
      <c r="DE103" s="1"/>
      <c r="DF103" s="1"/>
      <c r="DG103" s="1"/>
      <c r="DH103" s="1"/>
      <c r="DI103" s="341"/>
      <c r="DJ103" s="1"/>
      <c r="DK103" s="1"/>
      <c r="DL103" s="1"/>
      <c r="DM103" s="1"/>
      <c r="DN103" s="1"/>
      <c r="DO103" s="1"/>
      <c r="DP103" s="1"/>
      <c r="DQ103" s="1"/>
      <c r="DR103" s="1"/>
      <c r="EU103" s="1"/>
      <c r="EV103" s="1"/>
      <c r="EW103" s="1"/>
      <c r="EX103" s="1"/>
      <c r="EZ103" s="1" t="s">
        <v>139</v>
      </c>
      <c r="FA103" s="1">
        <f>SUM(FC94,FC95,FC96,G96,G93,G83,G82,G79,G71)</f>
        <v>0</v>
      </c>
      <c r="FC103" s="1"/>
      <c r="FD103" s="87"/>
      <c r="FE103" s="1"/>
      <c r="FF103" s="142"/>
      <c r="FG103" s="342"/>
      <c r="FH103" s="1"/>
      <c r="FI103" s="342"/>
      <c r="FJ103" s="232"/>
      <c r="FK103" s="343"/>
      <c r="FL103" s="343"/>
      <c r="FM103" s="343"/>
      <c r="FN103" s="343"/>
      <c r="FO103" s="8"/>
      <c r="FP103" s="8"/>
      <c r="FQ103" s="8"/>
      <c r="FR103" s="343"/>
      <c r="FS103" s="343"/>
      <c r="FT103" s="8"/>
      <c r="FU103" s="87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</row>
    <row r="104" ht="12.75" customHeight="1">
      <c r="A104" s="1"/>
      <c r="B104" s="1"/>
      <c r="C104" s="63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2"/>
      <c r="O104" s="1"/>
      <c r="P104" s="1"/>
      <c r="Q104" s="1"/>
      <c r="R104" s="7" t="s">
        <v>40</v>
      </c>
      <c r="S104" s="63">
        <f>S59</f>
        <v>1000</v>
      </c>
      <c r="T104" s="57">
        <f>FA102</f>
        <v>335.5</v>
      </c>
      <c r="U104" s="87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8"/>
      <c r="AQ104" s="1"/>
      <c r="AR104" s="87"/>
      <c r="AS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87"/>
      <c r="BK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87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8"/>
      <c r="CT104" s="1"/>
      <c r="CU104" s="1"/>
      <c r="CV104" s="1"/>
      <c r="CW104" s="1"/>
      <c r="CX104" s="1"/>
      <c r="CY104" s="1"/>
      <c r="CZ104" s="87"/>
      <c r="DA104" s="1"/>
      <c r="DB104" s="1"/>
      <c r="DC104" s="1"/>
      <c r="DD104" s="1"/>
      <c r="DE104" s="1"/>
      <c r="DF104" s="1"/>
      <c r="DG104" s="1"/>
      <c r="DH104" s="1"/>
      <c r="DI104" s="341"/>
      <c r="DJ104" s="1"/>
      <c r="DK104" s="1"/>
      <c r="DL104" s="1"/>
      <c r="DM104" s="1"/>
      <c r="DN104" s="1"/>
      <c r="DO104" s="1"/>
      <c r="DP104" s="1"/>
      <c r="DQ104" s="1"/>
      <c r="DR104" s="1"/>
      <c r="EU104" s="1"/>
      <c r="EV104" s="1"/>
      <c r="EW104" s="1"/>
      <c r="EX104" s="1"/>
      <c r="EZ104" s="1"/>
      <c r="FA104" s="1"/>
      <c r="FC104" s="1"/>
      <c r="FD104" s="87"/>
      <c r="FE104" s="1"/>
      <c r="FF104" s="142"/>
      <c r="FG104" s="342"/>
      <c r="FH104" s="1"/>
      <c r="FI104" s="342"/>
      <c r="FJ104" s="232"/>
      <c r="FK104" s="343"/>
      <c r="FL104" s="343"/>
      <c r="FM104" s="343"/>
      <c r="FN104" s="343"/>
      <c r="FO104" s="8"/>
      <c r="FP104" s="8"/>
      <c r="FQ104" s="8"/>
      <c r="FR104" s="343"/>
      <c r="FS104" s="343"/>
      <c r="FT104" s="8"/>
      <c r="FU104" s="87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</row>
    <row r="105" ht="12.75" customHeight="1">
      <c r="A105" s="1"/>
      <c r="B105" s="1"/>
      <c r="C105" s="63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2"/>
      <c r="O105" s="1"/>
      <c r="P105" s="1"/>
      <c r="Q105" s="1"/>
      <c r="R105" s="7" t="s">
        <v>5</v>
      </c>
      <c r="S105" s="484">
        <f>S61</f>
        <v>0</v>
      </c>
      <c r="T105" s="57" t="str">
        <f>IF(D56&lt;2000,IF(D56&lt;1001,"",FA103*((D56/1000)-1)),FA103)</f>
        <v/>
      </c>
      <c r="U105" s="87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8"/>
      <c r="AQ105" s="1"/>
      <c r="AR105" s="87"/>
      <c r="AS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87"/>
      <c r="BK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87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8"/>
      <c r="CT105" s="1"/>
      <c r="CU105" s="1"/>
      <c r="CV105" s="1"/>
      <c r="CW105" s="1"/>
      <c r="CX105" s="1"/>
      <c r="CY105" s="1"/>
      <c r="CZ105" s="87"/>
      <c r="DA105" s="1"/>
      <c r="DB105" s="1"/>
      <c r="DC105" s="1"/>
      <c r="DD105" s="1"/>
      <c r="DE105" s="1"/>
      <c r="DF105" s="1"/>
      <c r="DG105" s="1"/>
      <c r="DH105" s="1"/>
      <c r="DI105" s="341"/>
      <c r="DJ105" s="1"/>
      <c r="DK105" s="1"/>
      <c r="DL105" s="1"/>
      <c r="DM105" s="1"/>
      <c r="DN105" s="1"/>
      <c r="DO105" s="1"/>
      <c r="DP105" s="1"/>
      <c r="DQ105" s="1"/>
      <c r="DR105" s="1"/>
      <c r="EU105" s="1"/>
      <c r="EV105" s="1"/>
      <c r="EW105" s="1"/>
      <c r="EX105" s="1"/>
      <c r="EZ105" s="1"/>
      <c r="FA105" s="1"/>
      <c r="FC105" s="1"/>
      <c r="FD105" s="87"/>
      <c r="FE105" s="1"/>
      <c r="FF105" s="142"/>
      <c r="FG105" s="342"/>
      <c r="FH105" s="1"/>
      <c r="FI105" s="342"/>
      <c r="FJ105" s="232"/>
      <c r="FK105" s="343"/>
      <c r="FL105" s="343"/>
      <c r="FM105" s="343"/>
      <c r="FN105" s="343"/>
      <c r="FO105" s="8"/>
      <c r="FP105" s="8"/>
      <c r="FQ105" s="8"/>
      <c r="FR105" s="343"/>
      <c r="FS105" s="343"/>
      <c r="FT105" s="8"/>
      <c r="FU105" s="87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</row>
    <row r="106" ht="12.75" customHeight="1">
      <c r="A106" s="1"/>
      <c r="B106" s="1"/>
      <c r="C106" s="63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2"/>
      <c r="O106" s="1"/>
      <c r="P106" s="1"/>
      <c r="Q106" s="1"/>
      <c r="R106" s="7"/>
      <c r="S106" s="63"/>
      <c r="T106" s="57"/>
      <c r="U106" s="87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8"/>
      <c r="AQ106" s="1"/>
      <c r="AR106" s="87"/>
      <c r="AS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87"/>
      <c r="BK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87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8"/>
      <c r="CT106" s="1"/>
      <c r="CU106" s="1"/>
      <c r="CV106" s="1"/>
      <c r="CW106" s="1"/>
      <c r="CX106" s="1"/>
      <c r="CY106" s="1"/>
      <c r="CZ106" s="87"/>
      <c r="DA106" s="1"/>
      <c r="DB106" s="1"/>
      <c r="DC106" s="1"/>
      <c r="DD106" s="1"/>
      <c r="DE106" s="1"/>
      <c r="DF106" s="1"/>
      <c r="DG106" s="1"/>
      <c r="DH106" s="1"/>
      <c r="DI106" s="341"/>
      <c r="DJ106" s="1"/>
      <c r="DK106" s="1"/>
      <c r="DL106" s="1"/>
      <c r="DM106" s="1"/>
      <c r="DN106" s="1"/>
      <c r="DO106" s="1"/>
      <c r="DP106" s="1"/>
      <c r="DQ106" s="1"/>
      <c r="DR106" s="1"/>
      <c r="EU106" s="1"/>
      <c r="EV106" s="1"/>
      <c r="EW106" s="1"/>
      <c r="EX106" s="1"/>
      <c r="EZ106" s="1"/>
      <c r="FA106" s="1"/>
      <c r="FC106" s="1"/>
      <c r="FD106" s="87"/>
      <c r="FE106" s="1"/>
      <c r="FF106" s="142"/>
      <c r="FG106" s="342"/>
      <c r="FH106" s="1"/>
      <c r="FI106" s="342"/>
      <c r="FJ106" s="232"/>
      <c r="FK106" s="343"/>
      <c r="FL106" s="343"/>
      <c r="FM106" s="343"/>
      <c r="FN106" s="343"/>
      <c r="FO106" s="8"/>
      <c r="FP106" s="8"/>
      <c r="FQ106" s="8"/>
      <c r="FR106" s="343"/>
      <c r="FS106" s="343"/>
      <c r="FT106" s="8"/>
      <c r="FU106" s="87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</row>
    <row r="107" ht="12.75" customHeight="1">
      <c r="A107" s="1"/>
      <c r="B107" s="1"/>
      <c r="C107" s="63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2"/>
      <c r="O107" s="1"/>
      <c r="P107" s="1"/>
      <c r="Q107" s="1"/>
      <c r="R107" s="540" t="str">
        <f>R87</f>
        <v>add'l</v>
      </c>
      <c r="S107" s="541" t="str">
        <f>IF(D56&gt;2000,(D56-1000)," ")</f>
        <v> </v>
      </c>
      <c r="T107" s="557" t="str">
        <f>IF(D56&gt;2000,FA103*((D56/1000)-1),"")</f>
        <v/>
      </c>
      <c r="U107" s="87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8"/>
      <c r="AQ107" s="1"/>
      <c r="AR107" s="87"/>
      <c r="AS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87"/>
      <c r="BK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87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8"/>
      <c r="CT107" s="1"/>
      <c r="CU107" s="1"/>
      <c r="CV107" s="1"/>
      <c r="CW107" s="1"/>
      <c r="CX107" s="1"/>
      <c r="CY107" s="1"/>
      <c r="CZ107" s="87"/>
      <c r="DA107" s="1"/>
      <c r="DB107" s="1"/>
      <c r="DC107" s="1"/>
      <c r="DD107" s="1"/>
      <c r="DE107" s="1"/>
      <c r="DF107" s="1"/>
      <c r="DG107" s="1"/>
      <c r="DH107" s="1"/>
      <c r="DI107" s="341"/>
      <c r="DJ107" s="1"/>
      <c r="DK107" s="1"/>
      <c r="DL107" s="1"/>
      <c r="DM107" s="1"/>
      <c r="DN107" s="1"/>
      <c r="DO107" s="1"/>
      <c r="DP107" s="1"/>
      <c r="DQ107" s="1"/>
      <c r="DR107" s="1"/>
      <c r="EU107" s="1"/>
      <c r="EV107" s="1"/>
      <c r="EW107" s="1"/>
      <c r="EX107" s="1"/>
      <c r="EZ107" s="1"/>
      <c r="FA107" s="1"/>
      <c r="FC107" s="1"/>
      <c r="FD107" s="87"/>
      <c r="FE107" s="1"/>
      <c r="FF107" s="142"/>
      <c r="FG107" s="342"/>
      <c r="FH107" s="1"/>
      <c r="FI107" s="342"/>
      <c r="FJ107" s="232"/>
      <c r="FK107" s="343"/>
      <c r="FL107" s="343"/>
      <c r="FM107" s="343"/>
      <c r="FN107" s="343"/>
      <c r="FO107" s="8"/>
      <c r="FP107" s="8"/>
      <c r="FQ107" s="8"/>
      <c r="FR107" s="343"/>
      <c r="FS107" s="343"/>
      <c r="FT107" s="8"/>
      <c r="FU107" s="87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</row>
    <row r="108" ht="12.75" customHeight="1">
      <c r="A108" s="1"/>
      <c r="B108" s="1"/>
      <c r="C108" s="63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7"/>
      <c r="S108" s="63"/>
      <c r="T108" s="57"/>
      <c r="U108" s="87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8"/>
      <c r="AQ108" s="1"/>
      <c r="AR108" s="87"/>
      <c r="AS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87"/>
      <c r="BK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87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8"/>
      <c r="CT108" s="1"/>
      <c r="CU108" s="1"/>
      <c r="CV108" s="1"/>
      <c r="CW108" s="1"/>
      <c r="CX108" s="1"/>
      <c r="CY108" s="1"/>
      <c r="CZ108" s="87"/>
      <c r="DA108" s="1"/>
      <c r="DB108" s="1"/>
      <c r="DC108" s="1"/>
      <c r="DD108" s="1"/>
      <c r="DE108" s="1"/>
      <c r="DF108" s="1"/>
      <c r="DG108" s="1"/>
      <c r="DH108" s="1"/>
      <c r="DI108" s="341"/>
      <c r="DJ108" s="1"/>
      <c r="DK108" s="1"/>
      <c r="DL108" s="1"/>
      <c r="DM108" s="1"/>
      <c r="DN108" s="1"/>
      <c r="DO108" s="1"/>
      <c r="DP108" s="1"/>
      <c r="DQ108" s="1"/>
      <c r="DR108" s="1"/>
      <c r="EU108" s="1"/>
      <c r="EV108" s="1"/>
      <c r="EW108" s="1"/>
      <c r="EX108" s="1"/>
      <c r="EZ108" s="1"/>
      <c r="FA108" s="1"/>
      <c r="FC108" s="1"/>
      <c r="FD108" s="87"/>
      <c r="FE108" s="1"/>
      <c r="FF108" s="142"/>
      <c r="FG108" s="342"/>
      <c r="FH108" s="1"/>
      <c r="FI108" s="342"/>
      <c r="FJ108" s="232"/>
      <c r="FK108" s="343"/>
      <c r="FL108" s="343"/>
      <c r="FM108" s="343"/>
      <c r="FN108" s="343"/>
      <c r="FO108" s="8"/>
      <c r="FP108" s="8"/>
      <c r="FQ108" s="8"/>
      <c r="FR108" s="343"/>
      <c r="FS108" s="343"/>
      <c r="FT108" s="8"/>
      <c r="FU108" s="87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</row>
    <row r="109" ht="12.75" customHeight="1">
      <c r="A109" s="1"/>
      <c r="B109" s="1"/>
      <c r="C109" s="63"/>
      <c r="D109" s="1"/>
      <c r="E109" s="1"/>
      <c r="F109" s="1"/>
      <c r="G109" s="1"/>
      <c r="H109" s="227"/>
      <c r="I109" s="227"/>
      <c r="J109" s="227"/>
      <c r="K109" s="227"/>
      <c r="L109" s="227"/>
      <c r="M109" s="227"/>
      <c r="N109" s="227"/>
      <c r="O109" s="227"/>
      <c r="P109" s="227"/>
      <c r="Q109" s="227"/>
      <c r="R109" s="12" t="str">
        <f t="shared" ref="R109:S109" si="267">R89</f>
        <v>total</v>
      </c>
      <c r="S109" s="497">
        <f t="shared" si="267"/>
        <v>1000</v>
      </c>
      <c r="T109" s="69">
        <f>IF(D56&gt;2000,SUM(T107,T104),SUM(T105,T104))</f>
        <v>335.5</v>
      </c>
      <c r="U109" s="87"/>
      <c r="V109" s="227"/>
      <c r="W109" s="227"/>
      <c r="X109" s="227"/>
      <c r="Y109" s="227"/>
      <c r="Z109" s="227"/>
      <c r="AA109" s="227"/>
      <c r="AB109" s="227"/>
      <c r="AC109" s="227"/>
      <c r="AD109" s="227"/>
      <c r="AE109" s="227"/>
      <c r="AF109" s="227"/>
      <c r="AG109" s="227"/>
      <c r="AH109" s="227"/>
      <c r="AI109" s="227"/>
      <c r="AJ109" s="227"/>
      <c r="AK109" s="227"/>
      <c r="AL109" s="227"/>
      <c r="AM109" s="227"/>
      <c r="AN109" s="227"/>
      <c r="AO109" s="227"/>
      <c r="AP109" s="227"/>
      <c r="AQ109" s="227"/>
      <c r="AR109" s="87"/>
      <c r="AS109" s="227"/>
      <c r="AT109" s="227"/>
      <c r="AU109" s="227"/>
      <c r="AV109" s="227"/>
      <c r="AW109" s="227"/>
      <c r="AX109" s="227"/>
      <c r="AY109" s="227"/>
      <c r="AZ109" s="227"/>
      <c r="BA109" s="227"/>
      <c r="BB109" s="227"/>
      <c r="BC109" s="227"/>
      <c r="BD109" s="227"/>
      <c r="BE109" s="227"/>
      <c r="BF109" s="227"/>
      <c r="BG109" s="227"/>
      <c r="BH109" s="227"/>
      <c r="BI109" s="227"/>
      <c r="BJ109" s="87"/>
      <c r="BK109" s="227"/>
      <c r="BL109" s="227"/>
      <c r="BM109" s="227"/>
      <c r="BN109" s="227"/>
      <c r="BO109" s="227"/>
      <c r="BP109" s="227"/>
      <c r="BQ109" s="227"/>
      <c r="BR109" s="227"/>
      <c r="BS109" s="227"/>
      <c r="BT109" s="227"/>
      <c r="BU109" s="227"/>
      <c r="BV109" s="227"/>
      <c r="BW109" s="227"/>
      <c r="BX109" s="227"/>
      <c r="BY109" s="227"/>
      <c r="BZ109" s="227"/>
      <c r="CA109" s="227"/>
      <c r="CB109" s="227"/>
      <c r="CC109" s="227"/>
      <c r="CD109" s="87"/>
      <c r="CE109" s="227"/>
      <c r="CF109" s="227"/>
      <c r="CG109" s="227"/>
      <c r="CH109" s="227"/>
      <c r="CI109" s="227"/>
      <c r="CJ109" s="227"/>
      <c r="CK109" s="227"/>
      <c r="CL109" s="227"/>
      <c r="CM109" s="227"/>
      <c r="CN109" s="227"/>
      <c r="CO109" s="227"/>
      <c r="CP109" s="227"/>
      <c r="CQ109" s="227"/>
      <c r="CR109" s="227"/>
      <c r="CS109" s="227"/>
      <c r="CT109" s="227"/>
      <c r="CU109" s="227"/>
      <c r="CV109" s="227"/>
      <c r="CW109" s="227"/>
      <c r="CX109" s="227"/>
      <c r="CY109" s="227"/>
      <c r="CZ109" s="87"/>
      <c r="DA109" s="227"/>
      <c r="DB109" s="227"/>
      <c r="DC109" s="227"/>
      <c r="DD109" s="227"/>
      <c r="DE109" s="227"/>
      <c r="DF109" s="227"/>
      <c r="DG109" s="227"/>
      <c r="DH109" s="227"/>
      <c r="DI109" s="227"/>
      <c r="DJ109" s="227"/>
      <c r="DK109" s="227"/>
      <c r="DL109" s="227"/>
      <c r="DM109" s="227"/>
      <c r="DN109" s="227"/>
      <c r="DO109" s="227"/>
      <c r="DP109" s="227"/>
      <c r="DQ109" s="227"/>
      <c r="DR109" s="227"/>
      <c r="DS109" s="227"/>
      <c r="DT109" s="227"/>
      <c r="DU109" s="227"/>
      <c r="DV109" s="227"/>
      <c r="DW109" s="227"/>
      <c r="DX109" s="227"/>
      <c r="DY109" s="227"/>
      <c r="DZ109" s="227"/>
      <c r="EA109" s="227"/>
      <c r="EB109" s="227"/>
      <c r="EC109" s="227"/>
      <c r="ED109" s="227"/>
      <c r="EE109" s="227"/>
      <c r="EF109" s="227"/>
      <c r="EG109" s="227"/>
      <c r="EH109" s="227"/>
      <c r="EI109" s="227"/>
      <c r="EJ109" s="227"/>
      <c r="EK109" s="227"/>
      <c r="EL109" s="227"/>
      <c r="EM109" s="227"/>
      <c r="EN109" s="227"/>
      <c r="EO109" s="227"/>
      <c r="EP109" s="227"/>
      <c r="EQ109" s="227"/>
      <c r="ER109" s="227"/>
      <c r="ES109" s="227"/>
      <c r="ET109" s="227"/>
      <c r="EU109" s="227"/>
      <c r="EV109" s="227"/>
      <c r="EW109" s="227"/>
      <c r="EX109" s="227"/>
      <c r="EY109" s="227"/>
      <c r="EZ109" s="227"/>
      <c r="FA109" s="227"/>
      <c r="FB109" s="227"/>
      <c r="FC109" s="227"/>
      <c r="FD109" s="87"/>
      <c r="FE109" s="227"/>
      <c r="FF109" s="558"/>
      <c r="FG109" s="559"/>
      <c r="FH109" s="227"/>
      <c r="FI109" s="559"/>
      <c r="FJ109" s="560"/>
      <c r="FK109" s="561"/>
      <c r="FL109" s="561"/>
      <c r="FM109" s="561"/>
      <c r="FN109" s="561"/>
      <c r="FO109" s="227"/>
      <c r="FP109" s="227"/>
      <c r="FQ109" s="227"/>
      <c r="FR109" s="561"/>
      <c r="FS109" s="561"/>
      <c r="FT109" s="227"/>
      <c r="FU109" s="87"/>
      <c r="FV109" s="227"/>
      <c r="FW109" s="227"/>
      <c r="FX109" s="227"/>
      <c r="FY109" s="227"/>
      <c r="FZ109" s="227"/>
      <c r="GA109" s="227"/>
      <c r="GB109" s="227"/>
      <c r="GC109" s="227"/>
      <c r="GD109" s="227"/>
      <c r="GE109" s="227"/>
      <c r="GF109" s="227"/>
    </row>
    <row r="110" ht="12.75" customHeight="1">
      <c r="A110" s="1"/>
      <c r="B110" s="1"/>
      <c r="C110" s="63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S110" s="63"/>
      <c r="T110" s="1"/>
      <c r="U110" s="87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8"/>
      <c r="AQ110" s="1"/>
      <c r="AR110" s="87"/>
      <c r="AS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87"/>
      <c r="BK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87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8"/>
      <c r="CT110" s="1"/>
      <c r="CU110" s="1"/>
      <c r="CV110" s="1"/>
      <c r="CW110" s="1"/>
      <c r="CX110" s="1"/>
      <c r="CY110" s="1"/>
      <c r="CZ110" s="87"/>
      <c r="DA110" s="1"/>
      <c r="DB110" s="1"/>
      <c r="DC110" s="1"/>
      <c r="DD110" s="1"/>
      <c r="DE110" s="1"/>
      <c r="DF110" s="1"/>
      <c r="DG110" s="1"/>
      <c r="DH110" s="1"/>
      <c r="DI110" s="341"/>
      <c r="DJ110" s="1"/>
      <c r="DK110" s="1"/>
      <c r="DL110" s="1"/>
      <c r="DM110" s="1"/>
      <c r="DN110" s="1"/>
      <c r="DO110" s="1"/>
      <c r="DP110" s="1"/>
      <c r="DQ110" s="1"/>
      <c r="DR110" s="1"/>
      <c r="EU110" s="1"/>
      <c r="EV110" s="1"/>
      <c r="EW110" s="1"/>
      <c r="EX110" s="1"/>
      <c r="EZ110" s="1"/>
      <c r="FA110" s="1"/>
      <c r="FC110" s="1"/>
      <c r="FD110" s="87"/>
      <c r="FE110" s="1"/>
      <c r="FF110" s="142"/>
      <c r="FG110" s="342"/>
      <c r="FH110" s="1"/>
      <c r="FI110" s="342"/>
      <c r="FJ110" s="232"/>
      <c r="FK110" s="343"/>
      <c r="FL110" s="343"/>
      <c r="FM110" s="343"/>
      <c r="FN110" s="343"/>
      <c r="FO110" s="8"/>
      <c r="FP110" s="8"/>
      <c r="FQ110" s="8"/>
      <c r="FR110" s="343"/>
      <c r="FS110" s="343"/>
      <c r="FT110" s="8"/>
      <c r="FU110" s="87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</row>
    <row r="111" ht="12.75" customHeight="1">
      <c r="A111" s="1"/>
      <c r="B111" s="1"/>
      <c r="C111" s="63"/>
      <c r="D111" s="1"/>
      <c r="E111" s="1"/>
      <c r="F111" s="1"/>
      <c r="G111" s="1"/>
      <c r="H111" s="512"/>
      <c r="I111" s="1"/>
      <c r="J111" s="1"/>
      <c r="K111" s="1"/>
      <c r="L111" s="1"/>
      <c r="M111" s="1"/>
      <c r="N111" s="1"/>
      <c r="O111" s="1"/>
      <c r="P111" s="1"/>
      <c r="Q111" s="1"/>
      <c r="R111" s="227"/>
      <c r="S111" s="562"/>
      <c r="T111" s="227"/>
      <c r="U111" s="87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8"/>
      <c r="AQ111" s="1"/>
      <c r="AR111" s="87"/>
      <c r="AS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87"/>
      <c r="BK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87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8"/>
      <c r="CT111" s="1"/>
      <c r="CU111" s="1"/>
      <c r="CV111" s="1"/>
      <c r="CW111" s="1"/>
      <c r="CX111" s="1"/>
      <c r="CY111" s="1"/>
      <c r="CZ111" s="87"/>
      <c r="DA111" s="1"/>
      <c r="DB111" s="1"/>
      <c r="DC111" s="1"/>
      <c r="DD111" s="1"/>
      <c r="DE111" s="1"/>
      <c r="DF111" s="1"/>
      <c r="DG111" s="1"/>
      <c r="DH111" s="1"/>
      <c r="DI111" s="341"/>
      <c r="DJ111" s="1"/>
      <c r="DK111" s="1"/>
      <c r="DL111" s="1"/>
      <c r="DM111" s="1"/>
      <c r="DN111" s="1"/>
      <c r="DO111" s="1"/>
      <c r="DP111" s="1"/>
      <c r="DQ111" s="1"/>
      <c r="DR111" s="1"/>
      <c r="EU111" s="1"/>
      <c r="EV111" s="1"/>
      <c r="EW111" s="1"/>
      <c r="EX111" s="1"/>
      <c r="EZ111" s="1"/>
      <c r="FA111" s="1"/>
      <c r="FC111" s="1"/>
      <c r="FD111" s="87"/>
      <c r="FE111" s="1"/>
      <c r="FF111" s="142"/>
      <c r="FG111" s="342"/>
      <c r="FH111" s="1"/>
      <c r="FI111" s="342"/>
      <c r="FJ111" s="232"/>
      <c r="FK111" s="343"/>
      <c r="FL111" s="343"/>
      <c r="FM111" s="343"/>
      <c r="FN111" s="343"/>
      <c r="FO111" s="8"/>
      <c r="FP111" s="8"/>
      <c r="FQ111" s="8"/>
      <c r="FR111" s="343"/>
      <c r="FS111" s="343"/>
      <c r="FT111" s="8"/>
      <c r="FU111" s="87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</row>
    <row r="112" ht="12.75" customHeight="1">
      <c r="A112" s="1"/>
      <c r="B112" s="1"/>
      <c r="C112" s="63"/>
      <c r="D112" s="1"/>
      <c r="E112" s="1"/>
      <c r="F112" s="1"/>
      <c r="G112" s="1"/>
      <c r="H112" s="512"/>
      <c r="I112" s="1"/>
      <c r="J112" s="1"/>
      <c r="K112" s="1"/>
      <c r="L112" s="1"/>
      <c r="M112" s="1"/>
      <c r="N112" s="1"/>
      <c r="O112" s="1"/>
      <c r="P112" s="1"/>
      <c r="Q112" s="1"/>
      <c r="S112" s="63"/>
      <c r="T112" s="1"/>
      <c r="U112" s="87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8"/>
      <c r="AQ112" s="1"/>
      <c r="AR112" s="87"/>
      <c r="AS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87"/>
      <c r="BK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87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8"/>
      <c r="CT112" s="1"/>
      <c r="CU112" s="1"/>
      <c r="CV112" s="1"/>
      <c r="CW112" s="1"/>
      <c r="CX112" s="1"/>
      <c r="CY112" s="1"/>
      <c r="CZ112" s="87"/>
      <c r="DA112" s="1"/>
      <c r="DB112" s="1"/>
      <c r="DC112" s="1"/>
      <c r="DD112" s="1"/>
      <c r="DE112" s="1"/>
      <c r="DF112" s="1"/>
      <c r="DG112" s="1"/>
      <c r="DH112" s="1"/>
      <c r="DI112" s="341"/>
      <c r="DJ112" s="1"/>
      <c r="DK112" s="1"/>
      <c r="DL112" s="1"/>
      <c r="DM112" s="1"/>
      <c r="DN112" s="1"/>
      <c r="DO112" s="1"/>
      <c r="DP112" s="1"/>
      <c r="DQ112" s="1"/>
      <c r="DR112" s="1"/>
      <c r="EU112" s="1"/>
      <c r="EV112" s="1"/>
      <c r="EW112" s="1"/>
      <c r="EX112" s="1"/>
      <c r="EZ112" s="1"/>
      <c r="FA112" s="1"/>
      <c r="FC112" s="1"/>
      <c r="FD112" s="87"/>
      <c r="FE112" s="1"/>
      <c r="FF112" s="142"/>
      <c r="FG112" s="342"/>
      <c r="FH112" s="1"/>
      <c r="FI112" s="342"/>
      <c r="FJ112" s="232"/>
      <c r="FK112" s="343"/>
      <c r="FL112" s="343"/>
      <c r="FM112" s="343"/>
      <c r="FN112" s="343"/>
      <c r="FO112" s="8"/>
      <c r="FP112" s="8"/>
      <c r="FQ112" s="8"/>
      <c r="FR112" s="343"/>
      <c r="FS112" s="343"/>
      <c r="FT112" s="8"/>
      <c r="FU112" s="87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</row>
    <row r="113" ht="12.75" customHeight="1">
      <c r="A113" s="227"/>
      <c r="B113" s="227"/>
      <c r="C113" s="562"/>
      <c r="D113" s="227"/>
      <c r="E113" s="227"/>
      <c r="F113" s="227"/>
      <c r="G113" s="227"/>
      <c r="H113" s="512"/>
      <c r="I113" s="1"/>
      <c r="J113" s="1"/>
      <c r="K113" s="1"/>
      <c r="L113" s="1"/>
      <c r="M113" s="1"/>
      <c r="N113" s="1"/>
      <c r="O113" s="1"/>
      <c r="P113" s="1"/>
      <c r="Q113" s="1"/>
      <c r="R113" s="170" t="s">
        <v>357</v>
      </c>
      <c r="S113" s="47"/>
      <c r="T113" s="2"/>
      <c r="U113" s="87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8"/>
      <c r="AQ113" s="1"/>
      <c r="AR113" s="87"/>
      <c r="AS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87"/>
      <c r="BK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87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8"/>
      <c r="CT113" s="1"/>
      <c r="CU113" s="1"/>
      <c r="CV113" s="1"/>
      <c r="CW113" s="1"/>
      <c r="CX113" s="1"/>
      <c r="CY113" s="1"/>
      <c r="CZ113" s="87"/>
      <c r="DA113" s="1"/>
      <c r="DB113" s="1"/>
      <c r="DC113" s="1"/>
      <c r="DD113" s="1"/>
      <c r="DE113" s="1"/>
      <c r="DF113" s="1"/>
      <c r="DG113" s="1"/>
      <c r="DH113" s="1"/>
      <c r="DI113" s="341"/>
      <c r="DJ113" s="1"/>
      <c r="DK113" s="1"/>
      <c r="DL113" s="1"/>
      <c r="DM113" s="1"/>
      <c r="DN113" s="1"/>
      <c r="DO113" s="1"/>
      <c r="DP113" s="1"/>
      <c r="DQ113" s="1"/>
      <c r="DR113" s="1"/>
      <c r="EU113" s="1"/>
      <c r="EV113" s="1"/>
      <c r="EW113" s="1"/>
      <c r="EX113" s="1"/>
      <c r="EZ113" s="1"/>
      <c r="FA113" s="1"/>
      <c r="FC113" s="1"/>
      <c r="FD113" s="87"/>
      <c r="FE113" s="1"/>
      <c r="FF113" s="142"/>
      <c r="FG113" s="342"/>
      <c r="FH113" s="1"/>
      <c r="FI113" s="342"/>
      <c r="FJ113" s="232"/>
      <c r="FK113" s="343"/>
      <c r="FL113" s="343"/>
      <c r="FM113" s="343"/>
      <c r="FN113" s="343"/>
      <c r="FO113" s="8"/>
      <c r="FP113" s="8"/>
      <c r="FQ113" s="8"/>
      <c r="FR113" s="343"/>
      <c r="FS113" s="343"/>
      <c r="FT113" s="8"/>
      <c r="FU113" s="87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</row>
    <row r="114" ht="12.75" customHeight="1">
      <c r="A114" s="1"/>
      <c r="B114" s="1"/>
      <c r="C114" s="63"/>
      <c r="D114" s="1"/>
      <c r="E114" s="1"/>
      <c r="F114" s="1"/>
      <c r="G114" s="1"/>
      <c r="H114" s="512"/>
      <c r="I114" s="1"/>
      <c r="J114" s="1"/>
      <c r="K114" s="1"/>
      <c r="L114" s="1"/>
      <c r="M114" s="1"/>
      <c r="N114" s="1"/>
      <c r="O114" s="1"/>
      <c r="P114" s="1"/>
      <c r="Q114" s="1"/>
      <c r="R114" s="3"/>
      <c r="S114" s="462"/>
      <c r="T114" s="5"/>
      <c r="U114" s="87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8"/>
      <c r="AQ114" s="1"/>
      <c r="AR114" s="87"/>
      <c r="AS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87"/>
      <c r="BK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87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8"/>
      <c r="CT114" s="1"/>
      <c r="CU114" s="1"/>
      <c r="CV114" s="1"/>
      <c r="CW114" s="1"/>
      <c r="CX114" s="1"/>
      <c r="CY114" s="1"/>
      <c r="CZ114" s="87"/>
      <c r="DA114" s="1"/>
      <c r="DB114" s="1"/>
      <c r="DC114" s="1"/>
      <c r="DD114" s="1"/>
      <c r="DE114" s="1"/>
      <c r="DF114" s="1"/>
      <c r="DG114" s="1"/>
      <c r="DH114" s="1"/>
      <c r="DI114" s="341"/>
      <c r="DJ114" s="1"/>
      <c r="DK114" s="1"/>
      <c r="DL114" s="1"/>
      <c r="DM114" s="1"/>
      <c r="DN114" s="1"/>
      <c r="DO114" s="1"/>
      <c r="DP114" s="1"/>
      <c r="DQ114" s="1"/>
      <c r="DR114" s="1"/>
      <c r="EU114" s="1"/>
      <c r="EV114" s="1"/>
      <c r="EW114" s="1"/>
      <c r="EX114" s="1"/>
      <c r="EZ114" s="1"/>
      <c r="FA114" s="1"/>
      <c r="FC114" s="1"/>
      <c r="FD114" s="87"/>
      <c r="FE114" s="1"/>
      <c r="FF114" s="142"/>
      <c r="FG114" s="342"/>
      <c r="FH114" s="1"/>
      <c r="FI114" s="342"/>
      <c r="FJ114" s="232"/>
      <c r="FK114" s="343"/>
      <c r="FL114" s="343"/>
      <c r="FM114" s="343"/>
      <c r="FN114" s="343"/>
      <c r="FO114" s="8"/>
      <c r="FP114" s="8"/>
      <c r="FQ114" s="8"/>
      <c r="FR114" s="343"/>
      <c r="FS114" s="343"/>
      <c r="FT114" s="8"/>
      <c r="FU114" s="87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</row>
    <row r="115" ht="12.75" customHeight="1">
      <c r="A115" s="534" t="s">
        <v>384</v>
      </c>
      <c r="B115" s="8"/>
      <c r="C115" s="63"/>
      <c r="D115" s="8"/>
      <c r="E115" s="1"/>
      <c r="F115" s="1"/>
      <c r="G115" s="1"/>
      <c r="H115" s="512"/>
      <c r="I115" s="1"/>
      <c r="J115" s="1"/>
      <c r="K115" s="1"/>
      <c r="L115" s="1"/>
      <c r="M115" s="1"/>
      <c r="N115" s="1"/>
      <c r="O115" s="1"/>
      <c r="P115" s="1"/>
      <c r="Q115" s="1"/>
      <c r="R115" s="7" t="str">
        <f>R73</f>
        <v> </v>
      </c>
      <c r="S115" s="63"/>
      <c r="T115" s="9"/>
      <c r="U115" s="87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8"/>
      <c r="AQ115" s="1"/>
      <c r="AR115" s="87"/>
      <c r="AS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87"/>
      <c r="BK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87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8"/>
      <c r="CT115" s="1"/>
      <c r="CU115" s="1"/>
      <c r="CV115" s="1"/>
      <c r="CW115" s="1"/>
      <c r="CX115" s="1"/>
      <c r="CY115" s="1"/>
      <c r="CZ115" s="87"/>
      <c r="DA115" s="1"/>
      <c r="DB115" s="1"/>
      <c r="DC115" s="1"/>
      <c r="DD115" s="1"/>
      <c r="DE115" s="1"/>
      <c r="DF115" s="1"/>
      <c r="DG115" s="1"/>
      <c r="DH115" s="1"/>
      <c r="DI115" s="341"/>
      <c r="DJ115" s="1"/>
      <c r="DK115" s="1"/>
      <c r="DL115" s="1"/>
      <c r="DM115" s="1"/>
      <c r="DN115" s="1"/>
      <c r="DO115" s="1"/>
      <c r="DP115" s="1"/>
      <c r="DQ115" s="1"/>
      <c r="DR115" s="1"/>
      <c r="EU115" s="1"/>
      <c r="EV115" s="1"/>
      <c r="EW115" s="1"/>
      <c r="EX115" s="1"/>
      <c r="EZ115" s="1"/>
      <c r="FA115" s="1"/>
      <c r="FC115" s="1"/>
      <c r="FD115" s="87"/>
      <c r="FE115" s="1"/>
      <c r="FF115" s="142"/>
      <c r="FG115" s="342"/>
      <c r="FH115" s="1"/>
      <c r="FI115" s="342"/>
      <c r="FJ115" s="232"/>
      <c r="FK115" s="343"/>
      <c r="FL115" s="343"/>
      <c r="FM115" s="343"/>
      <c r="FN115" s="343"/>
      <c r="FO115" s="8"/>
      <c r="FP115" s="8"/>
      <c r="FQ115" s="8"/>
      <c r="FR115" s="343"/>
      <c r="FS115" s="343"/>
      <c r="FT115" s="8"/>
      <c r="FU115" s="87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</row>
    <row r="116" ht="12.75" customHeight="1">
      <c r="A116" s="525" t="s">
        <v>385</v>
      </c>
      <c r="B116" s="53"/>
      <c r="C116" s="526"/>
      <c r="D116" s="535"/>
      <c r="E116" s="53" t="s">
        <v>40</v>
      </c>
      <c r="F116" s="53"/>
      <c r="G116" s="404" t="s">
        <v>5</v>
      </c>
      <c r="H116" s="512"/>
      <c r="I116" s="1"/>
      <c r="J116" s="1"/>
      <c r="K116" s="1"/>
      <c r="L116" s="1"/>
      <c r="M116" s="1"/>
      <c r="N116" s="1"/>
      <c r="O116" s="1"/>
      <c r="P116" s="1"/>
      <c r="Q116" s="1"/>
      <c r="R116" s="7" t="str">
        <f>R73</f>
        <v> </v>
      </c>
      <c r="S116" s="63"/>
      <c r="T116" s="9"/>
      <c r="U116" s="87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8"/>
      <c r="AQ116" s="1"/>
      <c r="AR116" s="87"/>
      <c r="AS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87"/>
      <c r="BK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87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8"/>
      <c r="CT116" s="1"/>
      <c r="CU116" s="1"/>
      <c r="CV116" s="1"/>
      <c r="CW116" s="1"/>
      <c r="CX116" s="1"/>
      <c r="CY116" s="1"/>
      <c r="CZ116" s="87"/>
      <c r="DA116" s="1"/>
      <c r="DB116" s="1"/>
      <c r="DC116" s="1"/>
      <c r="DD116" s="1"/>
      <c r="DE116" s="1"/>
      <c r="DF116" s="1"/>
      <c r="DG116" s="1"/>
      <c r="DH116" s="1"/>
      <c r="DI116" s="341"/>
      <c r="DJ116" s="1"/>
      <c r="DK116" s="1"/>
      <c r="DL116" s="1"/>
      <c r="DM116" s="1"/>
      <c r="DN116" s="1"/>
      <c r="DO116" s="1"/>
      <c r="DP116" s="1"/>
      <c r="DQ116" s="1"/>
      <c r="DR116" s="1"/>
      <c r="EU116" s="1"/>
      <c r="EV116" s="1"/>
      <c r="EW116" s="1"/>
      <c r="EX116" s="1"/>
      <c r="EZ116" s="1"/>
      <c r="FA116" s="1"/>
      <c r="FC116" s="1"/>
      <c r="FD116" s="87"/>
      <c r="FE116" s="1"/>
      <c r="FF116" s="142"/>
      <c r="FG116" s="342"/>
      <c r="FH116" s="1"/>
      <c r="FI116" s="342"/>
      <c r="FJ116" s="232"/>
      <c r="FK116" s="343"/>
      <c r="FL116" s="343"/>
      <c r="FM116" s="343"/>
      <c r="FN116" s="343"/>
      <c r="FO116" s="8"/>
      <c r="FP116" s="8"/>
      <c r="FQ116" s="8"/>
      <c r="FR116" s="343"/>
      <c r="FS116" s="343"/>
      <c r="FT116" s="8"/>
      <c r="FU116" s="87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</row>
    <row r="117" ht="12.75" customHeight="1">
      <c r="A117" s="38" t="s">
        <v>366</v>
      </c>
      <c r="B117" s="8"/>
      <c r="C117" s="63"/>
      <c r="D117" s="444"/>
      <c r="E117" s="8">
        <f>E79</f>
        <v>0</v>
      </c>
      <c r="F117" s="8"/>
      <c r="G117" s="359">
        <f>G79</f>
        <v>0</v>
      </c>
      <c r="H117" s="512"/>
      <c r="I117" s="1"/>
      <c r="J117" s="1"/>
      <c r="K117" s="1"/>
      <c r="L117" s="1"/>
      <c r="M117" s="1"/>
      <c r="N117" s="1"/>
      <c r="O117" s="1"/>
      <c r="P117" s="1"/>
      <c r="Q117" s="1"/>
      <c r="R117" s="7" t="str">
        <f t="shared" ref="R117:R120" si="268">R75</f>
        <v/>
      </c>
      <c r="S117" s="63"/>
      <c r="T117" s="9"/>
      <c r="U117" s="87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8"/>
      <c r="AQ117" s="1"/>
      <c r="AR117" s="87"/>
      <c r="AS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87"/>
      <c r="BK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87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8"/>
      <c r="CT117" s="1"/>
      <c r="CU117" s="1"/>
      <c r="CV117" s="1"/>
      <c r="CW117" s="1"/>
      <c r="CX117" s="1"/>
      <c r="CY117" s="1"/>
      <c r="CZ117" s="87"/>
      <c r="DA117" s="1"/>
      <c r="DB117" s="1"/>
      <c r="DC117" s="1"/>
      <c r="DD117" s="1"/>
      <c r="DE117" s="1"/>
      <c r="DF117" s="1"/>
      <c r="DG117" s="1"/>
      <c r="DH117" s="1"/>
      <c r="DI117" s="341"/>
      <c r="DJ117" s="1"/>
      <c r="DK117" s="1"/>
      <c r="DL117" s="1"/>
      <c r="DM117" s="1"/>
      <c r="DN117" s="1"/>
      <c r="DO117" s="1"/>
      <c r="DP117" s="1"/>
      <c r="DQ117" s="1"/>
      <c r="DR117" s="1"/>
      <c r="EU117" s="1"/>
      <c r="EV117" s="1"/>
      <c r="EW117" s="1"/>
      <c r="EX117" s="1"/>
      <c r="EZ117" s="1"/>
      <c r="FA117" s="1"/>
      <c r="FC117" s="1"/>
      <c r="FD117" s="87"/>
      <c r="FE117" s="1"/>
      <c r="FF117" s="142"/>
      <c r="FG117" s="342"/>
      <c r="FH117" s="1"/>
      <c r="FI117" s="342"/>
      <c r="FJ117" s="232"/>
      <c r="FK117" s="343"/>
      <c r="FL117" s="343"/>
      <c r="FM117" s="343"/>
      <c r="FN117" s="343"/>
      <c r="FO117" s="8"/>
      <c r="FP117" s="8"/>
      <c r="FQ117" s="8"/>
      <c r="FR117" s="343"/>
      <c r="FS117" s="343"/>
      <c r="FT117" s="8"/>
      <c r="FU117" s="87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</row>
    <row r="118" ht="12.75" customHeight="1">
      <c r="A118" s="38"/>
      <c r="B118" s="8"/>
      <c r="C118" s="63"/>
      <c r="D118" s="8"/>
      <c r="E118" s="8"/>
      <c r="F118" s="8"/>
      <c r="G118" s="359"/>
      <c r="H118" s="512"/>
      <c r="I118" s="1"/>
      <c r="J118" s="1"/>
      <c r="K118" s="1"/>
      <c r="L118" s="1"/>
      <c r="M118" s="1"/>
      <c r="N118" s="1"/>
      <c r="O118" s="1"/>
      <c r="P118" s="1"/>
      <c r="Q118" s="1"/>
      <c r="R118" s="7" t="str">
        <f t="shared" si="268"/>
        <v/>
      </c>
      <c r="S118" s="63"/>
      <c r="T118" s="9"/>
      <c r="U118" s="87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8"/>
      <c r="AQ118" s="1"/>
      <c r="AR118" s="87"/>
      <c r="AS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87"/>
      <c r="BK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87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8"/>
      <c r="CT118" s="1"/>
      <c r="CU118" s="1"/>
      <c r="CV118" s="1"/>
      <c r="CW118" s="1"/>
      <c r="CX118" s="1"/>
      <c r="CY118" s="1"/>
      <c r="CZ118" s="87"/>
      <c r="DA118" s="1"/>
      <c r="DB118" s="1"/>
      <c r="DC118" s="1"/>
      <c r="DD118" s="1"/>
      <c r="DE118" s="1"/>
      <c r="DF118" s="1"/>
      <c r="DG118" s="1"/>
      <c r="DH118" s="1"/>
      <c r="DI118" s="341"/>
      <c r="DJ118" s="1"/>
      <c r="DK118" s="1"/>
      <c r="DL118" s="1"/>
      <c r="DM118" s="1"/>
      <c r="DN118" s="1"/>
      <c r="DO118" s="1"/>
      <c r="DP118" s="1"/>
      <c r="DQ118" s="1"/>
      <c r="DR118" s="1"/>
      <c r="EU118" s="1"/>
      <c r="EV118" s="1"/>
      <c r="EW118" s="1"/>
      <c r="EX118" s="1"/>
      <c r="EZ118" s="1"/>
      <c r="FA118" s="1"/>
      <c r="FC118" s="1"/>
      <c r="FD118" s="87"/>
      <c r="FE118" s="1"/>
      <c r="FF118" s="142"/>
      <c r="FG118" s="342"/>
      <c r="FH118" s="1"/>
      <c r="FI118" s="342"/>
      <c r="FJ118" s="232"/>
      <c r="FK118" s="343"/>
      <c r="FL118" s="343"/>
      <c r="FM118" s="343"/>
      <c r="FN118" s="343"/>
      <c r="FO118" s="8"/>
      <c r="FP118" s="8"/>
      <c r="FQ118" s="8"/>
      <c r="FR118" s="343"/>
      <c r="FS118" s="343"/>
      <c r="FT118" s="8"/>
      <c r="FU118" s="87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</row>
    <row r="119" ht="12.75" customHeight="1">
      <c r="A119" s="38"/>
      <c r="B119" s="8"/>
      <c r="C119" s="63"/>
      <c r="D119" s="8"/>
      <c r="E119" s="8"/>
      <c r="F119" s="8"/>
      <c r="G119" s="359"/>
      <c r="H119" s="512"/>
      <c r="I119" s="1"/>
      <c r="J119" s="1"/>
      <c r="K119" s="1"/>
      <c r="L119" s="1"/>
      <c r="M119" s="1"/>
      <c r="N119" s="1"/>
      <c r="O119" s="1"/>
      <c r="P119" s="1"/>
      <c r="Q119" s="1"/>
      <c r="R119" s="7" t="str">
        <f t="shared" si="268"/>
        <v/>
      </c>
      <c r="S119" s="63"/>
      <c r="T119" s="9"/>
      <c r="U119" s="87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8"/>
      <c r="AQ119" s="1"/>
      <c r="AR119" s="87"/>
      <c r="AS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87"/>
      <c r="BK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87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8"/>
      <c r="CT119" s="1"/>
      <c r="CU119" s="1"/>
      <c r="CV119" s="1"/>
      <c r="CW119" s="1"/>
      <c r="CX119" s="1"/>
      <c r="CY119" s="1"/>
      <c r="CZ119" s="87"/>
      <c r="DA119" s="1"/>
      <c r="DB119" s="1"/>
      <c r="DC119" s="1"/>
      <c r="DD119" s="1"/>
      <c r="DE119" s="1"/>
      <c r="DF119" s="1"/>
      <c r="DG119" s="1"/>
      <c r="DH119" s="1"/>
      <c r="DI119" s="341"/>
      <c r="DJ119" s="1"/>
      <c r="DK119" s="1"/>
      <c r="DL119" s="1"/>
      <c r="DM119" s="1"/>
      <c r="DN119" s="1"/>
      <c r="DO119" s="1"/>
      <c r="DP119" s="1"/>
      <c r="DQ119" s="1"/>
      <c r="DR119" s="1"/>
      <c r="EU119" s="1"/>
      <c r="EV119" s="1"/>
      <c r="EW119" s="1"/>
      <c r="EX119" s="1"/>
      <c r="EZ119" s="1"/>
      <c r="FA119" s="1"/>
      <c r="FC119" s="1"/>
      <c r="FD119" s="87"/>
      <c r="FE119" s="1"/>
      <c r="FF119" s="142"/>
      <c r="FG119" s="342"/>
      <c r="FH119" s="1"/>
      <c r="FI119" s="342"/>
      <c r="FJ119" s="232"/>
      <c r="FK119" s="343"/>
      <c r="FL119" s="343"/>
      <c r="FM119" s="343"/>
      <c r="FN119" s="343"/>
      <c r="FO119" s="8"/>
      <c r="FP119" s="8"/>
      <c r="FQ119" s="8"/>
      <c r="FR119" s="343"/>
      <c r="FS119" s="343"/>
      <c r="FT119" s="8"/>
      <c r="FU119" s="87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</row>
    <row r="120" ht="12.75" customHeight="1">
      <c r="A120" s="38" t="s">
        <v>368</v>
      </c>
      <c r="B120" s="8"/>
      <c r="C120" s="63"/>
      <c r="D120" s="536"/>
      <c r="E120" s="8">
        <f t="shared" ref="E120:E121" si="269">E82</f>
        <v>0</v>
      </c>
      <c r="F120" s="8"/>
      <c r="G120" s="359">
        <f t="shared" ref="G120:G121" si="270">G82</f>
        <v>0</v>
      </c>
      <c r="H120" s="512"/>
      <c r="I120" s="1"/>
      <c r="J120" s="1"/>
      <c r="K120" s="1"/>
      <c r="L120" s="1"/>
      <c r="M120" s="1"/>
      <c r="N120" s="1"/>
      <c r="O120" s="1"/>
      <c r="P120" s="1"/>
      <c r="Q120" s="1"/>
      <c r="R120" s="7" t="str">
        <f t="shared" si="268"/>
        <v/>
      </c>
      <c r="S120" s="63"/>
      <c r="T120" s="9"/>
      <c r="U120" s="87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8"/>
      <c r="AQ120" s="1"/>
      <c r="AR120" s="87"/>
      <c r="AS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87"/>
      <c r="BK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87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8"/>
      <c r="CT120" s="1"/>
      <c r="CU120" s="1"/>
      <c r="CV120" s="1"/>
      <c r="CW120" s="1"/>
      <c r="CX120" s="1"/>
      <c r="CY120" s="1"/>
      <c r="CZ120" s="87"/>
      <c r="DA120" s="1"/>
      <c r="DB120" s="1"/>
      <c r="DC120" s="1"/>
      <c r="DD120" s="1"/>
      <c r="DE120" s="1"/>
      <c r="DF120" s="1"/>
      <c r="DG120" s="1"/>
      <c r="DH120" s="1"/>
      <c r="DI120" s="341"/>
      <c r="DJ120" s="1"/>
      <c r="DK120" s="1"/>
      <c r="DL120" s="1"/>
      <c r="DM120" s="1"/>
      <c r="DN120" s="1"/>
      <c r="DO120" s="1"/>
      <c r="DP120" s="1"/>
      <c r="DQ120" s="1"/>
      <c r="DR120" s="1"/>
      <c r="EU120" s="1"/>
      <c r="EV120" s="1"/>
      <c r="EW120" s="1"/>
      <c r="EX120" s="1"/>
      <c r="EZ120" s="1"/>
      <c r="FA120" s="1"/>
      <c r="FC120" s="1"/>
      <c r="FD120" s="87"/>
      <c r="FE120" s="1"/>
      <c r="FF120" s="142"/>
      <c r="FG120" s="342"/>
      <c r="FH120" s="1"/>
      <c r="FI120" s="342"/>
      <c r="FJ120" s="232"/>
      <c r="FK120" s="343"/>
      <c r="FL120" s="343"/>
      <c r="FM120" s="343"/>
      <c r="FN120" s="343"/>
      <c r="FO120" s="8"/>
      <c r="FP120" s="8"/>
      <c r="FQ120" s="8"/>
      <c r="FR120" s="343"/>
      <c r="FS120" s="343"/>
      <c r="FT120" s="8"/>
      <c r="FU120" s="87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</row>
    <row r="121" ht="12.75" customHeight="1">
      <c r="A121" s="38" t="s">
        <v>369</v>
      </c>
      <c r="B121" s="8"/>
      <c r="C121" s="63"/>
      <c r="D121" s="444"/>
      <c r="E121" s="8">
        <f t="shared" si="269"/>
        <v>0</v>
      </c>
      <c r="F121" s="8"/>
      <c r="G121" s="359">
        <f t="shared" si="270"/>
        <v>0</v>
      </c>
      <c r="H121" s="512"/>
      <c r="I121" s="1"/>
      <c r="J121" s="1"/>
      <c r="K121" s="1"/>
      <c r="L121" s="1"/>
      <c r="M121" s="1"/>
      <c r="N121" s="1"/>
      <c r="O121" s="1"/>
      <c r="P121" s="1"/>
      <c r="Q121" s="1"/>
      <c r="R121" s="7" t="str">
        <f>R80</f>
        <v> </v>
      </c>
      <c r="S121" s="63"/>
      <c r="T121" s="9"/>
      <c r="U121" s="87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8"/>
      <c r="AQ121" s="1"/>
      <c r="AR121" s="87"/>
      <c r="AS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87"/>
      <c r="BK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87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8"/>
      <c r="CT121" s="1"/>
      <c r="CU121" s="1"/>
      <c r="CV121" s="1"/>
      <c r="CW121" s="1"/>
      <c r="CX121" s="1"/>
      <c r="CY121" s="1"/>
      <c r="CZ121" s="87"/>
      <c r="DA121" s="1"/>
      <c r="DB121" s="1"/>
      <c r="DC121" s="1"/>
      <c r="DD121" s="1"/>
      <c r="DE121" s="1"/>
      <c r="DF121" s="1"/>
      <c r="DG121" s="1"/>
      <c r="DH121" s="1"/>
      <c r="DI121" s="341"/>
      <c r="DJ121" s="1"/>
      <c r="DK121" s="1"/>
      <c r="DL121" s="1"/>
      <c r="DM121" s="1"/>
      <c r="DN121" s="1"/>
      <c r="DO121" s="1"/>
      <c r="DP121" s="1"/>
      <c r="DQ121" s="1"/>
      <c r="DR121" s="1"/>
      <c r="EU121" s="1"/>
      <c r="EV121" s="1"/>
      <c r="EW121" s="1"/>
      <c r="EX121" s="1"/>
      <c r="EZ121" s="1"/>
      <c r="FA121" s="1"/>
      <c r="FC121" s="1"/>
      <c r="FD121" s="87"/>
      <c r="FE121" s="1"/>
      <c r="FF121" s="142"/>
      <c r="FG121" s="342"/>
      <c r="FH121" s="1"/>
      <c r="FI121" s="342"/>
      <c r="FJ121" s="232"/>
      <c r="FK121" s="343"/>
      <c r="FL121" s="343"/>
      <c r="FM121" s="343"/>
      <c r="FN121" s="343"/>
      <c r="FO121" s="8"/>
      <c r="FP121" s="8"/>
      <c r="FQ121" s="8"/>
      <c r="FR121" s="343"/>
      <c r="FS121" s="343"/>
      <c r="FT121" s="8"/>
      <c r="FU121" s="87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</row>
    <row r="122" ht="12.75" customHeight="1">
      <c r="A122" s="38"/>
      <c r="B122" s="8"/>
      <c r="C122" s="63"/>
      <c r="D122" s="8"/>
      <c r="E122" s="8"/>
      <c r="F122" s="8"/>
      <c r="G122" s="359"/>
      <c r="H122" s="512"/>
      <c r="I122" s="1"/>
      <c r="J122" s="1"/>
      <c r="K122" s="1"/>
      <c r="L122" s="1"/>
      <c r="M122" s="1"/>
      <c r="N122" s="1"/>
      <c r="O122" s="1"/>
      <c r="P122" s="1"/>
      <c r="Q122" s="1"/>
      <c r="R122" s="7" t="s">
        <v>40</v>
      </c>
      <c r="S122" s="63">
        <f t="shared" ref="S122:T122" si="271">S81</f>
        <v>1000</v>
      </c>
      <c r="T122" s="537">
        <f t="shared" si="271"/>
        <v>0</v>
      </c>
      <c r="U122" s="87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8"/>
      <c r="AQ122" s="1"/>
      <c r="AR122" s="87"/>
      <c r="AS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87"/>
      <c r="BK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87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8"/>
      <c r="CT122" s="1"/>
      <c r="CU122" s="1"/>
      <c r="CV122" s="1"/>
      <c r="CW122" s="1"/>
      <c r="CX122" s="1"/>
      <c r="CY122" s="1"/>
      <c r="CZ122" s="87"/>
      <c r="DA122" s="1"/>
      <c r="DB122" s="1"/>
      <c r="DC122" s="1"/>
      <c r="DD122" s="1"/>
      <c r="DE122" s="1"/>
      <c r="DF122" s="1"/>
      <c r="DG122" s="1"/>
      <c r="DH122" s="1"/>
      <c r="DI122" s="341"/>
      <c r="DJ122" s="1"/>
      <c r="DK122" s="1"/>
      <c r="DL122" s="1"/>
      <c r="DM122" s="1"/>
      <c r="DN122" s="1"/>
      <c r="DO122" s="1"/>
      <c r="DP122" s="1"/>
      <c r="DQ122" s="1"/>
      <c r="DR122" s="1"/>
      <c r="EU122" s="1"/>
      <c r="EV122" s="1"/>
      <c r="EW122" s="1"/>
      <c r="EX122" s="1"/>
      <c r="EZ122" s="1"/>
      <c r="FA122" s="1"/>
      <c r="FC122" s="1"/>
      <c r="FD122" s="87"/>
      <c r="FE122" s="1"/>
      <c r="FF122" s="142"/>
      <c r="FG122" s="342"/>
      <c r="FH122" s="1"/>
      <c r="FI122" s="342"/>
      <c r="FJ122" s="232"/>
      <c r="FK122" s="343"/>
      <c r="FL122" s="343"/>
      <c r="FM122" s="343"/>
      <c r="FN122" s="343"/>
      <c r="FO122" s="8"/>
      <c r="FP122" s="8"/>
      <c r="FQ122" s="8"/>
      <c r="FR122" s="343"/>
      <c r="FS122" s="343"/>
      <c r="FT122" s="8"/>
      <c r="FU122" s="87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</row>
    <row r="123" ht="12.75" customHeight="1">
      <c r="A123" s="38"/>
      <c r="B123" s="8"/>
      <c r="C123" s="63"/>
      <c r="D123" s="8"/>
      <c r="E123" s="8"/>
      <c r="F123" s="8"/>
      <c r="G123" s="359"/>
      <c r="H123" s="512"/>
      <c r="I123" s="1"/>
      <c r="J123" s="1"/>
      <c r="K123" s="1"/>
      <c r="L123" s="1"/>
      <c r="M123" s="1"/>
      <c r="N123" s="1"/>
      <c r="O123" s="1"/>
      <c r="P123" s="1"/>
      <c r="Q123" s="1"/>
      <c r="R123" s="7" t="s">
        <v>5</v>
      </c>
      <c r="S123" s="484">
        <f t="shared" ref="S123:T123" si="272">S83</f>
        <v>0</v>
      </c>
      <c r="T123" s="57" t="str">
        <f t="shared" si="272"/>
        <v/>
      </c>
      <c r="U123" s="87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8"/>
      <c r="AQ123" s="1"/>
      <c r="AR123" s="87"/>
      <c r="AS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87"/>
      <c r="BK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87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8"/>
      <c r="CT123" s="1"/>
      <c r="CU123" s="1"/>
      <c r="CV123" s="1"/>
      <c r="CW123" s="1"/>
      <c r="CX123" s="1"/>
      <c r="CY123" s="1"/>
      <c r="CZ123" s="87"/>
      <c r="DA123" s="1"/>
      <c r="DB123" s="1"/>
      <c r="DC123" s="1"/>
      <c r="DD123" s="1"/>
      <c r="DE123" s="1"/>
      <c r="DF123" s="1"/>
      <c r="DG123" s="1"/>
      <c r="DH123" s="1"/>
      <c r="DI123" s="341"/>
      <c r="DJ123" s="1"/>
      <c r="DK123" s="1"/>
      <c r="DL123" s="1"/>
      <c r="DM123" s="1"/>
      <c r="DN123" s="1"/>
      <c r="DO123" s="1"/>
      <c r="DP123" s="1"/>
      <c r="DQ123" s="1"/>
      <c r="DR123" s="1"/>
      <c r="EU123" s="1"/>
      <c r="EV123" s="1"/>
      <c r="EW123" s="1"/>
      <c r="EX123" s="1"/>
      <c r="EZ123" s="1"/>
      <c r="FA123" s="1"/>
      <c r="FC123" s="1"/>
      <c r="FD123" s="87"/>
      <c r="FE123" s="1"/>
      <c r="FF123" s="142"/>
      <c r="FG123" s="342"/>
      <c r="FH123" s="1"/>
      <c r="FI123" s="342"/>
      <c r="FJ123" s="232"/>
      <c r="FK123" s="343"/>
      <c r="FL123" s="343"/>
      <c r="FM123" s="343"/>
      <c r="FN123" s="343"/>
      <c r="FO123" s="8"/>
      <c r="FP123" s="8"/>
      <c r="FQ123" s="8"/>
      <c r="FR123" s="343"/>
      <c r="FS123" s="343"/>
      <c r="FT123" s="8"/>
      <c r="FU123" s="87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</row>
    <row r="124" ht="12.75" customHeight="1">
      <c r="A124" s="38"/>
      <c r="B124" s="8"/>
      <c r="C124" s="63"/>
      <c r="D124" s="8"/>
      <c r="E124" s="8"/>
      <c r="F124" s="8"/>
      <c r="G124" s="359"/>
      <c r="H124" s="512"/>
      <c r="I124" s="1"/>
      <c r="J124" s="1"/>
      <c r="K124" s="1"/>
      <c r="L124" s="1"/>
      <c r="M124" s="1"/>
      <c r="N124" s="1"/>
      <c r="O124" s="1"/>
      <c r="P124" s="1"/>
      <c r="Q124" s="1"/>
      <c r="R124" s="7"/>
      <c r="S124" s="63"/>
      <c r="T124" s="57"/>
      <c r="U124" s="87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8"/>
      <c r="AQ124" s="1"/>
      <c r="AR124" s="87"/>
      <c r="AS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87"/>
      <c r="BK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87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8"/>
      <c r="CT124" s="1"/>
      <c r="CU124" s="1"/>
      <c r="CV124" s="1"/>
      <c r="CW124" s="1"/>
      <c r="CX124" s="1"/>
      <c r="CY124" s="1"/>
      <c r="CZ124" s="87"/>
      <c r="DA124" s="1"/>
      <c r="DB124" s="1"/>
      <c r="DC124" s="1"/>
      <c r="DD124" s="1"/>
      <c r="DE124" s="1"/>
      <c r="DF124" s="1"/>
      <c r="DG124" s="1"/>
      <c r="DH124" s="1"/>
      <c r="DI124" s="341"/>
      <c r="DJ124" s="1"/>
      <c r="DK124" s="1"/>
      <c r="DL124" s="1"/>
      <c r="DM124" s="1"/>
      <c r="DN124" s="1"/>
      <c r="DO124" s="1"/>
      <c r="DP124" s="1"/>
      <c r="DQ124" s="1"/>
      <c r="DR124" s="1"/>
      <c r="EU124" s="1"/>
      <c r="EV124" s="1"/>
      <c r="EW124" s="1"/>
      <c r="EX124" s="1"/>
      <c r="EZ124" s="1"/>
      <c r="FA124" s="1"/>
      <c r="FC124" s="1"/>
      <c r="FD124" s="87"/>
      <c r="FE124" s="1"/>
      <c r="FF124" s="142"/>
      <c r="FG124" s="342"/>
      <c r="FH124" s="1"/>
      <c r="FI124" s="342"/>
      <c r="FJ124" s="232"/>
      <c r="FK124" s="343"/>
      <c r="FL124" s="343"/>
      <c r="FM124" s="343"/>
      <c r="FN124" s="343"/>
      <c r="FO124" s="8"/>
      <c r="FP124" s="8"/>
      <c r="FQ124" s="8"/>
      <c r="FR124" s="343"/>
      <c r="FS124" s="343"/>
      <c r="FT124" s="8"/>
      <c r="FU124" s="87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</row>
    <row r="125" ht="12.75" customHeight="1">
      <c r="A125" s="38"/>
      <c r="B125" s="8"/>
      <c r="C125" s="63"/>
      <c r="D125" s="8"/>
      <c r="E125" s="8"/>
      <c r="F125" s="8"/>
      <c r="G125" s="359"/>
      <c r="H125" s="512"/>
      <c r="I125" s="1"/>
      <c r="J125" s="1"/>
      <c r="K125" s="1"/>
      <c r="L125" s="1"/>
      <c r="M125" s="1"/>
      <c r="N125" s="1"/>
      <c r="O125" s="1"/>
      <c r="P125" s="1"/>
      <c r="Q125" s="1"/>
      <c r="R125" s="540" t="str">
        <f t="shared" ref="R125:T125" si="273">R87</f>
        <v>add'l</v>
      </c>
      <c r="S125" s="541" t="str">
        <f t="shared" si="273"/>
        <v> </v>
      </c>
      <c r="T125" s="557" t="str">
        <f t="shared" si="273"/>
        <v/>
      </c>
      <c r="U125" s="87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8"/>
      <c r="AQ125" s="1"/>
      <c r="AR125" s="87"/>
      <c r="AS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87"/>
      <c r="BK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87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8"/>
      <c r="CT125" s="1"/>
      <c r="CU125" s="1"/>
      <c r="CV125" s="1"/>
      <c r="CW125" s="1"/>
      <c r="CX125" s="1"/>
      <c r="CY125" s="1"/>
      <c r="CZ125" s="87"/>
      <c r="DA125" s="1"/>
      <c r="DB125" s="1"/>
      <c r="DC125" s="1"/>
      <c r="DD125" s="1"/>
      <c r="DE125" s="1"/>
      <c r="DF125" s="1"/>
      <c r="DG125" s="1"/>
      <c r="DH125" s="1"/>
      <c r="DI125" s="341"/>
      <c r="DJ125" s="1"/>
      <c r="DK125" s="1"/>
      <c r="DL125" s="1"/>
      <c r="DM125" s="1"/>
      <c r="DN125" s="1"/>
      <c r="DO125" s="1"/>
      <c r="DP125" s="1"/>
      <c r="DQ125" s="1"/>
      <c r="DR125" s="1"/>
      <c r="EU125" s="1"/>
      <c r="EV125" s="1"/>
      <c r="EW125" s="1"/>
      <c r="EX125" s="1"/>
      <c r="EZ125" s="1"/>
      <c r="FA125" s="1"/>
      <c r="FC125" s="1"/>
      <c r="FD125" s="87"/>
      <c r="FE125" s="1"/>
      <c r="FF125" s="142"/>
      <c r="FG125" s="342"/>
      <c r="FH125" s="1"/>
      <c r="FI125" s="342"/>
      <c r="FJ125" s="232"/>
      <c r="FK125" s="343"/>
      <c r="FL125" s="343"/>
      <c r="FM125" s="343"/>
      <c r="FN125" s="343"/>
      <c r="FO125" s="8"/>
      <c r="FP125" s="8"/>
      <c r="FQ125" s="8"/>
      <c r="FR125" s="343"/>
      <c r="FS125" s="343"/>
      <c r="FT125" s="8"/>
      <c r="FU125" s="87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</row>
    <row r="126" ht="12.75" customHeight="1">
      <c r="A126" s="38" t="s">
        <v>370</v>
      </c>
      <c r="B126" s="8"/>
      <c r="C126" s="63"/>
      <c r="D126" s="8"/>
      <c r="E126" s="8"/>
      <c r="F126" s="8"/>
      <c r="G126" s="359"/>
      <c r="H126" s="512"/>
      <c r="I126" s="1"/>
      <c r="J126" s="1"/>
      <c r="K126" s="1"/>
      <c r="L126" s="1"/>
      <c r="M126" s="1"/>
      <c r="N126" s="1"/>
      <c r="O126" s="1"/>
      <c r="P126" s="1"/>
      <c r="Q126" s="1"/>
      <c r="R126" s="7"/>
      <c r="S126" s="63"/>
      <c r="T126" s="537"/>
      <c r="U126" s="87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8"/>
      <c r="AQ126" s="1"/>
      <c r="AR126" s="87"/>
      <c r="AS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87"/>
      <c r="BK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87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8"/>
      <c r="CT126" s="1"/>
      <c r="CU126" s="1"/>
      <c r="CV126" s="1"/>
      <c r="CW126" s="1"/>
      <c r="CX126" s="1"/>
      <c r="CY126" s="1"/>
      <c r="CZ126" s="87"/>
      <c r="DA126" s="1"/>
      <c r="DB126" s="1"/>
      <c r="DC126" s="1"/>
      <c r="DD126" s="1"/>
      <c r="DE126" s="1"/>
      <c r="DF126" s="1"/>
      <c r="DG126" s="1"/>
      <c r="DH126" s="1"/>
      <c r="DI126" s="341"/>
      <c r="DJ126" s="1"/>
      <c r="DK126" s="1"/>
      <c r="DL126" s="1"/>
      <c r="DM126" s="1"/>
      <c r="DN126" s="1"/>
      <c r="DO126" s="1"/>
      <c r="DP126" s="1"/>
      <c r="DQ126" s="1"/>
      <c r="DR126" s="1"/>
      <c r="EU126" s="1"/>
      <c r="EV126" s="1"/>
      <c r="EW126" s="1"/>
      <c r="EX126" s="1"/>
      <c r="EZ126" s="1"/>
      <c r="FA126" s="1"/>
      <c r="FC126" s="1"/>
      <c r="FD126" s="87"/>
      <c r="FE126" s="1"/>
      <c r="FF126" s="142"/>
      <c r="FG126" s="342"/>
      <c r="FH126" s="1"/>
      <c r="FI126" s="342"/>
      <c r="FJ126" s="232"/>
      <c r="FK126" s="343"/>
      <c r="FL126" s="343"/>
      <c r="FM126" s="343"/>
      <c r="FN126" s="343"/>
      <c r="FO126" s="8"/>
      <c r="FP126" s="8"/>
      <c r="FQ126" s="8"/>
      <c r="FR126" s="343"/>
      <c r="FS126" s="343"/>
      <c r="FT126" s="8"/>
      <c r="FU126" s="87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</row>
    <row r="127" ht="12.75" customHeight="1">
      <c r="A127" s="38" t="s">
        <v>40</v>
      </c>
      <c r="B127" s="8"/>
      <c r="C127" s="63"/>
      <c r="D127" s="444">
        <v>100.0</v>
      </c>
      <c r="E127" s="8"/>
      <c r="F127" s="8"/>
      <c r="G127" s="359"/>
      <c r="H127" s="512"/>
      <c r="I127" s="1"/>
      <c r="J127" s="1"/>
      <c r="K127" s="1"/>
      <c r="L127" s="1"/>
      <c r="M127" s="1"/>
      <c r="N127" s="1"/>
      <c r="O127" s="1"/>
      <c r="P127" s="1"/>
      <c r="Q127" s="1"/>
      <c r="R127" s="12" t="str">
        <f t="shared" ref="R127:T127" si="274">R89</f>
        <v>total</v>
      </c>
      <c r="S127" s="497">
        <f t="shared" si="274"/>
        <v>1000</v>
      </c>
      <c r="T127" s="563">
        <f t="shared" si="274"/>
        <v>0</v>
      </c>
      <c r="U127" s="87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8"/>
      <c r="AQ127" s="1"/>
      <c r="AR127" s="87"/>
      <c r="AS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87"/>
      <c r="BK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87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8"/>
      <c r="CT127" s="1"/>
      <c r="CU127" s="1"/>
      <c r="CV127" s="1"/>
      <c r="CW127" s="1"/>
      <c r="CX127" s="1"/>
      <c r="CY127" s="1"/>
      <c r="CZ127" s="87"/>
      <c r="DA127" s="1"/>
      <c r="DB127" s="1"/>
      <c r="DC127" s="1"/>
      <c r="DD127" s="1"/>
      <c r="DE127" s="1"/>
      <c r="DF127" s="1"/>
      <c r="DG127" s="1"/>
      <c r="DH127" s="1"/>
      <c r="DI127" s="341"/>
      <c r="DJ127" s="1"/>
      <c r="DK127" s="1"/>
      <c r="DL127" s="1"/>
      <c r="DM127" s="1"/>
      <c r="DN127" s="1"/>
      <c r="DO127" s="1"/>
      <c r="DP127" s="1"/>
      <c r="DQ127" s="1"/>
      <c r="DR127" s="1"/>
      <c r="EU127" s="1"/>
      <c r="EV127" s="1"/>
      <c r="EW127" s="1"/>
      <c r="EX127" s="1"/>
      <c r="EZ127" s="1"/>
      <c r="FA127" s="1"/>
      <c r="FC127" s="1"/>
      <c r="FD127" s="87"/>
      <c r="FE127" s="1"/>
      <c r="FF127" s="142"/>
      <c r="FG127" s="342"/>
      <c r="FH127" s="1"/>
      <c r="FI127" s="342"/>
      <c r="FJ127" s="232"/>
      <c r="FK127" s="343"/>
      <c r="FL127" s="343"/>
      <c r="FM127" s="343"/>
      <c r="FN127" s="343"/>
      <c r="FO127" s="8"/>
      <c r="FP127" s="8"/>
      <c r="FQ127" s="8"/>
      <c r="FR127" s="343"/>
      <c r="FS127" s="343"/>
      <c r="FT127" s="8"/>
      <c r="FU127" s="87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</row>
    <row r="128" ht="12.75" customHeight="1">
      <c r="A128" s="366" t="s">
        <v>5</v>
      </c>
      <c r="B128" s="61"/>
      <c r="C128" s="543"/>
      <c r="D128" s="531">
        <v>100.0</v>
      </c>
      <c r="E128" s="61"/>
      <c r="F128" s="61"/>
      <c r="G128" s="367"/>
      <c r="H128" s="512"/>
      <c r="I128" s="1"/>
      <c r="J128" s="1"/>
      <c r="K128" s="1"/>
      <c r="L128" s="1"/>
      <c r="M128" s="1"/>
      <c r="N128" s="1"/>
      <c r="O128" s="1"/>
      <c r="P128" s="1"/>
      <c r="Q128" s="1"/>
      <c r="R128" s="8"/>
      <c r="S128" s="63"/>
      <c r="T128" s="58"/>
      <c r="U128" s="87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8"/>
      <c r="AQ128" s="1"/>
      <c r="AR128" s="87"/>
      <c r="AS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87"/>
      <c r="BK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87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8"/>
      <c r="CT128" s="1"/>
      <c r="CU128" s="1"/>
      <c r="CV128" s="1"/>
      <c r="CW128" s="1"/>
      <c r="CX128" s="1"/>
      <c r="CY128" s="1"/>
      <c r="CZ128" s="87"/>
      <c r="DA128" s="1"/>
      <c r="DB128" s="1"/>
      <c r="DC128" s="1"/>
      <c r="DD128" s="1"/>
      <c r="DE128" s="1"/>
      <c r="DF128" s="1"/>
      <c r="DG128" s="1"/>
      <c r="DH128" s="1"/>
      <c r="DI128" s="341"/>
      <c r="DJ128" s="1"/>
      <c r="DK128" s="1"/>
      <c r="DL128" s="1"/>
      <c r="DM128" s="1"/>
      <c r="DN128" s="1"/>
      <c r="DO128" s="1"/>
      <c r="DP128" s="1"/>
      <c r="DQ128" s="1"/>
      <c r="DR128" s="1"/>
      <c r="EU128" s="1"/>
      <c r="EV128" s="1"/>
      <c r="EW128" s="1"/>
      <c r="EX128" s="1"/>
      <c r="EZ128" s="1"/>
      <c r="FA128" s="1"/>
      <c r="FC128" s="1"/>
      <c r="FD128" s="87"/>
      <c r="FE128" s="1"/>
      <c r="FF128" s="142"/>
      <c r="FG128" s="342"/>
      <c r="FH128" s="1"/>
      <c r="FI128" s="342"/>
      <c r="FJ128" s="232"/>
      <c r="FK128" s="343"/>
      <c r="FL128" s="343"/>
      <c r="FM128" s="343"/>
      <c r="FN128" s="343"/>
      <c r="FO128" s="8"/>
      <c r="FP128" s="8"/>
      <c r="FQ128" s="8"/>
      <c r="FR128" s="343"/>
      <c r="FS128" s="343"/>
      <c r="FT128" s="8"/>
      <c r="FU128" s="87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</row>
    <row r="129" ht="12.75" customHeight="1">
      <c r="A129" s="534" t="s">
        <v>386</v>
      </c>
      <c r="B129" s="1"/>
      <c r="C129" s="63"/>
      <c r="D129" s="1"/>
      <c r="E129" s="1"/>
      <c r="F129" s="1"/>
      <c r="G129" s="1"/>
      <c r="H129" s="512"/>
      <c r="I129" s="1"/>
      <c r="J129" s="1"/>
      <c r="K129" s="1"/>
      <c r="L129" s="1"/>
      <c r="M129" s="1"/>
      <c r="N129" s="1"/>
      <c r="O129" s="1"/>
      <c r="P129" s="1"/>
      <c r="Q129" s="1"/>
      <c r="R129" s="170" t="s">
        <v>375</v>
      </c>
      <c r="S129" s="47"/>
      <c r="T129" s="2"/>
      <c r="U129" s="87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8"/>
      <c r="AQ129" s="1"/>
      <c r="AR129" s="87"/>
      <c r="AS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87"/>
      <c r="BK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87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8"/>
      <c r="CT129" s="1"/>
      <c r="CU129" s="1"/>
      <c r="CV129" s="1"/>
      <c r="CW129" s="1"/>
      <c r="CX129" s="1"/>
      <c r="CY129" s="1"/>
      <c r="CZ129" s="87"/>
      <c r="DA129" s="1"/>
      <c r="DB129" s="1"/>
      <c r="DC129" s="1"/>
      <c r="DD129" s="1"/>
      <c r="DE129" s="1"/>
      <c r="DF129" s="1"/>
      <c r="DG129" s="1"/>
      <c r="DH129" s="1"/>
      <c r="DI129" s="341"/>
      <c r="DJ129" s="1"/>
      <c r="DK129" s="1"/>
      <c r="DL129" s="1"/>
      <c r="DM129" s="1"/>
      <c r="DN129" s="1"/>
      <c r="DO129" s="1"/>
      <c r="DP129" s="1"/>
      <c r="DQ129" s="1"/>
      <c r="DR129" s="1"/>
      <c r="EU129" s="1"/>
      <c r="EV129" s="1"/>
      <c r="EW129" s="1"/>
      <c r="EX129" s="1"/>
      <c r="EZ129" s="1"/>
      <c r="FA129" s="1"/>
      <c r="FC129" s="1"/>
      <c r="FD129" s="87"/>
      <c r="FE129" s="1"/>
      <c r="FF129" s="142"/>
      <c r="FG129" s="342"/>
      <c r="FH129" s="1"/>
      <c r="FI129" s="342"/>
      <c r="FJ129" s="232"/>
      <c r="FK129" s="343"/>
      <c r="FL129" s="343"/>
      <c r="FM129" s="343"/>
      <c r="FN129" s="343"/>
      <c r="FO129" s="8"/>
      <c r="FP129" s="8"/>
      <c r="FQ129" s="8"/>
      <c r="FR129" s="343"/>
      <c r="FS129" s="343"/>
      <c r="FT129" s="8"/>
      <c r="FU129" s="87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</row>
    <row r="130" ht="12.75" customHeight="1">
      <c r="A130" s="525" t="s">
        <v>372</v>
      </c>
      <c r="B130" s="53"/>
      <c r="C130" s="526"/>
      <c r="D130" s="545"/>
      <c r="E130" s="53" t="s">
        <v>40</v>
      </c>
      <c r="F130" s="53"/>
      <c r="G130" s="404" t="s">
        <v>5</v>
      </c>
      <c r="H130" s="512"/>
      <c r="I130" s="1"/>
      <c r="J130" s="1"/>
      <c r="K130" s="1"/>
      <c r="L130" s="1"/>
      <c r="M130" s="1"/>
      <c r="N130" s="1"/>
      <c r="O130" s="1"/>
      <c r="P130" s="1"/>
      <c r="Q130" s="1"/>
      <c r="R130" s="3" t="str">
        <f t="shared" ref="R130:R135" si="275">R94</f>
        <v>Tabloid</v>
      </c>
      <c r="S130" s="462"/>
      <c r="T130" s="5"/>
      <c r="U130" s="87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8"/>
      <c r="AQ130" s="1"/>
      <c r="AR130" s="87"/>
      <c r="AS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87"/>
      <c r="BK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87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8"/>
      <c r="CT130" s="1"/>
      <c r="CU130" s="1"/>
      <c r="CV130" s="1"/>
      <c r="CW130" s="1"/>
      <c r="CX130" s="1"/>
      <c r="CY130" s="1"/>
      <c r="CZ130" s="87"/>
      <c r="DA130" s="1"/>
      <c r="DB130" s="1"/>
      <c r="DC130" s="1"/>
      <c r="DD130" s="1"/>
      <c r="DE130" s="1"/>
      <c r="DF130" s="1"/>
      <c r="DG130" s="1"/>
      <c r="DH130" s="1"/>
      <c r="DI130" s="341"/>
      <c r="DJ130" s="1"/>
      <c r="DK130" s="1"/>
      <c r="DL130" s="1"/>
      <c r="DM130" s="1"/>
      <c r="DN130" s="1"/>
      <c r="DO130" s="1"/>
      <c r="DP130" s="1"/>
      <c r="DQ130" s="1"/>
      <c r="DR130" s="1"/>
      <c r="EU130" s="1"/>
      <c r="EV130" s="1"/>
      <c r="EW130" s="1"/>
      <c r="EX130" s="1"/>
      <c r="EZ130" s="1"/>
      <c r="FA130" s="1"/>
      <c r="FC130" s="1"/>
      <c r="FD130" s="87"/>
      <c r="FE130" s="1"/>
      <c r="FF130" s="142"/>
      <c r="FG130" s="342"/>
      <c r="FH130" s="1"/>
      <c r="FI130" s="342"/>
      <c r="FJ130" s="232"/>
      <c r="FK130" s="343"/>
      <c r="FL130" s="343"/>
      <c r="FM130" s="343"/>
      <c r="FN130" s="343"/>
      <c r="FO130" s="8"/>
      <c r="FP130" s="8"/>
      <c r="FQ130" s="8"/>
      <c r="FR130" s="343"/>
      <c r="FS130" s="343"/>
      <c r="FT130" s="8"/>
      <c r="FU130" s="87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</row>
    <row r="131" ht="12.75" customHeight="1">
      <c r="A131" s="38" t="s">
        <v>374</v>
      </c>
      <c r="B131" s="8"/>
      <c r="C131" s="63"/>
      <c r="D131" s="536"/>
      <c r="E131" s="8">
        <f>E93</f>
        <v>0</v>
      </c>
      <c r="F131" s="8"/>
      <c r="G131" s="359">
        <f>G93</f>
        <v>0</v>
      </c>
      <c r="H131" s="512"/>
      <c r="I131" s="1"/>
      <c r="J131" s="1"/>
      <c r="K131" s="1"/>
      <c r="L131" s="1"/>
      <c r="M131" s="1"/>
      <c r="N131" s="1"/>
      <c r="O131" s="1"/>
      <c r="P131" s="1"/>
      <c r="Q131" s="1"/>
      <c r="R131" s="7" t="str">
        <f t="shared" si="275"/>
        <v>20 pages</v>
      </c>
      <c r="S131" s="63"/>
      <c r="T131" s="9"/>
      <c r="U131" s="87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8"/>
      <c r="AQ131" s="1"/>
      <c r="AR131" s="87"/>
      <c r="AS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87"/>
      <c r="BK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87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8"/>
      <c r="CT131" s="1"/>
      <c r="CU131" s="1"/>
      <c r="CV131" s="1"/>
      <c r="CW131" s="1"/>
      <c r="CX131" s="1"/>
      <c r="CY131" s="1"/>
      <c r="CZ131" s="87"/>
      <c r="DA131" s="1"/>
      <c r="DB131" s="1"/>
      <c r="DC131" s="1"/>
      <c r="DD131" s="1"/>
      <c r="DE131" s="1"/>
      <c r="DF131" s="1"/>
      <c r="DG131" s="1"/>
      <c r="DH131" s="1"/>
      <c r="DI131" s="341"/>
      <c r="DJ131" s="1"/>
      <c r="DK131" s="1"/>
      <c r="DL131" s="1"/>
      <c r="DM131" s="1"/>
      <c r="DN131" s="1"/>
      <c r="DO131" s="1"/>
      <c r="DP131" s="1"/>
      <c r="DQ131" s="1"/>
      <c r="DR131" s="1"/>
      <c r="EU131" s="1"/>
      <c r="EV131" s="1"/>
      <c r="EW131" s="1"/>
      <c r="EX131" s="1"/>
      <c r="EZ131" s="1"/>
      <c r="FA131" s="1"/>
      <c r="FC131" s="1"/>
      <c r="FD131" s="87"/>
      <c r="FE131" s="1"/>
      <c r="FF131" s="142"/>
      <c r="FG131" s="342"/>
      <c r="FH131" s="1"/>
      <c r="FI131" s="342"/>
      <c r="FJ131" s="232"/>
      <c r="FK131" s="343"/>
      <c r="FL131" s="343"/>
      <c r="FM131" s="343"/>
      <c r="FN131" s="343"/>
      <c r="FO131" s="8"/>
      <c r="FP131" s="8"/>
      <c r="FQ131" s="8"/>
      <c r="FR131" s="343"/>
      <c r="FS131" s="343"/>
      <c r="FT131" s="8"/>
      <c r="FU131" s="87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</row>
    <row r="132" ht="12.75" customHeight="1">
      <c r="A132" s="546"/>
      <c r="B132" s="547"/>
      <c r="C132" s="548"/>
      <c r="D132" s="547"/>
      <c r="E132" s="547"/>
      <c r="F132" s="547"/>
      <c r="G132" s="549"/>
      <c r="H132" s="512"/>
      <c r="I132" s="1"/>
      <c r="J132" s="1"/>
      <c r="K132" s="1"/>
      <c r="L132" s="1"/>
      <c r="M132" s="1"/>
      <c r="N132" s="1"/>
      <c r="O132" s="1"/>
      <c r="P132" s="1"/>
      <c r="Q132" s="1"/>
      <c r="R132" s="7" t="str">
        <f t="shared" si="275"/>
        <v> 4/c Plates</v>
      </c>
      <c r="S132" s="63"/>
      <c r="T132" s="9"/>
      <c r="U132" s="87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8"/>
      <c r="AQ132" s="1"/>
      <c r="AR132" s="87"/>
      <c r="AS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87"/>
      <c r="BK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87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8"/>
      <c r="CT132" s="1"/>
      <c r="CU132" s="1"/>
      <c r="CV132" s="1"/>
      <c r="CW132" s="1"/>
      <c r="CX132" s="1"/>
      <c r="CY132" s="1"/>
      <c r="CZ132" s="87"/>
      <c r="DA132" s="1"/>
      <c r="DB132" s="1"/>
      <c r="DC132" s="1"/>
      <c r="DD132" s="1"/>
      <c r="DE132" s="1"/>
      <c r="DF132" s="1"/>
      <c r="DG132" s="1"/>
      <c r="DH132" s="1"/>
      <c r="DI132" s="341"/>
      <c r="DJ132" s="1"/>
      <c r="DK132" s="1"/>
      <c r="DL132" s="1"/>
      <c r="DM132" s="1"/>
      <c r="DN132" s="1"/>
      <c r="DO132" s="1"/>
      <c r="DP132" s="1"/>
      <c r="DQ132" s="1"/>
      <c r="DR132" s="1"/>
      <c r="EU132" s="1"/>
      <c r="EV132" s="1"/>
      <c r="EW132" s="1"/>
      <c r="EX132" s="1"/>
      <c r="EZ132" s="1"/>
      <c r="FA132" s="1"/>
      <c r="FC132" s="1"/>
      <c r="FD132" s="87"/>
      <c r="FE132" s="1"/>
      <c r="FF132" s="142"/>
      <c r="FG132" s="342"/>
      <c r="FH132" s="1"/>
      <c r="FI132" s="342"/>
      <c r="FJ132" s="232"/>
      <c r="FK132" s="343"/>
      <c r="FL132" s="343"/>
      <c r="FM132" s="343"/>
      <c r="FN132" s="343"/>
      <c r="FO132" s="8"/>
      <c r="FP132" s="8"/>
      <c r="FQ132" s="8"/>
      <c r="FR132" s="343"/>
      <c r="FS132" s="343"/>
      <c r="FT132" s="8"/>
      <c r="FU132" s="87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</row>
    <row r="133" ht="12.75" customHeight="1">
      <c r="A133" s="38" t="s">
        <v>376</v>
      </c>
      <c r="B133" s="8"/>
      <c r="C133" s="63"/>
      <c r="D133" s="550"/>
      <c r="E133" s="8"/>
      <c r="F133" s="8"/>
      <c r="G133" s="359"/>
      <c r="H133" s="512"/>
      <c r="I133" s="1"/>
      <c r="J133" s="1"/>
      <c r="K133" s="1"/>
      <c r="L133" s="1"/>
      <c r="M133" s="1"/>
      <c r="N133" s="1"/>
      <c r="O133" s="1"/>
      <c r="P133" s="1"/>
      <c r="Q133" s="1"/>
      <c r="R133" s="7" t="str">
        <f t="shared" si="275"/>
        <v/>
      </c>
      <c r="S133" s="63"/>
      <c r="T133" s="9"/>
      <c r="U133" s="87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8"/>
      <c r="AQ133" s="1"/>
      <c r="AR133" s="87"/>
      <c r="AS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87"/>
      <c r="BK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87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8"/>
      <c r="CT133" s="1"/>
      <c r="CU133" s="1"/>
      <c r="CV133" s="1"/>
      <c r="CW133" s="1"/>
      <c r="CX133" s="1"/>
      <c r="CY133" s="1"/>
      <c r="CZ133" s="87"/>
      <c r="DA133" s="1"/>
      <c r="DB133" s="1"/>
      <c r="DC133" s="1"/>
      <c r="DD133" s="1"/>
      <c r="DE133" s="1"/>
      <c r="DF133" s="1"/>
      <c r="DG133" s="1"/>
      <c r="DH133" s="1"/>
      <c r="DI133" s="341"/>
      <c r="DJ133" s="1"/>
      <c r="DK133" s="1"/>
      <c r="DL133" s="1"/>
      <c r="DM133" s="1"/>
      <c r="DN133" s="1"/>
      <c r="DO133" s="1"/>
      <c r="DP133" s="1"/>
      <c r="DQ133" s="1"/>
      <c r="DR133" s="1"/>
      <c r="EU133" s="1"/>
      <c r="EV133" s="1"/>
      <c r="EW133" s="1"/>
      <c r="EX133" s="1"/>
      <c r="EZ133" s="1"/>
      <c r="FA133" s="1"/>
      <c r="FC133" s="1"/>
      <c r="FD133" s="87"/>
      <c r="FE133" s="1"/>
      <c r="FF133" s="142"/>
      <c r="FG133" s="342"/>
      <c r="FH133" s="1"/>
      <c r="FI133" s="342"/>
      <c r="FJ133" s="232"/>
      <c r="FK133" s="343"/>
      <c r="FL133" s="343"/>
      <c r="FM133" s="343"/>
      <c r="FN133" s="343"/>
      <c r="FO133" s="8"/>
      <c r="FP133" s="8"/>
      <c r="FQ133" s="8"/>
      <c r="FR133" s="343"/>
      <c r="FS133" s="343"/>
      <c r="FT133" s="8"/>
      <c r="FU133" s="87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</row>
    <row r="134" ht="12.75" customHeight="1">
      <c r="A134" s="38" t="s">
        <v>377</v>
      </c>
      <c r="B134" s="8"/>
      <c r="C134" s="63"/>
      <c r="D134" s="550"/>
      <c r="E134" s="8">
        <f>E96</f>
        <v>0</v>
      </c>
      <c r="F134" s="8"/>
      <c r="G134" s="359">
        <f>G96</f>
        <v>0</v>
      </c>
      <c r="H134" s="512"/>
      <c r="I134" s="1"/>
      <c r="J134" s="1"/>
      <c r="K134" s="1"/>
      <c r="L134" s="1"/>
      <c r="M134" s="1"/>
      <c r="N134" s="1"/>
      <c r="O134" s="1"/>
      <c r="P134" s="1"/>
      <c r="Q134" s="1"/>
      <c r="R134" s="7" t="str">
        <f t="shared" si="275"/>
        <v> </v>
      </c>
      <c r="S134" s="63"/>
      <c r="T134" s="9" t="str">
        <f t="shared" ref="T134:T135" si="276">T98</f>
        <v/>
      </c>
      <c r="U134" s="87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8"/>
      <c r="AQ134" s="1"/>
      <c r="AR134" s="87"/>
      <c r="AS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87"/>
      <c r="BK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87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8"/>
      <c r="CT134" s="1"/>
      <c r="CU134" s="1"/>
      <c r="CV134" s="1"/>
      <c r="CW134" s="1"/>
      <c r="CX134" s="1"/>
      <c r="CY134" s="1"/>
      <c r="CZ134" s="87"/>
      <c r="DA134" s="1"/>
      <c r="DB134" s="1"/>
      <c r="DC134" s="1"/>
      <c r="DD134" s="1"/>
      <c r="DE134" s="1"/>
      <c r="DF134" s="1"/>
      <c r="DG134" s="1"/>
      <c r="DH134" s="1"/>
      <c r="DI134" s="341"/>
      <c r="DJ134" s="1"/>
      <c r="DK134" s="1"/>
      <c r="DL134" s="1"/>
      <c r="DM134" s="1"/>
      <c r="DN134" s="1"/>
      <c r="DO134" s="1"/>
      <c r="DP134" s="1"/>
      <c r="DQ134" s="1"/>
      <c r="DR134" s="1"/>
      <c r="EU134" s="1"/>
      <c r="EV134" s="1"/>
      <c r="EW134" s="1"/>
      <c r="EX134" s="1"/>
      <c r="EZ134" s="1"/>
      <c r="FA134" s="1"/>
      <c r="FC134" s="1"/>
      <c r="FD134" s="87"/>
      <c r="FE134" s="1"/>
      <c r="FF134" s="142"/>
      <c r="FG134" s="342"/>
      <c r="FH134" s="1"/>
      <c r="FI134" s="342"/>
      <c r="FJ134" s="232"/>
      <c r="FK134" s="343"/>
      <c r="FL134" s="343"/>
      <c r="FM134" s="343"/>
      <c r="FN134" s="343"/>
      <c r="FO134" s="8"/>
      <c r="FP134" s="8"/>
      <c r="FQ134" s="8"/>
      <c r="FR134" s="343"/>
      <c r="FS134" s="343"/>
      <c r="FT134" s="8"/>
      <c r="FU134" s="87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</row>
    <row r="135" ht="12.75" customHeight="1">
      <c r="A135" s="366" t="s">
        <v>378</v>
      </c>
      <c r="B135" s="61"/>
      <c r="C135" s="543"/>
      <c r="D135" s="61"/>
      <c r="E135" s="61"/>
      <c r="F135" s="61"/>
      <c r="G135" s="367"/>
      <c r="H135" s="512"/>
      <c r="I135" s="1"/>
      <c r="J135" s="1"/>
      <c r="K135" s="1"/>
      <c r="L135" s="1"/>
      <c r="M135" s="1"/>
      <c r="N135" s="1"/>
      <c r="O135" s="1"/>
      <c r="P135" s="1"/>
      <c r="Q135" s="1"/>
      <c r="R135" s="7" t="str">
        <f t="shared" si="275"/>
        <v/>
      </c>
      <c r="S135" s="63"/>
      <c r="T135" s="9" t="str">
        <f t="shared" si="276"/>
        <v/>
      </c>
      <c r="U135" s="87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8"/>
      <c r="AQ135" s="1"/>
      <c r="AR135" s="87"/>
      <c r="AS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87"/>
      <c r="BK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87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8"/>
      <c r="CT135" s="1"/>
      <c r="CU135" s="1"/>
      <c r="CV135" s="1"/>
      <c r="CW135" s="1"/>
      <c r="CX135" s="1"/>
      <c r="CY135" s="1"/>
      <c r="CZ135" s="87"/>
      <c r="DA135" s="1"/>
      <c r="DB135" s="1"/>
      <c r="DC135" s="1"/>
      <c r="DD135" s="1"/>
      <c r="DE135" s="1"/>
      <c r="DF135" s="1"/>
      <c r="DG135" s="1"/>
      <c r="DH135" s="1"/>
      <c r="DI135" s="341"/>
      <c r="DJ135" s="1"/>
      <c r="DK135" s="1"/>
      <c r="DL135" s="1"/>
      <c r="DM135" s="1"/>
      <c r="DN135" s="1"/>
      <c r="DO135" s="1"/>
      <c r="DP135" s="1"/>
      <c r="DQ135" s="1"/>
      <c r="DR135" s="1"/>
      <c r="EU135" s="1"/>
      <c r="EV135" s="1"/>
      <c r="EW135" s="1"/>
      <c r="EX135" s="1"/>
      <c r="EZ135" s="1"/>
      <c r="FA135" s="1"/>
      <c r="FC135" s="1"/>
      <c r="FD135" s="87"/>
      <c r="FE135" s="1"/>
      <c r="FF135" s="142"/>
      <c r="FG135" s="342"/>
      <c r="FH135" s="1"/>
      <c r="FI135" s="342"/>
      <c r="FJ135" s="232"/>
      <c r="FK135" s="343"/>
      <c r="FL135" s="343"/>
      <c r="FM135" s="343"/>
      <c r="FN135" s="343"/>
      <c r="FO135" s="8"/>
      <c r="FP135" s="8"/>
      <c r="FQ135" s="8"/>
      <c r="FR135" s="343"/>
      <c r="FS135" s="343"/>
      <c r="FT135" s="8"/>
      <c r="FU135" s="87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</row>
    <row r="136" ht="12.75" customHeight="1">
      <c r="A136" s="534" t="s">
        <v>387</v>
      </c>
      <c r="B136" s="8"/>
      <c r="C136" s="63"/>
      <c r="D136" s="8"/>
      <c r="E136" s="8" t="s">
        <v>40</v>
      </c>
      <c r="F136" s="8"/>
      <c r="G136" s="8" t="s">
        <v>380</v>
      </c>
      <c r="H136" s="512"/>
      <c r="I136" s="1"/>
      <c r="J136" s="1"/>
      <c r="K136" s="1"/>
      <c r="L136" s="1"/>
      <c r="M136" s="1"/>
      <c r="N136" s="1"/>
      <c r="O136" s="1"/>
      <c r="P136" s="1"/>
      <c r="Q136" s="1"/>
      <c r="R136" s="7" t="str">
        <f t="shared" ref="R136:R137" si="277">R101</f>
        <v/>
      </c>
      <c r="S136" s="63"/>
      <c r="T136" s="9" t="str">
        <f>T101</f>
        <v/>
      </c>
      <c r="U136" s="87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8"/>
      <c r="AQ136" s="1"/>
      <c r="AR136" s="87"/>
      <c r="AS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87"/>
      <c r="BK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87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8"/>
      <c r="CT136" s="1"/>
      <c r="CU136" s="1"/>
      <c r="CV136" s="1"/>
      <c r="CW136" s="1"/>
      <c r="CX136" s="1"/>
      <c r="CY136" s="1"/>
      <c r="CZ136" s="87"/>
      <c r="DA136" s="1"/>
      <c r="DB136" s="1"/>
      <c r="DC136" s="1"/>
      <c r="DD136" s="1"/>
      <c r="DE136" s="1"/>
      <c r="DF136" s="1"/>
      <c r="DG136" s="1"/>
      <c r="DH136" s="1"/>
      <c r="DI136" s="341"/>
      <c r="DJ136" s="1"/>
      <c r="DK136" s="1"/>
      <c r="DL136" s="1"/>
      <c r="DM136" s="1"/>
      <c r="DN136" s="1"/>
      <c r="DO136" s="1"/>
      <c r="DP136" s="1"/>
      <c r="DQ136" s="1"/>
      <c r="DR136" s="1"/>
      <c r="EU136" s="1"/>
      <c r="EV136" s="1"/>
      <c r="EW136" s="1"/>
      <c r="EX136" s="1"/>
      <c r="EZ136" s="1"/>
      <c r="FA136" s="1"/>
      <c r="FC136" s="1"/>
      <c r="FD136" s="87"/>
      <c r="FE136" s="1"/>
      <c r="FF136" s="142"/>
      <c r="FG136" s="342"/>
      <c r="FH136" s="1"/>
      <c r="FI136" s="342"/>
      <c r="FJ136" s="232"/>
      <c r="FK136" s="343"/>
      <c r="FL136" s="343"/>
      <c r="FM136" s="343"/>
      <c r="FN136" s="343"/>
      <c r="FO136" s="8"/>
      <c r="FP136" s="8"/>
      <c r="FQ136" s="8"/>
      <c r="FR136" s="343"/>
      <c r="FS136" s="343"/>
      <c r="FT136" s="8"/>
      <c r="FU136" s="87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</row>
    <row r="137" ht="12.75" customHeight="1">
      <c r="A137" s="525" t="s">
        <v>381</v>
      </c>
      <c r="B137" s="53"/>
      <c r="C137" s="526"/>
      <c r="D137" s="53"/>
      <c r="E137" s="535"/>
      <c r="F137" s="551"/>
      <c r="G137" s="552"/>
      <c r="H137" s="512"/>
      <c r="I137" s="1"/>
      <c r="J137" s="1"/>
      <c r="K137" s="1"/>
      <c r="L137" s="1"/>
      <c r="M137" s="1"/>
      <c r="N137" s="1"/>
      <c r="O137" s="1"/>
      <c r="P137" s="1"/>
      <c r="Q137" s="1"/>
      <c r="R137" s="7" t="str">
        <f t="shared" si="277"/>
        <v/>
      </c>
      <c r="S137" s="63"/>
      <c r="T137" s="9"/>
      <c r="U137" s="87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8"/>
      <c r="AQ137" s="1"/>
      <c r="AR137" s="87"/>
      <c r="AS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87"/>
      <c r="BK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87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8"/>
      <c r="CT137" s="1"/>
      <c r="CU137" s="1"/>
      <c r="CV137" s="1"/>
      <c r="CW137" s="1"/>
      <c r="CX137" s="1"/>
      <c r="CY137" s="1"/>
      <c r="CZ137" s="87"/>
      <c r="DA137" s="1"/>
      <c r="DB137" s="1"/>
      <c r="DC137" s="1"/>
      <c r="DD137" s="1"/>
      <c r="DE137" s="1"/>
      <c r="DF137" s="1"/>
      <c r="DG137" s="1"/>
      <c r="DH137" s="1"/>
      <c r="DI137" s="341"/>
      <c r="DJ137" s="1"/>
      <c r="DK137" s="1"/>
      <c r="DL137" s="1"/>
      <c r="DM137" s="1"/>
      <c r="DN137" s="1"/>
      <c r="DO137" s="1"/>
      <c r="DP137" s="1"/>
      <c r="DQ137" s="1"/>
      <c r="DR137" s="1"/>
      <c r="EU137" s="1"/>
      <c r="EV137" s="1"/>
      <c r="EW137" s="1"/>
      <c r="EX137" s="1"/>
      <c r="EZ137" s="1"/>
      <c r="FA137" s="1"/>
      <c r="FC137" s="1"/>
      <c r="FD137" s="87"/>
      <c r="FE137" s="1"/>
      <c r="FF137" s="142"/>
      <c r="FG137" s="342"/>
      <c r="FH137" s="1"/>
      <c r="FI137" s="342"/>
      <c r="FJ137" s="232"/>
      <c r="FK137" s="343"/>
      <c r="FL137" s="343"/>
      <c r="FM137" s="343"/>
      <c r="FN137" s="343"/>
      <c r="FO137" s="8"/>
      <c r="FP137" s="8"/>
      <c r="FQ137" s="8"/>
      <c r="FR137" s="343"/>
      <c r="FS137" s="343"/>
      <c r="FT137" s="8"/>
      <c r="FU137" s="87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</row>
    <row r="138" ht="12.75" customHeight="1">
      <c r="A138" s="38" t="s">
        <v>382</v>
      </c>
      <c r="B138" s="8" t="s">
        <v>383</v>
      </c>
      <c r="C138" s="400"/>
      <c r="D138" s="8"/>
      <c r="E138" s="444"/>
      <c r="F138" s="443"/>
      <c r="G138" s="553"/>
      <c r="H138" s="512"/>
      <c r="I138" s="1"/>
      <c r="J138" s="1"/>
      <c r="K138" s="1"/>
      <c r="L138" s="1"/>
      <c r="M138" s="1"/>
      <c r="N138" s="1"/>
      <c r="O138" s="1"/>
      <c r="P138" s="1"/>
      <c r="Q138" s="1"/>
      <c r="R138" s="7"/>
      <c r="S138" s="63"/>
      <c r="T138" s="9"/>
      <c r="U138" s="87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8"/>
      <c r="AQ138" s="1"/>
      <c r="AR138" s="87"/>
      <c r="AS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87"/>
      <c r="BK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87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8"/>
      <c r="CT138" s="1"/>
      <c r="CU138" s="1"/>
      <c r="CV138" s="1"/>
      <c r="CW138" s="1"/>
      <c r="CX138" s="1"/>
      <c r="CY138" s="1"/>
      <c r="CZ138" s="87"/>
      <c r="DA138" s="1"/>
      <c r="DB138" s="1"/>
      <c r="DC138" s="1"/>
      <c r="DD138" s="1"/>
      <c r="DE138" s="1"/>
      <c r="DF138" s="1"/>
      <c r="DG138" s="1"/>
      <c r="DH138" s="1"/>
      <c r="DI138" s="341"/>
      <c r="DJ138" s="1"/>
      <c r="DK138" s="1"/>
      <c r="DL138" s="1"/>
      <c r="DM138" s="1"/>
      <c r="DN138" s="1"/>
      <c r="DO138" s="1"/>
      <c r="DP138" s="1"/>
      <c r="DQ138" s="1"/>
      <c r="DR138" s="1"/>
      <c r="EU138" s="1"/>
      <c r="EV138" s="1"/>
      <c r="EW138" s="1"/>
      <c r="EX138" s="1"/>
      <c r="EZ138" s="1"/>
      <c r="FA138" s="1"/>
      <c r="FC138" s="1"/>
      <c r="FD138" s="87"/>
      <c r="FE138" s="1"/>
      <c r="FF138" s="142"/>
      <c r="FG138" s="342"/>
      <c r="FH138" s="1"/>
      <c r="FI138" s="342"/>
      <c r="FJ138" s="232"/>
      <c r="FK138" s="343"/>
      <c r="FL138" s="343"/>
      <c r="FM138" s="343"/>
      <c r="FN138" s="343"/>
      <c r="FO138" s="8"/>
      <c r="FP138" s="8"/>
      <c r="FQ138" s="8"/>
      <c r="FR138" s="343"/>
      <c r="FS138" s="343"/>
      <c r="FT138" s="8"/>
      <c r="FU138" s="87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</row>
    <row r="139" ht="12.75" customHeight="1">
      <c r="A139" s="366" t="s">
        <v>382</v>
      </c>
      <c r="B139" s="61" t="s">
        <v>383</v>
      </c>
      <c r="C139" s="554"/>
      <c r="D139" s="61"/>
      <c r="E139" s="531"/>
      <c r="F139" s="510"/>
      <c r="G139" s="555"/>
      <c r="H139" s="512"/>
      <c r="I139" s="1"/>
      <c r="J139" s="1"/>
      <c r="K139" s="1"/>
      <c r="L139" s="1"/>
      <c r="M139" s="1"/>
      <c r="N139" s="1"/>
      <c r="O139" s="1"/>
      <c r="P139" s="1"/>
      <c r="Q139" s="1"/>
      <c r="R139" s="7" t="str">
        <f t="shared" ref="R139:T139" si="278">R104</f>
        <v>first</v>
      </c>
      <c r="S139" s="63">
        <f t="shared" si="278"/>
        <v>1000</v>
      </c>
      <c r="T139" s="57">
        <f t="shared" si="278"/>
        <v>335.5</v>
      </c>
      <c r="U139" s="87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8"/>
      <c r="AQ139" s="1"/>
      <c r="AR139" s="87"/>
      <c r="AS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87"/>
      <c r="BK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87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8"/>
      <c r="CT139" s="1"/>
      <c r="CU139" s="1"/>
      <c r="CV139" s="1"/>
      <c r="CW139" s="1"/>
      <c r="CX139" s="1"/>
      <c r="CY139" s="1"/>
      <c r="CZ139" s="87"/>
      <c r="DA139" s="1"/>
      <c r="DB139" s="1"/>
      <c r="DC139" s="1"/>
      <c r="DD139" s="1"/>
      <c r="DE139" s="1"/>
      <c r="DF139" s="1"/>
      <c r="DG139" s="1"/>
      <c r="DH139" s="1"/>
      <c r="DI139" s="341"/>
      <c r="DJ139" s="1"/>
      <c r="DK139" s="1"/>
      <c r="DL139" s="1"/>
      <c r="DM139" s="1"/>
      <c r="DN139" s="1"/>
      <c r="DO139" s="1"/>
      <c r="DP139" s="1"/>
      <c r="DQ139" s="1"/>
      <c r="DR139" s="1"/>
      <c r="EU139" s="1"/>
      <c r="EV139" s="1"/>
      <c r="EW139" s="1"/>
      <c r="EX139" s="1"/>
      <c r="EZ139" s="1"/>
      <c r="FA139" s="1"/>
      <c r="FC139" s="1"/>
      <c r="FD139" s="87"/>
      <c r="FE139" s="1"/>
      <c r="FF139" s="142"/>
      <c r="FG139" s="342"/>
      <c r="FH139" s="1"/>
      <c r="FI139" s="342"/>
      <c r="FJ139" s="232"/>
      <c r="FK139" s="343"/>
      <c r="FL139" s="343"/>
      <c r="FM139" s="343"/>
      <c r="FN139" s="343"/>
      <c r="FO139" s="8"/>
      <c r="FP139" s="8"/>
      <c r="FQ139" s="8"/>
      <c r="FR139" s="343"/>
      <c r="FS139" s="343"/>
      <c r="FT139" s="8"/>
      <c r="FU139" s="87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</row>
    <row r="140" ht="12.75" customHeight="1">
      <c r="A140" s="92" t="s">
        <v>388</v>
      </c>
      <c r="B140" s="1"/>
      <c r="C140" s="63"/>
      <c r="D140" s="1"/>
      <c r="E140" s="13"/>
      <c r="F140" s="13"/>
      <c r="G140" s="13"/>
      <c r="H140" s="512"/>
      <c r="I140" s="1"/>
      <c r="J140" s="1"/>
      <c r="K140" s="1"/>
      <c r="L140" s="1"/>
      <c r="M140" s="1"/>
      <c r="N140" s="1"/>
      <c r="O140" s="1"/>
      <c r="P140" s="1"/>
      <c r="Q140" s="1"/>
      <c r="R140" s="7" t="str">
        <f t="shared" ref="R140:T140" si="279">R105</f>
        <v>add'l</v>
      </c>
      <c r="S140" s="484">
        <f t="shared" si="279"/>
        <v>0</v>
      </c>
      <c r="T140" s="57" t="str">
        <f t="shared" si="279"/>
        <v/>
      </c>
      <c r="U140" s="87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8"/>
      <c r="AQ140" s="1"/>
      <c r="AR140" s="87"/>
      <c r="AS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87"/>
      <c r="BK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87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8"/>
      <c r="CT140" s="1"/>
      <c r="CU140" s="1"/>
      <c r="CV140" s="1"/>
      <c r="CW140" s="1"/>
      <c r="CX140" s="1"/>
      <c r="CY140" s="1"/>
      <c r="CZ140" s="87"/>
      <c r="DA140" s="1"/>
      <c r="DB140" s="1"/>
      <c r="DC140" s="1"/>
      <c r="DD140" s="1"/>
      <c r="DE140" s="1"/>
      <c r="DF140" s="1"/>
      <c r="DG140" s="1"/>
      <c r="DH140" s="1"/>
      <c r="DI140" s="341"/>
      <c r="DJ140" s="1"/>
      <c r="DK140" s="1"/>
      <c r="DL140" s="1"/>
      <c r="DM140" s="1"/>
      <c r="DN140" s="1"/>
      <c r="DO140" s="1"/>
      <c r="DP140" s="1"/>
      <c r="DQ140" s="1"/>
      <c r="DR140" s="1"/>
      <c r="EU140" s="1"/>
      <c r="EV140" s="1"/>
      <c r="EW140" s="1"/>
      <c r="EX140" s="1"/>
      <c r="EZ140" s="1"/>
      <c r="FA140" s="1"/>
      <c r="FC140" s="1"/>
      <c r="FD140" s="87"/>
      <c r="FE140" s="1"/>
      <c r="FF140" s="142"/>
      <c r="FG140" s="342"/>
      <c r="FH140" s="1"/>
      <c r="FI140" s="342"/>
      <c r="FJ140" s="232"/>
      <c r="FK140" s="343"/>
      <c r="FL140" s="343"/>
      <c r="FM140" s="343"/>
      <c r="FN140" s="343"/>
      <c r="FO140" s="8"/>
      <c r="FP140" s="8"/>
      <c r="FQ140" s="8"/>
      <c r="FR140" s="343"/>
      <c r="FS140" s="343"/>
      <c r="FT140" s="8"/>
      <c r="FU140" s="87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</row>
    <row r="141" ht="12.75" customHeight="1">
      <c r="A141" s="525" t="s">
        <v>226</v>
      </c>
      <c r="B141" s="53"/>
      <c r="C141" s="526"/>
      <c r="D141" s="527" t="str">
        <f>'WEB QUOTER'!F24</f>
        <v>None</v>
      </c>
      <c r="E141" s="53" t="s">
        <v>40</v>
      </c>
      <c r="F141" s="53"/>
      <c r="G141" s="528">
        <f t="shared" ref="G141:G142" si="280">G74</f>
        <v>0</v>
      </c>
      <c r="H141" s="512"/>
      <c r="I141" s="1"/>
      <c r="J141" s="1"/>
      <c r="K141" s="1"/>
      <c r="L141" s="1"/>
      <c r="M141" s="1"/>
      <c r="N141" s="1"/>
      <c r="O141" s="1"/>
      <c r="P141" s="1"/>
      <c r="Q141" s="1"/>
      <c r="R141" s="7"/>
      <c r="S141" s="63"/>
      <c r="T141" s="57"/>
      <c r="U141" s="87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8"/>
      <c r="AQ141" s="1"/>
      <c r="AR141" s="87"/>
      <c r="AS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87"/>
      <c r="BK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87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8"/>
      <c r="CT141" s="1"/>
      <c r="CU141" s="1"/>
      <c r="CV141" s="1"/>
      <c r="CW141" s="1"/>
      <c r="CX141" s="1"/>
      <c r="CY141" s="1"/>
      <c r="CZ141" s="87"/>
      <c r="DA141" s="1"/>
      <c r="DB141" s="1"/>
      <c r="DC141" s="1"/>
      <c r="DD141" s="1"/>
      <c r="DE141" s="1"/>
      <c r="DF141" s="1"/>
      <c r="DG141" s="1"/>
      <c r="DH141" s="1"/>
      <c r="DI141" s="341"/>
      <c r="DJ141" s="1"/>
      <c r="DK141" s="1"/>
      <c r="DL141" s="1"/>
      <c r="DM141" s="1"/>
      <c r="DN141" s="1"/>
      <c r="DO141" s="1"/>
      <c r="DP141" s="1"/>
      <c r="DQ141" s="1"/>
      <c r="DR141" s="1"/>
      <c r="EU141" s="1"/>
      <c r="EV141" s="1"/>
      <c r="EW141" s="1"/>
      <c r="EX141" s="1"/>
      <c r="EZ141" s="1"/>
      <c r="FA141" s="1"/>
      <c r="FC141" s="1"/>
      <c r="FD141" s="87"/>
      <c r="FE141" s="1"/>
      <c r="FF141" s="142"/>
      <c r="FG141" s="342"/>
      <c r="FH141" s="1"/>
      <c r="FI141" s="342"/>
      <c r="FJ141" s="232"/>
      <c r="FK141" s="343"/>
      <c r="FL141" s="343"/>
      <c r="FM141" s="343"/>
      <c r="FN141" s="343"/>
      <c r="FO141" s="8"/>
      <c r="FP141" s="8"/>
      <c r="FQ141" s="8"/>
      <c r="FR141" s="343"/>
      <c r="FS141" s="343"/>
      <c r="FT141" s="8"/>
      <c r="FU141" s="87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</row>
    <row r="142" ht="12.75" customHeight="1">
      <c r="A142" s="55" t="s">
        <v>46</v>
      </c>
      <c r="B142" s="8"/>
      <c r="C142" s="530">
        <f>C75</f>
        <v>1</v>
      </c>
      <c r="D142" s="536" t="str">
        <f>'WEB QUOTER'!F25</f>
        <v/>
      </c>
      <c r="E142" s="8" t="s">
        <v>5</v>
      </c>
      <c r="F142" s="8"/>
      <c r="G142" s="494">
        <f t="shared" si="280"/>
        <v>0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540" t="str">
        <f t="shared" ref="R142:T142" si="281">R107</f>
        <v>add'l</v>
      </c>
      <c r="S142" s="541" t="str">
        <f t="shared" si="281"/>
        <v> </v>
      </c>
      <c r="T142" s="557" t="str">
        <f t="shared" si="281"/>
        <v/>
      </c>
      <c r="U142" s="87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8"/>
      <c r="AQ142" s="1"/>
      <c r="AR142" s="87"/>
      <c r="AS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87"/>
      <c r="BK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87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8"/>
      <c r="CT142" s="1"/>
      <c r="CU142" s="1"/>
      <c r="CV142" s="1"/>
      <c r="CW142" s="1"/>
      <c r="CX142" s="1"/>
      <c r="CY142" s="1"/>
      <c r="CZ142" s="87"/>
      <c r="DA142" s="1"/>
      <c r="DB142" s="1"/>
      <c r="DC142" s="1"/>
      <c r="DD142" s="1"/>
      <c r="DE142" s="1"/>
      <c r="DF142" s="1"/>
      <c r="DG142" s="1"/>
      <c r="DH142" s="1"/>
      <c r="DI142" s="341"/>
      <c r="DJ142" s="1"/>
      <c r="DK142" s="1"/>
      <c r="DL142" s="1"/>
      <c r="DM142" s="1"/>
      <c r="DN142" s="1"/>
      <c r="DO142" s="1"/>
      <c r="DP142" s="1"/>
      <c r="DQ142" s="1"/>
      <c r="DR142" s="1"/>
      <c r="EU142" s="1"/>
      <c r="EV142" s="1"/>
      <c r="EW142" s="1"/>
      <c r="EX142" s="1"/>
      <c r="EZ142" s="1"/>
      <c r="FA142" s="1"/>
      <c r="FC142" s="1"/>
      <c r="FD142" s="87"/>
      <c r="FE142" s="1"/>
      <c r="FF142" s="142"/>
      <c r="FG142" s="342"/>
      <c r="FH142" s="1"/>
      <c r="FI142" s="342"/>
      <c r="FJ142" s="232"/>
      <c r="FK142" s="343"/>
      <c r="FL142" s="343"/>
      <c r="FM142" s="343"/>
      <c r="FN142" s="343"/>
      <c r="FO142" s="8"/>
      <c r="FP142" s="8"/>
      <c r="FQ142" s="8"/>
      <c r="FR142" s="343"/>
      <c r="FS142" s="343"/>
      <c r="FT142" s="8"/>
      <c r="FU142" s="87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</row>
    <row r="143" ht="12.75" customHeight="1">
      <c r="A143" s="64" t="s">
        <v>51</v>
      </c>
      <c r="B143" s="8" t="s">
        <v>3</v>
      </c>
      <c r="C143" s="63"/>
      <c r="D143" s="444">
        <f>'WEB QUOTER'!F26</f>
        <v>100</v>
      </c>
      <c r="E143" s="8"/>
      <c r="F143" s="8"/>
      <c r="G143" s="564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7"/>
      <c r="S143" s="63"/>
      <c r="T143" s="57"/>
      <c r="U143" s="87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8"/>
      <c r="AQ143" s="1"/>
      <c r="AR143" s="87"/>
      <c r="AS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87"/>
      <c r="BK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87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8"/>
      <c r="CT143" s="1"/>
      <c r="CU143" s="1"/>
      <c r="CV143" s="1"/>
      <c r="CW143" s="1"/>
      <c r="CX143" s="1"/>
      <c r="CY143" s="1"/>
      <c r="CZ143" s="87"/>
      <c r="DA143" s="1"/>
      <c r="DB143" s="1"/>
      <c r="DC143" s="1"/>
      <c r="DD143" s="1"/>
      <c r="DE143" s="1"/>
      <c r="DF143" s="1"/>
      <c r="DG143" s="1"/>
      <c r="DH143" s="1"/>
      <c r="DI143" s="341"/>
      <c r="DJ143" s="1"/>
      <c r="DK143" s="1"/>
      <c r="DL143" s="1"/>
      <c r="DM143" s="1"/>
      <c r="DN143" s="1"/>
      <c r="DO143" s="1"/>
      <c r="DP143" s="1"/>
      <c r="DQ143" s="1"/>
      <c r="DR143" s="1"/>
      <c r="EU143" s="1"/>
      <c r="EV143" s="1"/>
      <c r="EW143" s="1"/>
      <c r="EX143" s="1"/>
      <c r="EZ143" s="1"/>
      <c r="FA143" s="1"/>
      <c r="FC143" s="1"/>
      <c r="FD143" s="87"/>
      <c r="FE143" s="1"/>
      <c r="FF143" s="142"/>
      <c r="FG143" s="342"/>
      <c r="FH143" s="1"/>
      <c r="FI143" s="342"/>
      <c r="FJ143" s="232"/>
      <c r="FK143" s="343"/>
      <c r="FL143" s="343"/>
      <c r="FM143" s="343"/>
      <c r="FN143" s="343"/>
      <c r="FO143" s="8"/>
      <c r="FP143" s="8"/>
      <c r="FQ143" s="8"/>
      <c r="FR143" s="343"/>
      <c r="FS143" s="343"/>
      <c r="FT143" s="8"/>
      <c r="FU143" s="87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</row>
    <row r="144" ht="12.75" customHeight="1">
      <c r="A144" s="565"/>
      <c r="B144" s="13" t="s">
        <v>5</v>
      </c>
      <c r="C144" s="514"/>
      <c r="D144" s="444">
        <f>'WEB QUOTER'!F27</f>
        <v>100</v>
      </c>
      <c r="E144" s="13"/>
      <c r="F144" s="13"/>
      <c r="G144" s="533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2" t="str">
        <f t="shared" ref="R144:T144" si="282">R109</f>
        <v>total</v>
      </c>
      <c r="S144" s="497">
        <f t="shared" si="282"/>
        <v>1000</v>
      </c>
      <c r="T144" s="69">
        <f t="shared" si="282"/>
        <v>335.5</v>
      </c>
      <c r="U144" s="87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8"/>
      <c r="AQ144" s="1"/>
      <c r="AR144" s="87"/>
      <c r="AS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87"/>
      <c r="BK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87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8"/>
      <c r="CT144" s="1"/>
      <c r="CU144" s="1"/>
      <c r="CV144" s="1"/>
      <c r="CW144" s="1"/>
      <c r="CX144" s="1"/>
      <c r="CY144" s="1"/>
      <c r="CZ144" s="87"/>
      <c r="DA144" s="1"/>
      <c r="DB144" s="1"/>
      <c r="DC144" s="1"/>
      <c r="DD144" s="1"/>
      <c r="DE144" s="1"/>
      <c r="DF144" s="1"/>
      <c r="DG144" s="1"/>
      <c r="DH144" s="1"/>
      <c r="DI144" s="341"/>
      <c r="DJ144" s="1"/>
      <c r="DK144" s="1"/>
      <c r="DL144" s="1"/>
      <c r="DM144" s="1"/>
      <c r="DN144" s="1"/>
      <c r="DO144" s="1"/>
      <c r="DP144" s="1"/>
      <c r="DQ144" s="1"/>
      <c r="DR144" s="1"/>
      <c r="EU144" s="1"/>
      <c r="EV144" s="1"/>
      <c r="EW144" s="1"/>
      <c r="EX144" s="1"/>
      <c r="EZ144" s="1"/>
      <c r="FA144" s="1"/>
      <c r="FC144" s="1"/>
      <c r="FD144" s="87"/>
      <c r="FE144" s="1"/>
      <c r="FF144" s="142"/>
      <c r="FG144" s="342"/>
      <c r="FH144" s="1"/>
      <c r="FI144" s="342"/>
      <c r="FJ144" s="232"/>
      <c r="FK144" s="343"/>
      <c r="FL144" s="343"/>
      <c r="FM144" s="343"/>
      <c r="FN144" s="343"/>
      <c r="FO144" s="8"/>
      <c r="FP144" s="8"/>
      <c r="FQ144" s="8"/>
      <c r="FR144" s="343"/>
      <c r="FS144" s="343"/>
      <c r="FT144" s="8"/>
      <c r="FU144" s="87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</row>
    <row r="145" ht="12.75" customHeight="1">
      <c r="A145" s="512"/>
      <c r="B145" s="512"/>
      <c r="C145" s="556"/>
      <c r="D145" s="512"/>
      <c r="E145" s="512"/>
      <c r="F145" s="512"/>
      <c r="G145" s="512"/>
      <c r="H145" s="1"/>
      <c r="I145" s="1"/>
      <c r="J145" s="1"/>
      <c r="K145" s="1"/>
      <c r="L145" s="1"/>
      <c r="M145" s="1"/>
      <c r="N145" s="1"/>
      <c r="O145" s="1"/>
      <c r="P145" s="1"/>
      <c r="Q145" s="1"/>
      <c r="S145" s="63"/>
      <c r="T145" s="1"/>
      <c r="U145" s="87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8"/>
      <c r="AQ145" s="1"/>
      <c r="AR145" s="87"/>
      <c r="AS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87"/>
      <c r="BK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87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8"/>
      <c r="CT145" s="1"/>
      <c r="CU145" s="1"/>
      <c r="CV145" s="1"/>
      <c r="CW145" s="1"/>
      <c r="CX145" s="1"/>
      <c r="CY145" s="1"/>
      <c r="CZ145" s="87"/>
      <c r="DA145" s="1"/>
      <c r="DB145" s="1"/>
      <c r="DC145" s="1"/>
      <c r="DD145" s="1"/>
      <c r="DE145" s="1"/>
      <c r="DF145" s="1"/>
      <c r="DG145" s="1"/>
      <c r="DH145" s="1"/>
      <c r="DI145" s="341"/>
      <c r="DJ145" s="1"/>
      <c r="DK145" s="1"/>
      <c r="DL145" s="1"/>
      <c r="DM145" s="1"/>
      <c r="DN145" s="1"/>
      <c r="DO145" s="1"/>
      <c r="DP145" s="1"/>
      <c r="DQ145" s="1"/>
      <c r="DR145" s="1"/>
      <c r="EU145" s="1"/>
      <c r="EV145" s="1"/>
      <c r="EW145" s="1"/>
      <c r="EX145" s="1"/>
      <c r="EZ145" s="1"/>
      <c r="FA145" s="1"/>
      <c r="FC145" s="1"/>
      <c r="FD145" s="87"/>
      <c r="FE145" s="1"/>
      <c r="FF145" s="142"/>
      <c r="FG145" s="342"/>
      <c r="FH145" s="1"/>
      <c r="FI145" s="342"/>
      <c r="FJ145" s="232"/>
      <c r="FK145" s="343"/>
      <c r="FL145" s="343"/>
      <c r="FM145" s="343"/>
      <c r="FN145" s="343"/>
      <c r="FO145" s="8"/>
      <c r="FP145" s="8"/>
      <c r="FQ145" s="8"/>
      <c r="FR145" s="343"/>
      <c r="FS145" s="343"/>
      <c r="FT145" s="8"/>
      <c r="FU145" s="87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</row>
    <row r="146" ht="12.75" customHeight="1">
      <c r="A146" s="64" t="s">
        <v>389</v>
      </c>
      <c r="B146" s="1"/>
      <c r="C146" s="63"/>
      <c r="D146" s="1"/>
      <c r="E146" s="1"/>
      <c r="F146" s="1"/>
      <c r="G146" s="1"/>
      <c r="H146" s="387"/>
      <c r="I146" s="1"/>
      <c r="J146" s="1"/>
      <c r="K146" s="1"/>
      <c r="L146" s="1"/>
      <c r="M146" s="1"/>
      <c r="N146" s="1"/>
      <c r="O146" s="1"/>
      <c r="P146" s="1"/>
      <c r="Q146" s="1"/>
      <c r="S146" s="63"/>
      <c r="T146" s="1"/>
      <c r="U146" s="87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8"/>
      <c r="AQ146" s="1"/>
      <c r="AR146" s="87"/>
      <c r="AS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87"/>
      <c r="BK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87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8"/>
      <c r="CT146" s="1"/>
      <c r="CU146" s="1"/>
      <c r="CV146" s="1"/>
      <c r="CW146" s="1"/>
      <c r="CX146" s="1"/>
      <c r="CY146" s="1"/>
      <c r="CZ146" s="87"/>
      <c r="DA146" s="1"/>
      <c r="DB146" s="1"/>
      <c r="DC146" s="1"/>
      <c r="DD146" s="1"/>
      <c r="DE146" s="1"/>
      <c r="DF146" s="1"/>
      <c r="DG146" s="1"/>
      <c r="DH146" s="1"/>
      <c r="DI146" s="341"/>
      <c r="DJ146" s="1"/>
      <c r="DK146" s="1"/>
      <c r="DL146" s="1"/>
      <c r="DM146" s="1"/>
      <c r="DN146" s="1"/>
      <c r="DO146" s="1"/>
      <c r="DP146" s="1"/>
      <c r="DQ146" s="1"/>
      <c r="DR146" s="1"/>
      <c r="EU146" s="1"/>
      <c r="EV146" s="1"/>
      <c r="EW146" s="1"/>
      <c r="EX146" s="1"/>
      <c r="EZ146" s="1"/>
      <c r="FA146" s="1"/>
      <c r="FC146" s="1"/>
      <c r="FD146" s="87"/>
      <c r="FE146" s="1"/>
      <c r="FF146" s="142"/>
      <c r="FG146" s="342"/>
      <c r="FH146" s="1"/>
      <c r="FI146" s="342"/>
      <c r="FJ146" s="232"/>
      <c r="FK146" s="343"/>
      <c r="FL146" s="343"/>
      <c r="FM146" s="343"/>
      <c r="FN146" s="343"/>
      <c r="FO146" s="8"/>
      <c r="FP146" s="8"/>
      <c r="FQ146" s="8"/>
      <c r="FR146" s="343"/>
      <c r="FS146" s="343"/>
      <c r="FT146" s="8"/>
      <c r="FU146" s="87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</row>
    <row r="147" ht="12.75" customHeight="1">
      <c r="A147" s="1"/>
      <c r="B147" s="1"/>
      <c r="C147" s="63"/>
      <c r="D147" s="1"/>
      <c r="E147" s="1"/>
      <c r="F147" s="1"/>
      <c r="G147" s="1"/>
      <c r="H147" s="387"/>
      <c r="I147" s="1"/>
      <c r="J147" s="1" t="s">
        <v>390</v>
      </c>
      <c r="K147" s="1"/>
      <c r="L147" s="1"/>
      <c r="M147" s="1"/>
      <c r="N147" s="1"/>
      <c r="O147" s="1"/>
      <c r="P147" s="1"/>
      <c r="Q147" s="1"/>
      <c r="S147" s="63"/>
      <c r="T147" s="1"/>
      <c r="U147" s="87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8"/>
      <c r="AQ147" s="1"/>
      <c r="AR147" s="87"/>
      <c r="AS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87"/>
      <c r="BK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87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8"/>
      <c r="CT147" s="1"/>
      <c r="CU147" s="1"/>
      <c r="CV147" s="1"/>
      <c r="CW147" s="1"/>
      <c r="CX147" s="1"/>
      <c r="CY147" s="1"/>
      <c r="CZ147" s="87"/>
      <c r="DA147" s="1"/>
      <c r="DB147" s="1"/>
      <c r="DC147" s="1"/>
      <c r="DD147" s="1"/>
      <c r="DE147" s="1"/>
      <c r="DF147" s="1"/>
      <c r="DG147" s="1"/>
      <c r="DH147" s="1"/>
      <c r="DI147" s="341"/>
      <c r="DJ147" s="1"/>
      <c r="DK147" s="1"/>
      <c r="DL147" s="1"/>
      <c r="DM147" s="1"/>
      <c r="DN147" s="1"/>
      <c r="DO147" s="1"/>
      <c r="DP147" s="1"/>
      <c r="DQ147" s="1"/>
      <c r="DR147" s="1"/>
      <c r="EU147" s="1"/>
      <c r="EV147" s="1"/>
      <c r="EW147" s="1"/>
      <c r="EX147" s="1"/>
      <c r="EZ147" s="1"/>
      <c r="FA147" s="1"/>
      <c r="FC147" s="1"/>
      <c r="FD147" s="87"/>
      <c r="FE147" s="1"/>
      <c r="FF147" s="142"/>
      <c r="FG147" s="342"/>
      <c r="FH147" s="1"/>
      <c r="FI147" s="342"/>
      <c r="FJ147" s="232"/>
      <c r="FK147" s="343"/>
      <c r="FL147" s="343"/>
      <c r="FM147" s="343"/>
      <c r="FN147" s="343"/>
      <c r="FO147" s="8"/>
      <c r="FP147" s="8"/>
      <c r="FQ147" s="8"/>
      <c r="FR147" s="343"/>
      <c r="FS147" s="343"/>
      <c r="FT147" s="8"/>
      <c r="FU147" s="87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</row>
    <row r="148" ht="12.75" customHeight="1">
      <c r="A148" s="1"/>
      <c r="B148" s="1"/>
      <c r="C148" s="63"/>
      <c r="D148" s="1"/>
      <c r="E148" s="1"/>
      <c r="F148" s="1"/>
      <c r="G148" s="1"/>
      <c r="H148" s="387"/>
      <c r="I148" s="1"/>
      <c r="J148" s="1" t="s">
        <v>391</v>
      </c>
      <c r="K148" s="1"/>
      <c r="L148" s="1"/>
      <c r="M148" s="1"/>
      <c r="N148" s="1"/>
      <c r="O148" s="1"/>
      <c r="P148" s="1"/>
      <c r="Q148" s="1"/>
      <c r="S148" s="63"/>
      <c r="T148" s="1"/>
      <c r="U148" s="87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8"/>
      <c r="AQ148" s="1"/>
      <c r="AR148" s="87"/>
      <c r="AS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87"/>
      <c r="BK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87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8"/>
      <c r="CT148" s="1"/>
      <c r="CU148" s="1"/>
      <c r="CV148" s="1"/>
      <c r="CW148" s="1"/>
      <c r="CX148" s="1"/>
      <c r="CY148" s="1"/>
      <c r="CZ148" s="87"/>
      <c r="DA148" s="1"/>
      <c r="DB148" s="1"/>
      <c r="DC148" s="1"/>
      <c r="DD148" s="1"/>
      <c r="DE148" s="1"/>
      <c r="DF148" s="1"/>
      <c r="DG148" s="1"/>
      <c r="DH148" s="1"/>
      <c r="DI148" s="341"/>
      <c r="DJ148" s="1"/>
      <c r="DK148" s="1"/>
      <c r="DL148" s="1"/>
      <c r="DM148" s="1"/>
      <c r="DN148" s="1"/>
      <c r="DO148" s="1"/>
      <c r="DP148" s="1"/>
      <c r="DQ148" s="1"/>
      <c r="DR148" s="1"/>
      <c r="EU148" s="1"/>
      <c r="EV148" s="1"/>
      <c r="EW148" s="1"/>
      <c r="EX148" s="1"/>
      <c r="EZ148" s="1"/>
      <c r="FA148" s="1"/>
      <c r="FC148" s="1"/>
      <c r="FD148" s="87"/>
      <c r="FE148" s="1"/>
      <c r="FF148" s="142"/>
      <c r="FG148" s="342"/>
      <c r="FH148" s="1"/>
      <c r="FI148" s="342"/>
      <c r="FJ148" s="232"/>
      <c r="FK148" s="343"/>
      <c r="FL148" s="343"/>
      <c r="FM148" s="343"/>
      <c r="FN148" s="343"/>
      <c r="FO148" s="8"/>
      <c r="FP148" s="8"/>
      <c r="FQ148" s="8"/>
      <c r="FR148" s="343"/>
      <c r="FS148" s="343"/>
      <c r="FT148" s="8"/>
      <c r="FU148" s="87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</row>
    <row r="149" ht="12.75" customHeight="1">
      <c r="A149" s="1"/>
      <c r="B149" s="1"/>
      <c r="C149" s="63"/>
      <c r="D149" s="1"/>
      <c r="E149" s="1"/>
      <c r="F149" s="1"/>
      <c r="G149" s="1"/>
      <c r="H149" s="387"/>
      <c r="I149" s="1"/>
      <c r="J149" s="1"/>
      <c r="K149" s="1"/>
      <c r="L149" s="1"/>
      <c r="M149" s="1"/>
      <c r="N149" s="1"/>
      <c r="O149" s="1"/>
      <c r="P149" s="1"/>
      <c r="Q149" s="1"/>
      <c r="S149" s="63"/>
      <c r="T149" s="1"/>
      <c r="U149" s="87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8"/>
      <c r="AQ149" s="1"/>
      <c r="AR149" s="87"/>
      <c r="AS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87"/>
      <c r="BK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87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8"/>
      <c r="CT149" s="1"/>
      <c r="CU149" s="1"/>
      <c r="CV149" s="1"/>
      <c r="CW149" s="1"/>
      <c r="CX149" s="1"/>
      <c r="CY149" s="1"/>
      <c r="CZ149" s="87"/>
      <c r="DA149" s="1"/>
      <c r="DB149" s="1"/>
      <c r="DC149" s="1"/>
      <c r="DD149" s="1"/>
      <c r="DE149" s="1"/>
      <c r="DF149" s="1"/>
      <c r="DG149" s="1"/>
      <c r="DH149" s="1"/>
      <c r="DI149" s="341"/>
      <c r="DJ149" s="1"/>
      <c r="DK149" s="1"/>
      <c r="DL149" s="1"/>
      <c r="DM149" s="1"/>
      <c r="DN149" s="1"/>
      <c r="DO149" s="1"/>
      <c r="DP149" s="1"/>
      <c r="DQ149" s="1"/>
      <c r="DR149" s="1"/>
      <c r="EU149" s="1"/>
      <c r="EV149" s="1"/>
      <c r="EW149" s="1"/>
      <c r="EX149" s="1"/>
      <c r="EZ149" s="1"/>
      <c r="FA149" s="1"/>
      <c r="FC149" s="1"/>
      <c r="FD149" s="87"/>
      <c r="FE149" s="1"/>
      <c r="FF149" s="142"/>
      <c r="FG149" s="342"/>
      <c r="FH149" s="1"/>
      <c r="FI149" s="342"/>
      <c r="FJ149" s="232"/>
      <c r="FK149" s="343"/>
      <c r="FL149" s="343"/>
      <c r="FM149" s="343"/>
      <c r="FN149" s="343"/>
      <c r="FO149" s="8"/>
      <c r="FP149" s="8"/>
      <c r="FQ149" s="8"/>
      <c r="FR149" s="343"/>
      <c r="FS149" s="343"/>
      <c r="FT149" s="8"/>
      <c r="FU149" s="87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</row>
    <row r="150" ht="12.75" customHeight="1">
      <c r="A150" s="566" t="s">
        <v>392</v>
      </c>
      <c r="B150" s="387"/>
      <c r="C150" s="541"/>
      <c r="D150" s="387"/>
      <c r="E150" s="387" t="s">
        <v>40</v>
      </c>
      <c r="F150" s="387"/>
      <c r="G150" s="387" t="s">
        <v>231</v>
      </c>
      <c r="H150" s="387"/>
      <c r="I150" s="1"/>
      <c r="J150" s="1"/>
      <c r="K150" s="1"/>
      <c r="L150" s="1"/>
      <c r="M150" s="1"/>
      <c r="N150" s="1"/>
      <c r="O150" s="1"/>
      <c r="P150" s="1"/>
      <c r="Q150" s="1"/>
      <c r="S150" s="63"/>
      <c r="T150" s="1"/>
      <c r="U150" s="87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8"/>
      <c r="AQ150" s="1"/>
      <c r="AR150" s="87"/>
      <c r="AS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87"/>
      <c r="BK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87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8"/>
      <c r="CT150" s="1"/>
      <c r="CU150" s="1"/>
      <c r="CV150" s="1"/>
      <c r="CW150" s="1"/>
      <c r="CX150" s="1"/>
      <c r="CY150" s="1"/>
      <c r="CZ150" s="87"/>
      <c r="DA150" s="1"/>
      <c r="DB150" s="1"/>
      <c r="DC150" s="1"/>
      <c r="DD150" s="1"/>
      <c r="DE150" s="1"/>
      <c r="DF150" s="1"/>
      <c r="DG150" s="1"/>
      <c r="DH150" s="1"/>
      <c r="DI150" s="341"/>
      <c r="DJ150" s="1"/>
      <c r="DK150" s="1"/>
      <c r="DL150" s="1"/>
      <c r="DM150" s="1"/>
      <c r="DN150" s="1"/>
      <c r="DO150" s="1"/>
      <c r="DP150" s="1"/>
      <c r="DQ150" s="1"/>
      <c r="DR150" s="1"/>
      <c r="EU150" s="1"/>
      <c r="EV150" s="1"/>
      <c r="EW150" s="1"/>
      <c r="EX150" s="1"/>
      <c r="EZ150" s="1"/>
      <c r="FA150" s="1"/>
      <c r="FC150" s="1"/>
      <c r="FD150" s="87"/>
      <c r="FE150" s="1"/>
      <c r="FF150" s="142"/>
      <c r="FG150" s="342"/>
      <c r="FH150" s="1"/>
      <c r="FI150" s="342"/>
      <c r="FJ150" s="232"/>
      <c r="FK150" s="343"/>
      <c r="FL150" s="343"/>
      <c r="FM150" s="343"/>
      <c r="FN150" s="343"/>
      <c r="FO150" s="8"/>
      <c r="FP150" s="8"/>
      <c r="FQ150" s="8"/>
      <c r="FR150" s="343"/>
      <c r="FS150" s="343"/>
      <c r="FT150" s="8"/>
      <c r="FU150" s="87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</row>
    <row r="151" ht="12.75" customHeight="1">
      <c r="A151" s="3" t="s">
        <v>393</v>
      </c>
      <c r="B151" s="4"/>
      <c r="C151" s="462"/>
      <c r="D151" s="444"/>
      <c r="E151" s="567">
        <f>FQ54*(D155/100)</f>
        <v>0</v>
      </c>
      <c r="F151" s="567"/>
      <c r="G151" s="568">
        <f>FR54*(D156/100)</f>
        <v>0</v>
      </c>
      <c r="H151" s="387"/>
      <c r="I151" s="1"/>
      <c r="J151" s="1"/>
      <c r="K151" s="1"/>
      <c r="L151" s="1"/>
      <c r="M151" s="1"/>
      <c r="N151" s="1"/>
      <c r="O151" s="1"/>
      <c r="P151" s="1"/>
      <c r="Q151" s="1"/>
      <c r="S151" s="63"/>
      <c r="T151" s="1"/>
      <c r="U151" s="87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8"/>
      <c r="AQ151" s="1"/>
      <c r="AR151" s="87"/>
      <c r="AS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87"/>
      <c r="BK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87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8"/>
      <c r="CT151" s="1"/>
      <c r="CU151" s="1"/>
      <c r="CV151" s="1"/>
      <c r="CW151" s="1"/>
      <c r="CX151" s="1"/>
      <c r="CY151" s="1"/>
      <c r="CZ151" s="87"/>
      <c r="DA151" s="1"/>
      <c r="DB151" s="1"/>
      <c r="DC151" s="1"/>
      <c r="DD151" s="1"/>
      <c r="DE151" s="1"/>
      <c r="DF151" s="1"/>
      <c r="DG151" s="1"/>
      <c r="DH151" s="1"/>
      <c r="DI151" s="341"/>
      <c r="DJ151" s="1"/>
      <c r="DK151" s="1"/>
      <c r="DL151" s="1"/>
      <c r="DM151" s="1"/>
      <c r="DN151" s="1"/>
      <c r="DO151" s="1"/>
      <c r="DP151" s="1"/>
      <c r="DQ151" s="1"/>
      <c r="DR151" s="1"/>
      <c r="EU151" s="1"/>
      <c r="EV151" s="1"/>
      <c r="EW151" s="1"/>
      <c r="EX151" s="1"/>
      <c r="EZ151" s="1"/>
      <c r="FA151" s="1"/>
      <c r="FC151" s="1"/>
      <c r="FD151" s="87"/>
      <c r="FE151" s="1"/>
      <c r="FF151" s="142"/>
      <c r="FG151" s="342"/>
      <c r="FH151" s="1"/>
      <c r="FI151" s="342"/>
      <c r="FJ151" s="232"/>
      <c r="FK151" s="343"/>
      <c r="FL151" s="343"/>
      <c r="FM151" s="343"/>
      <c r="FN151" s="343"/>
      <c r="FO151" s="8"/>
      <c r="FP151" s="8"/>
      <c r="FQ151" s="8"/>
      <c r="FR151" s="343"/>
      <c r="FS151" s="343"/>
      <c r="FT151" s="8"/>
      <c r="FU151" s="87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</row>
    <row r="152" ht="12.75" customHeight="1">
      <c r="A152" s="7" t="s">
        <v>394</v>
      </c>
      <c r="B152" s="8"/>
      <c r="C152" s="63"/>
      <c r="D152" s="444"/>
      <c r="E152" s="8"/>
      <c r="F152" s="8"/>
      <c r="G152" s="9"/>
      <c r="H152" s="387"/>
      <c r="I152" s="1"/>
      <c r="J152" s="1"/>
      <c r="K152" s="1"/>
      <c r="L152" s="1"/>
      <c r="M152" s="1"/>
      <c r="N152" s="1"/>
      <c r="O152" s="1"/>
      <c r="P152" s="1"/>
      <c r="Q152" s="1"/>
      <c r="R152" s="170" t="s">
        <v>395</v>
      </c>
      <c r="S152" s="47"/>
      <c r="T152" s="2"/>
      <c r="U152" s="87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8"/>
      <c r="AQ152" s="1"/>
      <c r="AR152" s="87"/>
      <c r="AS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87"/>
      <c r="BK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87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8"/>
      <c r="CT152" s="1"/>
      <c r="CU152" s="1"/>
      <c r="CV152" s="1"/>
      <c r="CW152" s="1"/>
      <c r="CX152" s="1"/>
      <c r="CY152" s="1"/>
      <c r="CZ152" s="87"/>
      <c r="DA152" s="1"/>
      <c r="DB152" s="1"/>
      <c r="DC152" s="1"/>
      <c r="DD152" s="1"/>
      <c r="DE152" s="1"/>
      <c r="DF152" s="1"/>
      <c r="DG152" s="1"/>
      <c r="DH152" s="1"/>
      <c r="DI152" s="341"/>
      <c r="DJ152" s="1"/>
      <c r="DK152" s="1"/>
      <c r="DL152" s="1"/>
      <c r="DM152" s="1"/>
      <c r="DN152" s="1"/>
      <c r="DO152" s="1"/>
      <c r="DP152" s="1"/>
      <c r="DQ152" s="1"/>
      <c r="DR152" s="1"/>
      <c r="EU152" s="1"/>
      <c r="EV152" s="1"/>
      <c r="EW152" s="1"/>
      <c r="EX152" s="1"/>
      <c r="EZ152" s="1"/>
      <c r="FA152" s="1"/>
      <c r="FC152" s="1"/>
      <c r="FD152" s="87"/>
      <c r="FE152" s="1"/>
      <c r="FF152" s="142"/>
      <c r="FG152" s="342"/>
      <c r="FH152" s="1"/>
      <c r="FI152" s="342"/>
      <c r="FJ152" s="232"/>
      <c r="FK152" s="343"/>
      <c r="FL152" s="343"/>
      <c r="FM152" s="343"/>
      <c r="FN152" s="343"/>
      <c r="FO152" s="8"/>
      <c r="FP152" s="8"/>
      <c r="FQ152" s="8"/>
      <c r="FR152" s="343"/>
      <c r="FS152" s="343"/>
      <c r="FT152" s="8"/>
      <c r="FU152" s="87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</row>
    <row r="153" ht="12.0" customHeight="1">
      <c r="A153" s="7" t="s">
        <v>34</v>
      </c>
      <c r="B153" s="8"/>
      <c r="C153" s="63"/>
      <c r="D153" s="444"/>
      <c r="E153" s="8" t="s">
        <v>245</v>
      </c>
      <c r="F153" s="8"/>
      <c r="G153" s="564">
        <f>SUM(E151:G151)</f>
        <v>0</v>
      </c>
      <c r="H153" s="387"/>
      <c r="I153" s="1"/>
      <c r="J153" s="1"/>
      <c r="K153" s="1"/>
      <c r="L153" s="1"/>
      <c r="M153" s="1"/>
      <c r="N153" s="1"/>
      <c r="O153" s="1"/>
      <c r="P153" s="1"/>
      <c r="Q153" s="1"/>
      <c r="R153" s="3" t="str">
        <f t="shared" ref="R153:R154" si="283">D151</f>
        <v/>
      </c>
      <c r="S153" s="462"/>
      <c r="T153" s="5"/>
      <c r="U153" s="87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8"/>
      <c r="AQ153" s="1"/>
      <c r="AR153" s="87"/>
      <c r="AS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87"/>
      <c r="BK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87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8"/>
      <c r="CT153" s="1"/>
      <c r="CU153" s="1"/>
      <c r="CV153" s="1"/>
      <c r="CW153" s="1"/>
      <c r="CX153" s="1"/>
      <c r="CY153" s="1"/>
      <c r="CZ153" s="87"/>
      <c r="DA153" s="1"/>
      <c r="DB153" s="1"/>
      <c r="DC153" s="1"/>
      <c r="DD153" s="1"/>
      <c r="DE153" s="1"/>
      <c r="DF153" s="1"/>
      <c r="DG153" s="1"/>
      <c r="DH153" s="1"/>
      <c r="DI153" s="341"/>
      <c r="DJ153" s="1"/>
      <c r="DK153" s="1"/>
      <c r="DL153" s="1"/>
      <c r="DM153" s="1"/>
      <c r="DN153" s="1"/>
      <c r="DO153" s="1"/>
      <c r="DP153" s="1"/>
      <c r="DQ153" s="1"/>
      <c r="DR153" s="1"/>
      <c r="EU153" s="1"/>
      <c r="EV153" s="1"/>
      <c r="EW153" s="1"/>
      <c r="EX153" s="1"/>
      <c r="EZ153" s="1"/>
      <c r="FA153" s="1"/>
      <c r="FC153" s="1"/>
      <c r="FD153" s="87"/>
      <c r="FE153" s="1"/>
      <c r="FF153" s="142"/>
      <c r="FG153" s="342"/>
      <c r="FH153" s="1"/>
      <c r="FI153" s="342"/>
      <c r="FJ153" s="232"/>
      <c r="FK153" s="343"/>
      <c r="FL153" s="343"/>
      <c r="FM153" s="343"/>
      <c r="FN153" s="343"/>
      <c r="FO153" s="8"/>
      <c r="FP153" s="8"/>
      <c r="FQ153" s="8"/>
      <c r="FR153" s="343"/>
      <c r="FS153" s="343"/>
      <c r="FT153" s="8"/>
      <c r="FU153" s="87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</row>
    <row r="154" ht="12.75" customHeight="1">
      <c r="A154" s="7" t="s">
        <v>396</v>
      </c>
      <c r="B154" s="8"/>
      <c r="C154" s="63"/>
      <c r="D154" s="536"/>
      <c r="E154" s="8"/>
      <c r="F154" s="8"/>
      <c r="G154" s="564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7" t="str">
        <f t="shared" si="283"/>
        <v/>
      </c>
      <c r="S154" s="63"/>
      <c r="T154" s="9"/>
      <c r="U154" s="87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8"/>
      <c r="AQ154" s="1"/>
      <c r="AR154" s="87"/>
      <c r="AS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87"/>
      <c r="BK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87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8"/>
      <c r="CT154" s="1"/>
      <c r="CU154" s="1"/>
      <c r="CV154" s="1"/>
      <c r="CW154" s="1"/>
      <c r="CX154" s="1"/>
      <c r="CY154" s="1"/>
      <c r="CZ154" s="87"/>
      <c r="DA154" s="1"/>
      <c r="DB154" s="1"/>
      <c r="DC154" s="1"/>
      <c r="DD154" s="1"/>
      <c r="DE154" s="1"/>
      <c r="DF154" s="1"/>
      <c r="DG154" s="1"/>
      <c r="DH154" s="1"/>
      <c r="DI154" s="341"/>
      <c r="DJ154" s="1"/>
      <c r="DK154" s="1"/>
      <c r="DL154" s="1"/>
      <c r="DM154" s="1"/>
      <c r="DN154" s="1"/>
      <c r="DO154" s="1"/>
      <c r="DP154" s="1"/>
      <c r="DQ154" s="1"/>
      <c r="DR154" s="1"/>
      <c r="EU154" s="1"/>
      <c r="EV154" s="1"/>
      <c r="EW154" s="1"/>
      <c r="EX154" s="1"/>
      <c r="EZ154" s="1"/>
      <c r="FA154" s="1"/>
      <c r="FC154" s="1"/>
      <c r="FD154" s="87"/>
      <c r="FE154" s="1"/>
      <c r="FF154" s="142"/>
      <c r="FG154" s="342"/>
      <c r="FH154" s="1"/>
      <c r="FI154" s="342"/>
      <c r="FJ154" s="232"/>
      <c r="FK154" s="343"/>
      <c r="FL154" s="343"/>
      <c r="FM154" s="343"/>
      <c r="FN154" s="343"/>
      <c r="FO154" s="8"/>
      <c r="FP154" s="8"/>
      <c r="FQ154" s="8"/>
      <c r="FR154" s="343"/>
      <c r="FS154" s="343"/>
      <c r="FT154" s="8"/>
      <c r="FU154" s="87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</row>
    <row r="155" ht="12.75" customHeight="1">
      <c r="A155" s="7" t="s">
        <v>51</v>
      </c>
      <c r="B155" s="8" t="s">
        <v>40</v>
      </c>
      <c r="C155" s="63"/>
      <c r="D155" s="444">
        <v>100.0</v>
      </c>
      <c r="E155" s="8"/>
      <c r="F155" s="8"/>
      <c r="G155" s="9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7" t="str">
        <f>IF(D153="","",D153)</f>
        <v/>
      </c>
      <c r="S155" s="63"/>
      <c r="T155" s="9"/>
      <c r="U155" s="87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8"/>
      <c r="AQ155" s="1"/>
      <c r="AR155" s="87"/>
      <c r="AS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87"/>
      <c r="BK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87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8"/>
      <c r="CT155" s="1"/>
      <c r="CU155" s="1"/>
      <c r="CV155" s="1"/>
      <c r="CW155" s="1"/>
      <c r="CX155" s="1"/>
      <c r="CY155" s="1"/>
      <c r="CZ155" s="87"/>
      <c r="DA155" s="1"/>
      <c r="DB155" s="1"/>
      <c r="DC155" s="1"/>
      <c r="DD155" s="1"/>
      <c r="DE155" s="1"/>
      <c r="DF155" s="1"/>
      <c r="DG155" s="1"/>
      <c r="DH155" s="1"/>
      <c r="DI155" s="341"/>
      <c r="DJ155" s="1"/>
      <c r="DK155" s="1"/>
      <c r="DL155" s="1"/>
      <c r="DM155" s="1"/>
      <c r="DN155" s="1"/>
      <c r="DO155" s="1"/>
      <c r="DP155" s="1"/>
      <c r="DQ155" s="1"/>
      <c r="DR155" s="1"/>
      <c r="EU155" s="1"/>
      <c r="EV155" s="1"/>
      <c r="EW155" s="1"/>
      <c r="EX155" s="1"/>
      <c r="EZ155" s="1"/>
      <c r="FA155" s="1"/>
      <c r="FC155" s="1"/>
      <c r="FD155" s="87"/>
      <c r="FE155" s="1"/>
      <c r="FF155" s="142"/>
      <c r="FG155" s="342"/>
      <c r="FH155" s="1"/>
      <c r="FI155" s="342"/>
      <c r="FJ155" s="232"/>
      <c r="FK155" s="343"/>
      <c r="FL155" s="343"/>
      <c r="FM155" s="343"/>
      <c r="FN155" s="343"/>
      <c r="FO155" s="8"/>
      <c r="FP155" s="8"/>
      <c r="FQ155" s="8"/>
      <c r="FR155" s="343"/>
      <c r="FS155" s="343"/>
      <c r="FT155" s="8"/>
      <c r="FU155" s="87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</row>
    <row r="156" ht="12.75" customHeight="1">
      <c r="A156" s="12"/>
      <c r="B156" s="13" t="s">
        <v>5</v>
      </c>
      <c r="C156" s="514"/>
      <c r="D156" s="444">
        <v>100.0</v>
      </c>
      <c r="E156" s="13"/>
      <c r="F156" s="13"/>
      <c r="G156" s="15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2" t="str">
        <f>CONCATENATE(D154, " copies")</f>
        <v> copies</v>
      </c>
      <c r="S156" s="514"/>
      <c r="T156" s="563">
        <f>G153</f>
        <v>0</v>
      </c>
      <c r="U156" s="87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8"/>
      <c r="AQ156" s="1"/>
      <c r="AR156" s="87"/>
      <c r="AS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87"/>
      <c r="BK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87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8"/>
      <c r="CT156" s="1"/>
      <c r="CU156" s="1"/>
      <c r="CV156" s="1"/>
      <c r="CW156" s="1"/>
      <c r="CX156" s="1"/>
      <c r="CY156" s="1"/>
      <c r="CZ156" s="87"/>
      <c r="DA156" s="1"/>
      <c r="DB156" s="1"/>
      <c r="DC156" s="1"/>
      <c r="DD156" s="1"/>
      <c r="DE156" s="1"/>
      <c r="DF156" s="1"/>
      <c r="DG156" s="1"/>
      <c r="DH156" s="1"/>
      <c r="DI156" s="341"/>
      <c r="DJ156" s="1"/>
      <c r="DK156" s="1"/>
      <c r="DL156" s="1"/>
      <c r="DM156" s="1"/>
      <c r="DN156" s="1"/>
      <c r="DO156" s="1"/>
      <c r="DP156" s="1"/>
      <c r="DQ156" s="1"/>
      <c r="DR156" s="1"/>
      <c r="EU156" s="1"/>
      <c r="EV156" s="1"/>
      <c r="EW156" s="1"/>
      <c r="EX156" s="1"/>
      <c r="EZ156" s="1"/>
      <c r="FA156" s="1"/>
      <c r="FC156" s="1"/>
      <c r="FD156" s="87"/>
      <c r="FE156" s="1"/>
      <c r="FF156" s="142"/>
      <c r="FG156" s="342"/>
      <c r="FH156" s="1"/>
      <c r="FI156" s="342"/>
      <c r="FJ156" s="232"/>
      <c r="FK156" s="343"/>
      <c r="FL156" s="343"/>
      <c r="FM156" s="343"/>
      <c r="FN156" s="343"/>
      <c r="FO156" s="8"/>
      <c r="FP156" s="8"/>
      <c r="FQ156" s="8"/>
      <c r="FR156" s="343"/>
      <c r="FS156" s="343"/>
      <c r="FT156" s="8"/>
      <c r="FU156" s="87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</row>
    <row r="157" ht="12.75" customHeight="1">
      <c r="A157" s="387"/>
      <c r="B157" s="387"/>
      <c r="C157" s="541"/>
      <c r="D157" s="387"/>
      <c r="E157" s="387"/>
      <c r="F157" s="387"/>
      <c r="G157" s="387"/>
      <c r="H157" s="1"/>
      <c r="I157" s="1"/>
      <c r="J157" s="1"/>
      <c r="K157" s="1"/>
      <c r="L157" s="1"/>
      <c r="M157" s="1"/>
      <c r="N157" s="1"/>
      <c r="O157" s="1"/>
      <c r="P157" s="1"/>
      <c r="Q157" s="1"/>
      <c r="S157" s="63"/>
      <c r="T157" s="1"/>
      <c r="U157" s="87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8"/>
      <c r="AQ157" s="1"/>
      <c r="AR157" s="87"/>
      <c r="AS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87"/>
      <c r="BK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87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8"/>
      <c r="CT157" s="1"/>
      <c r="CU157" s="1"/>
      <c r="CV157" s="1"/>
      <c r="CW157" s="1"/>
      <c r="CX157" s="1"/>
      <c r="CY157" s="1"/>
      <c r="CZ157" s="87"/>
      <c r="DA157" s="1"/>
      <c r="DB157" s="1"/>
      <c r="DC157" s="1"/>
      <c r="DD157" s="1"/>
      <c r="DE157" s="1"/>
      <c r="DF157" s="1"/>
      <c r="DG157" s="1"/>
      <c r="DH157" s="1"/>
      <c r="DI157" s="341"/>
      <c r="DJ157" s="1"/>
      <c r="DK157" s="1"/>
      <c r="DL157" s="1"/>
      <c r="DM157" s="1"/>
      <c r="DN157" s="1"/>
      <c r="DO157" s="1"/>
      <c r="DP157" s="1"/>
      <c r="DQ157" s="1"/>
      <c r="DR157" s="1"/>
      <c r="EU157" s="1"/>
      <c r="EV157" s="1"/>
      <c r="EW157" s="1"/>
      <c r="EX157" s="1"/>
      <c r="EZ157" s="1"/>
      <c r="FA157" s="1"/>
      <c r="FC157" s="1"/>
      <c r="FD157" s="87"/>
      <c r="FE157" s="1"/>
      <c r="FF157" s="142"/>
      <c r="FG157" s="342"/>
      <c r="FH157" s="1"/>
      <c r="FI157" s="342"/>
      <c r="FJ157" s="232"/>
      <c r="FK157" s="343"/>
      <c r="FL157" s="343"/>
      <c r="FM157" s="343"/>
      <c r="FN157" s="343"/>
      <c r="FO157" s="8"/>
      <c r="FP157" s="8"/>
      <c r="FQ157" s="8"/>
      <c r="FR157" s="343"/>
      <c r="FS157" s="343"/>
      <c r="FT157" s="8"/>
      <c r="FU157" s="87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</row>
    <row r="158" ht="12.75" customHeight="1">
      <c r="A158" s="1"/>
      <c r="B158" s="1"/>
      <c r="C158" s="63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S158" s="63"/>
      <c r="T158" s="1"/>
      <c r="U158" s="87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8"/>
      <c r="AQ158" s="1"/>
      <c r="AR158" s="87"/>
      <c r="AS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87"/>
      <c r="BK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87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8"/>
      <c r="CT158" s="1"/>
      <c r="CU158" s="1"/>
      <c r="CV158" s="1"/>
      <c r="CW158" s="1"/>
      <c r="CX158" s="1"/>
      <c r="CY158" s="1"/>
      <c r="CZ158" s="87"/>
      <c r="DA158" s="1"/>
      <c r="DB158" s="1"/>
      <c r="DC158" s="1"/>
      <c r="DD158" s="1"/>
      <c r="DE158" s="1"/>
      <c r="DF158" s="1"/>
      <c r="DG158" s="1"/>
      <c r="DH158" s="1"/>
      <c r="DI158" s="341"/>
      <c r="DJ158" s="1"/>
      <c r="DK158" s="1"/>
      <c r="DL158" s="1"/>
      <c r="DM158" s="1"/>
      <c r="DN158" s="1"/>
      <c r="DO158" s="1"/>
      <c r="DP158" s="1"/>
      <c r="DQ158" s="1"/>
      <c r="DR158" s="1"/>
      <c r="EU158" s="1"/>
      <c r="EV158" s="1"/>
      <c r="EW158" s="1"/>
      <c r="EX158" s="1"/>
      <c r="EZ158" s="1"/>
      <c r="FA158" s="1"/>
      <c r="FC158" s="1"/>
      <c r="FD158" s="87"/>
      <c r="FE158" s="1"/>
      <c r="FF158" s="142"/>
      <c r="FG158" s="342"/>
      <c r="FH158" s="1"/>
      <c r="FI158" s="342"/>
      <c r="FJ158" s="232"/>
      <c r="FK158" s="343"/>
      <c r="FL158" s="343"/>
      <c r="FM158" s="343"/>
      <c r="FN158" s="343"/>
      <c r="FO158" s="8"/>
      <c r="FP158" s="8"/>
      <c r="FQ158" s="8"/>
      <c r="FR158" s="343"/>
      <c r="FS158" s="343"/>
      <c r="FT158" s="8"/>
      <c r="FU158" s="87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</row>
    <row r="159" ht="12.75" customHeight="1">
      <c r="A159" s="1" t="s">
        <v>397</v>
      </c>
      <c r="B159" s="569"/>
      <c r="C159" s="63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S159" s="63"/>
      <c r="T159" s="1"/>
      <c r="U159" s="87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8"/>
      <c r="AQ159" s="1"/>
      <c r="AR159" s="87"/>
      <c r="AS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87"/>
      <c r="BK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87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8"/>
      <c r="CT159" s="1"/>
      <c r="CU159" s="1"/>
      <c r="CV159" s="1"/>
      <c r="CW159" s="1"/>
      <c r="CX159" s="1"/>
      <c r="CY159" s="1"/>
      <c r="CZ159" s="87"/>
      <c r="DA159" s="1"/>
      <c r="DB159" s="1"/>
      <c r="DC159" s="1"/>
      <c r="DD159" s="1"/>
      <c r="DE159" s="1"/>
      <c r="DF159" s="1"/>
      <c r="DG159" s="1"/>
      <c r="DH159" s="1"/>
      <c r="DI159" s="341"/>
      <c r="DJ159" s="1"/>
      <c r="DK159" s="1"/>
      <c r="DL159" s="1"/>
      <c r="DM159" s="1"/>
      <c r="DN159" s="1"/>
      <c r="DO159" s="1"/>
      <c r="DP159" s="1"/>
      <c r="DQ159" s="1"/>
      <c r="DR159" s="1"/>
      <c r="EU159" s="1"/>
      <c r="EV159" s="1"/>
      <c r="EW159" s="1"/>
      <c r="EX159" s="1"/>
      <c r="EZ159" s="1"/>
      <c r="FA159" s="1"/>
      <c r="FC159" s="1"/>
      <c r="FD159" s="87"/>
      <c r="FE159" s="1"/>
      <c r="FF159" s="142"/>
      <c r="FG159" s="342"/>
      <c r="FH159" s="1"/>
      <c r="FI159" s="342"/>
      <c r="FJ159" s="232"/>
      <c r="FK159" s="343"/>
      <c r="FL159" s="343"/>
      <c r="FM159" s="343"/>
      <c r="FN159" s="343"/>
      <c r="FO159" s="8"/>
      <c r="FP159" s="8"/>
      <c r="FQ159" s="8"/>
      <c r="FR159" s="343"/>
      <c r="FS159" s="343"/>
      <c r="FT159" s="8"/>
      <c r="FU159" s="87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</row>
    <row r="160" ht="12.75" customHeight="1">
      <c r="A160" s="1" t="s">
        <v>398</v>
      </c>
      <c r="B160" s="570"/>
      <c r="C160" s="63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S160" s="63"/>
      <c r="T160" s="1"/>
      <c r="U160" s="87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8"/>
      <c r="AQ160" s="1"/>
      <c r="AR160" s="87"/>
      <c r="AS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87"/>
      <c r="BK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87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8"/>
      <c r="CT160" s="1"/>
      <c r="CU160" s="1"/>
      <c r="CV160" s="1"/>
      <c r="CW160" s="1"/>
      <c r="CX160" s="1"/>
      <c r="CY160" s="1"/>
      <c r="CZ160" s="87"/>
      <c r="DA160" s="1"/>
      <c r="DB160" s="1"/>
      <c r="DC160" s="1"/>
      <c r="DD160" s="1"/>
      <c r="DE160" s="1"/>
      <c r="DF160" s="1"/>
      <c r="DG160" s="1"/>
      <c r="DH160" s="1"/>
      <c r="DI160" s="341"/>
      <c r="DJ160" s="1"/>
      <c r="DK160" s="1"/>
      <c r="DL160" s="1"/>
      <c r="DM160" s="1"/>
      <c r="DN160" s="1"/>
      <c r="DO160" s="1"/>
      <c r="DP160" s="1"/>
      <c r="DQ160" s="1"/>
      <c r="DR160" s="1"/>
      <c r="EU160" s="1"/>
      <c r="EV160" s="1"/>
      <c r="EW160" s="1"/>
      <c r="EX160" s="1"/>
      <c r="EZ160" s="1"/>
      <c r="FA160" s="1"/>
      <c r="FC160" s="1"/>
      <c r="FD160" s="87"/>
      <c r="FE160" s="1"/>
      <c r="FF160" s="142"/>
      <c r="FG160" s="342"/>
      <c r="FH160" s="1"/>
      <c r="FI160" s="342"/>
      <c r="FJ160" s="232"/>
      <c r="FK160" s="343"/>
      <c r="FL160" s="343"/>
      <c r="FM160" s="343"/>
      <c r="FN160" s="343"/>
      <c r="FO160" s="8"/>
      <c r="FP160" s="8"/>
      <c r="FQ160" s="8"/>
      <c r="FR160" s="343"/>
      <c r="FS160" s="343"/>
      <c r="FT160" s="8"/>
      <c r="FU160" s="87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</row>
    <row r="161" ht="12.75" customHeight="1">
      <c r="A161" s="1" t="s">
        <v>399</v>
      </c>
      <c r="B161" s="571"/>
      <c r="C161" s="63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S161" s="63"/>
      <c r="T161" s="1"/>
      <c r="U161" s="87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8"/>
      <c r="AQ161" s="1"/>
      <c r="AR161" s="87"/>
      <c r="AS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87"/>
      <c r="BK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87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8"/>
      <c r="CT161" s="1"/>
      <c r="CU161" s="1"/>
      <c r="CV161" s="1"/>
      <c r="CW161" s="1"/>
      <c r="CX161" s="1"/>
      <c r="CY161" s="1"/>
      <c r="CZ161" s="87"/>
      <c r="DA161" s="1"/>
      <c r="DB161" s="1"/>
      <c r="DC161" s="1"/>
      <c r="DD161" s="1"/>
      <c r="DE161" s="1"/>
      <c r="DF161" s="1"/>
      <c r="DG161" s="1"/>
      <c r="DH161" s="1"/>
      <c r="DI161" s="341"/>
      <c r="DJ161" s="1"/>
      <c r="DK161" s="1"/>
      <c r="DL161" s="1"/>
      <c r="DM161" s="1"/>
      <c r="DN161" s="1"/>
      <c r="DO161" s="1"/>
      <c r="DP161" s="1"/>
      <c r="DQ161" s="1"/>
      <c r="DR161" s="1"/>
      <c r="EU161" s="1"/>
      <c r="EV161" s="1"/>
      <c r="EW161" s="1"/>
      <c r="EX161" s="1"/>
      <c r="EZ161" s="1"/>
      <c r="FA161" s="1"/>
      <c r="FC161" s="1"/>
      <c r="FD161" s="87"/>
      <c r="FE161" s="1"/>
      <c r="FF161" s="142"/>
      <c r="FG161" s="342"/>
      <c r="FH161" s="1"/>
      <c r="FI161" s="342"/>
      <c r="FJ161" s="232"/>
      <c r="FK161" s="343"/>
      <c r="FL161" s="343"/>
      <c r="FM161" s="343"/>
      <c r="FN161" s="343"/>
      <c r="FO161" s="8"/>
      <c r="FP161" s="8"/>
      <c r="FQ161" s="8"/>
      <c r="FR161" s="343"/>
      <c r="FS161" s="343"/>
      <c r="FT161" s="8"/>
      <c r="FU161" s="87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</row>
    <row r="162" ht="12.75" customHeight="1">
      <c r="A162" s="1" t="s">
        <v>400</v>
      </c>
      <c r="B162" s="571"/>
      <c r="C162" s="63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S162" s="63"/>
      <c r="T162" s="1"/>
      <c r="U162" s="87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8"/>
      <c r="AQ162" s="1"/>
      <c r="AR162" s="87"/>
      <c r="AS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87"/>
      <c r="BK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87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8"/>
      <c r="CT162" s="1"/>
      <c r="CU162" s="1"/>
      <c r="CV162" s="1"/>
      <c r="CW162" s="1"/>
      <c r="CX162" s="1"/>
      <c r="CY162" s="1"/>
      <c r="CZ162" s="87"/>
      <c r="DA162" s="1"/>
      <c r="DB162" s="1"/>
      <c r="DC162" s="1"/>
      <c r="DD162" s="1"/>
      <c r="DE162" s="1"/>
      <c r="DF162" s="1"/>
      <c r="DG162" s="1"/>
      <c r="DH162" s="1"/>
      <c r="DI162" s="341"/>
      <c r="DJ162" s="1"/>
      <c r="DK162" s="1"/>
      <c r="DL162" s="1"/>
      <c r="DM162" s="1"/>
      <c r="DN162" s="1"/>
      <c r="DO162" s="1"/>
      <c r="DP162" s="1"/>
      <c r="DQ162" s="1"/>
      <c r="DR162" s="1"/>
      <c r="EU162" s="1"/>
      <c r="EV162" s="1"/>
      <c r="EW162" s="1"/>
      <c r="EX162" s="1"/>
      <c r="EZ162" s="1"/>
      <c r="FA162" s="1"/>
      <c r="FC162" s="1"/>
      <c r="FD162" s="87"/>
      <c r="FE162" s="1"/>
      <c r="FF162" s="142"/>
      <c r="FG162" s="342"/>
      <c r="FH162" s="1"/>
      <c r="FI162" s="342"/>
      <c r="FJ162" s="232"/>
      <c r="FK162" s="343"/>
      <c r="FL162" s="343"/>
      <c r="FM162" s="343"/>
      <c r="FN162" s="343"/>
      <c r="FO162" s="8"/>
      <c r="FP162" s="8"/>
      <c r="FQ162" s="8"/>
      <c r="FR162" s="343"/>
      <c r="FS162" s="343"/>
      <c r="FT162" s="8"/>
      <c r="FU162" s="87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</row>
    <row r="163" ht="12.75" customHeight="1">
      <c r="A163" s="1"/>
      <c r="B163" s="1"/>
      <c r="C163" s="63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S163" s="63"/>
      <c r="T163" s="1"/>
      <c r="U163" s="87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8"/>
      <c r="AQ163" s="1"/>
      <c r="AR163" s="87"/>
      <c r="AS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87"/>
      <c r="BK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87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8"/>
      <c r="CT163" s="1"/>
      <c r="CU163" s="1"/>
      <c r="CV163" s="1"/>
      <c r="CW163" s="1"/>
      <c r="CX163" s="1"/>
      <c r="CY163" s="1"/>
      <c r="CZ163" s="87"/>
      <c r="DA163" s="1"/>
      <c r="DB163" s="1"/>
      <c r="DC163" s="1"/>
      <c r="DD163" s="1"/>
      <c r="DE163" s="1"/>
      <c r="DF163" s="1"/>
      <c r="DG163" s="1"/>
      <c r="DH163" s="1"/>
      <c r="DI163" s="341"/>
      <c r="DJ163" s="1"/>
      <c r="DK163" s="1"/>
      <c r="DL163" s="1"/>
      <c r="DM163" s="1"/>
      <c r="DN163" s="1"/>
      <c r="DO163" s="1"/>
      <c r="DP163" s="1"/>
      <c r="DQ163" s="1"/>
      <c r="DR163" s="1"/>
      <c r="EU163" s="1"/>
      <c r="EV163" s="1"/>
      <c r="EW163" s="1"/>
      <c r="EX163" s="1"/>
      <c r="EZ163" s="1"/>
      <c r="FA163" s="1"/>
      <c r="FC163" s="1"/>
      <c r="FD163" s="87"/>
      <c r="FE163" s="1"/>
      <c r="FF163" s="142"/>
      <c r="FG163" s="342"/>
      <c r="FH163" s="1"/>
      <c r="FI163" s="342"/>
      <c r="FJ163" s="232"/>
      <c r="FK163" s="343"/>
      <c r="FL163" s="343"/>
      <c r="FM163" s="343"/>
      <c r="FN163" s="343"/>
      <c r="FO163" s="8"/>
      <c r="FP163" s="8"/>
      <c r="FQ163" s="8"/>
      <c r="FR163" s="343"/>
      <c r="FS163" s="343"/>
      <c r="FT163" s="8"/>
      <c r="FU163" s="87"/>
      <c r="FV163" s="8"/>
      <c r="FW163" s="8"/>
      <c r="FX163" s="8"/>
      <c r="FY163" s="8"/>
      <c r="FZ163" s="8"/>
      <c r="GA163" s="8"/>
      <c r="GB163" s="8"/>
      <c r="GC163" s="8"/>
      <c r="GD163" s="8"/>
      <c r="GE163" s="8"/>
      <c r="GF163" s="8"/>
    </row>
  </sheetData>
  <mergeCells count="1">
    <mergeCell ref="J53:L53"/>
  </mergeCells>
  <dataValidations>
    <dataValidation type="list" allowBlank="1" showErrorMessage="1" sqref="D152">
      <formula1>$FG$19:$FG$24</formula1>
    </dataValidation>
    <dataValidation type="list" allowBlank="1" showErrorMessage="1" sqref="D153">
      <formula1>$FF$54:$FF$62</formula1>
    </dataValidation>
    <dataValidation type="list" allowBlank="1" showErrorMessage="1" sqref="D83 D121">
      <formula1>$BK$46:$BK$71</formula1>
    </dataValidation>
    <dataValidation type="list" allowBlank="1" showErrorMessage="1" sqref="D78 D116">
      <formula1>$CF$66:$CF$69</formula1>
    </dataValidation>
    <dataValidation type="list" allowBlank="1" showErrorMessage="1" sqref="D82 D120">
      <formula1>$AS$45:$AS$91</formula1>
    </dataValidation>
    <dataValidation type="list" allowBlank="1" showErrorMessage="1" sqref="D151">
      <formula1>$FF$19:$FF$25</formula1>
    </dataValidation>
    <dataValidation type="list" allowBlank="1" showErrorMessage="1" sqref="D74">
      <formula1>$W$66:$W$68</formula1>
    </dataValidation>
    <dataValidation type="list" allowBlank="1" showErrorMessage="1" sqref="D93 D95 D131 D133">
      <formula1>$DA$41:$DA$50</formula1>
    </dataValidation>
    <dataValidation type="list" allowBlank="1" showErrorMessage="1" sqref="D79 D117">
      <formula1>$CE$63:$CE$79</formula1>
    </dataValidation>
    <dataValidation type="list" allowBlank="1" showErrorMessage="1" sqref="D92 D130">
      <formula1>$DA$50:$DA$55</formula1>
    </dataValidation>
  </dataValidation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2" width="8.0"/>
    <col customWidth="1" min="3" max="3" width="44.5"/>
    <col customWidth="1" min="4" max="4" width="19.5"/>
    <col customWidth="1" min="5" max="5" width="7.0"/>
    <col customWidth="1" min="6" max="6" width="6.75"/>
    <col customWidth="1" min="7" max="7" width="5.25"/>
    <col customWidth="1" min="8" max="8" width="12.75"/>
    <col customWidth="1" min="9" max="9" width="6.0"/>
    <col customWidth="1" min="10" max="10" width="5.5"/>
    <col customWidth="1" min="11" max="11" width="6.88"/>
    <col customWidth="1" min="12" max="12" width="8.13"/>
    <col customWidth="1" min="13" max="13" width="6.75"/>
    <col customWidth="1" min="14" max="14" width="0.13"/>
    <col customWidth="1" min="15" max="15" width="1.25"/>
    <col customWidth="1" min="16" max="16" width="11.38"/>
    <col customWidth="1" min="17" max="24" width="8.0"/>
    <col customWidth="1" min="25" max="25" width="9.0"/>
    <col customWidth="1" min="26" max="26" width="7.5"/>
    <col customWidth="1" min="27" max="35" width="7.0"/>
    <col customWidth="1" min="36" max="36" width="6.13"/>
    <col customWidth="1" min="37" max="37" width="14.25"/>
    <col customWidth="1" min="38" max="38" width="23.13"/>
    <col customWidth="1" min="39" max="39" width="14.88"/>
    <col customWidth="1" min="40" max="41" width="23.13"/>
    <col customWidth="1" min="42" max="44" width="8.0"/>
    <col customWidth="1" min="45" max="49" width="7.5"/>
    <col customWidth="1" min="50" max="50" width="4.38"/>
    <col customWidth="1" min="51" max="53" width="6.63"/>
    <col customWidth="1" min="54" max="54" width="20.88"/>
    <col customWidth="1" min="55" max="55" width="15.5"/>
    <col customWidth="1" min="56" max="56" width="7.0"/>
    <col customWidth="1" min="57" max="57" width="5.25"/>
    <col customWidth="1" min="58" max="58" width="6.13"/>
    <col customWidth="1" min="59" max="59" width="8.75"/>
    <col customWidth="1" min="60" max="60" width="6.38"/>
    <col customWidth="1" min="61" max="65" width="6.5"/>
    <col customWidth="1" min="66" max="66" width="6.75"/>
    <col customWidth="1" min="67" max="67" width="21.0"/>
    <col customWidth="1" min="68" max="68" width="12.88"/>
    <col customWidth="1" min="69" max="69" width="9.75"/>
    <col customWidth="1" min="70" max="70" width="8.5"/>
    <col customWidth="1" min="71" max="71" width="11.88"/>
    <col customWidth="1" min="72" max="72" width="7.63"/>
    <col customWidth="1" min="73" max="73" width="3.38"/>
    <col customWidth="1" min="74" max="74" width="8.0"/>
    <col customWidth="1" min="75" max="83" width="7.75"/>
  </cols>
  <sheetData>
    <row r="1" ht="15.75" customHeight="1">
      <c r="A1" s="1" t="s">
        <v>69</v>
      </c>
      <c r="B1" s="1"/>
      <c r="C1" s="1"/>
      <c r="D1" s="1"/>
      <c r="E1" s="86"/>
      <c r="F1" s="86"/>
      <c r="G1" s="8"/>
      <c r="H1" s="1"/>
      <c r="I1" s="1"/>
      <c r="J1" s="1"/>
      <c r="K1" s="1"/>
      <c r="L1" s="86"/>
      <c r="M1" s="86"/>
      <c r="N1" s="1"/>
      <c r="O1" s="87"/>
      <c r="P1" s="88" t="s">
        <v>70</v>
      </c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89"/>
      <c r="AL1" s="89"/>
      <c r="AM1" s="89"/>
      <c r="AN1" s="572" t="str">
        <f>"=="&amp;P1</f>
        <v>==Black and White Magazine</v>
      </c>
      <c r="AO1" s="89" t="s">
        <v>71</v>
      </c>
      <c r="AP1" s="22"/>
      <c r="AQ1" s="22"/>
      <c r="AR1" s="22"/>
      <c r="AS1" s="22"/>
      <c r="AT1" s="22"/>
      <c r="AU1" s="22"/>
      <c r="AV1" s="22"/>
      <c r="AW1" s="22"/>
      <c r="AX1" s="22"/>
      <c r="AY1" s="90"/>
      <c r="AZ1" s="91"/>
      <c r="BA1" s="91"/>
      <c r="BB1" s="92" t="s">
        <v>72</v>
      </c>
      <c r="BC1" s="93"/>
      <c r="BD1" s="93"/>
      <c r="BE1" s="93"/>
      <c r="BF1" s="94" t="s">
        <v>73</v>
      </c>
      <c r="BG1" s="93"/>
      <c r="BH1" s="93"/>
      <c r="BI1" s="93"/>
      <c r="BJ1" s="93"/>
      <c r="BK1" s="93"/>
      <c r="BL1" s="93"/>
      <c r="BM1" s="93"/>
      <c r="BN1" s="93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</row>
    <row r="2" ht="12.75" hidden="1" customHeight="1">
      <c r="A2" s="2"/>
      <c r="B2" s="2"/>
      <c r="C2" s="2"/>
      <c r="D2" s="2"/>
      <c r="E2" s="95"/>
      <c r="F2" s="95"/>
      <c r="G2" s="2"/>
      <c r="H2" s="2"/>
      <c r="I2" s="2"/>
      <c r="J2" s="2"/>
      <c r="K2" s="2"/>
      <c r="L2" s="95"/>
      <c r="M2" s="95"/>
      <c r="N2" s="2"/>
      <c r="O2" s="87"/>
      <c r="P2" s="88" t="s">
        <v>74</v>
      </c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89"/>
      <c r="AL2" s="89"/>
      <c r="AM2" s="89"/>
      <c r="AN2" s="89"/>
      <c r="AO2" s="89" t="s">
        <v>75</v>
      </c>
      <c r="AP2" s="22"/>
      <c r="AQ2" s="22"/>
      <c r="AR2" s="22"/>
      <c r="AS2" s="22"/>
      <c r="AT2" s="22"/>
      <c r="AU2" s="22"/>
      <c r="AV2" s="22"/>
      <c r="AW2" s="22"/>
      <c r="AX2" s="22"/>
      <c r="AY2" s="90"/>
      <c r="AZ2" s="91"/>
      <c r="BA2" s="91"/>
      <c r="BB2" s="96" t="s">
        <v>76</v>
      </c>
      <c r="BC2" s="97"/>
      <c r="BD2" s="97"/>
      <c r="BE2" s="97"/>
      <c r="BF2" s="98" t="s">
        <v>77</v>
      </c>
      <c r="BG2" s="99" t="s">
        <v>78</v>
      </c>
      <c r="BH2" s="97"/>
      <c r="BI2" s="97"/>
      <c r="BJ2" s="97"/>
      <c r="BK2" s="97"/>
      <c r="BL2" s="97"/>
      <c r="BM2" s="97"/>
      <c r="BN2" s="97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</row>
    <row r="3" ht="15.75" hidden="1" customHeight="1">
      <c r="A3" s="39" t="s">
        <v>79</v>
      </c>
      <c r="B3" s="1"/>
      <c r="C3" s="1"/>
      <c r="D3" s="1"/>
      <c r="E3" s="86"/>
      <c r="F3" s="86"/>
      <c r="G3" s="8"/>
      <c r="H3" s="39" t="s">
        <v>80</v>
      </c>
      <c r="I3" s="39"/>
      <c r="J3" s="1"/>
      <c r="K3" s="1"/>
      <c r="L3" s="86"/>
      <c r="M3" s="86"/>
      <c r="N3" s="1"/>
      <c r="O3" s="87"/>
      <c r="P3" s="88" t="s">
        <v>81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573" t="s">
        <v>401</v>
      </c>
      <c r="AL3" s="89"/>
      <c r="AM3" s="89"/>
      <c r="AN3" s="89"/>
      <c r="AO3" s="89" t="s">
        <v>82</v>
      </c>
      <c r="AP3" s="22"/>
      <c r="AQ3" s="22"/>
      <c r="AR3" s="22"/>
      <c r="AS3" s="22"/>
      <c r="AT3" s="22"/>
      <c r="AU3" s="22"/>
      <c r="AV3" s="22"/>
      <c r="AW3" s="22"/>
      <c r="AX3" s="22"/>
      <c r="AY3" s="90"/>
      <c r="AZ3" s="91"/>
      <c r="BA3" s="91"/>
      <c r="BB3" s="92" t="s">
        <v>83</v>
      </c>
      <c r="BC3" s="93"/>
      <c r="BD3" s="93"/>
      <c r="BE3" s="93"/>
      <c r="BF3" s="100" t="s">
        <v>84</v>
      </c>
      <c r="BG3" s="101" t="s">
        <v>85</v>
      </c>
      <c r="BH3" s="93"/>
      <c r="BI3" s="93"/>
      <c r="BJ3" s="93"/>
      <c r="BK3" s="93"/>
      <c r="BL3" s="93"/>
      <c r="BM3" s="93"/>
      <c r="BN3" s="93"/>
      <c r="BO3" s="102" t="s">
        <v>86</v>
      </c>
      <c r="BP3" s="103" t="s">
        <v>74</v>
      </c>
      <c r="BQ3" s="103" t="s">
        <v>87</v>
      </c>
      <c r="BR3" s="104" t="s">
        <v>88</v>
      </c>
      <c r="BS3" s="105" t="s">
        <v>89</v>
      </c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</row>
    <row r="4" ht="12.75" hidden="1" customHeight="1">
      <c r="A4" s="106" t="s">
        <v>90</v>
      </c>
      <c r="B4" s="107" t="s">
        <v>91</v>
      </c>
      <c r="C4" s="107" t="s">
        <v>92</v>
      </c>
      <c r="D4" s="107" t="s">
        <v>93</v>
      </c>
      <c r="E4" s="108" t="s">
        <v>94</v>
      </c>
      <c r="F4" s="109" t="s">
        <v>95</v>
      </c>
      <c r="G4" s="39"/>
      <c r="H4" s="110" t="s">
        <v>90</v>
      </c>
      <c r="I4" s="111"/>
      <c r="J4" s="107" t="s">
        <v>91</v>
      </c>
      <c r="K4" s="107" t="s">
        <v>93</v>
      </c>
      <c r="L4" s="108" t="s">
        <v>96</v>
      </c>
      <c r="M4" s="109" t="s">
        <v>95</v>
      </c>
      <c r="N4" s="1"/>
      <c r="O4" s="87"/>
      <c r="P4" s="88" t="s">
        <v>97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89"/>
      <c r="AL4" s="89"/>
      <c r="AM4" s="89"/>
      <c r="AN4" s="89"/>
      <c r="AO4" s="89" t="s">
        <v>98</v>
      </c>
      <c r="AP4" s="22"/>
      <c r="AQ4" s="22"/>
      <c r="AR4" s="22"/>
      <c r="AS4" s="22"/>
      <c r="AT4" s="22"/>
      <c r="AU4" s="22"/>
      <c r="AV4" s="22"/>
      <c r="AW4" s="22"/>
      <c r="AX4" s="22"/>
      <c r="AY4" s="90"/>
      <c r="AZ4" s="91"/>
      <c r="BA4" s="91"/>
      <c r="BB4" s="92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112" t="s">
        <v>99</v>
      </c>
      <c r="BP4" s="113">
        <v>5.0</v>
      </c>
      <c r="BQ4" s="114">
        <v>10.0</v>
      </c>
      <c r="BR4" s="113">
        <v>20.0</v>
      </c>
      <c r="BS4" s="114">
        <v>20.0</v>
      </c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</row>
    <row r="5" ht="12.75" hidden="1" customHeight="1">
      <c r="A5" s="110">
        <v>1.0</v>
      </c>
      <c r="B5" s="1">
        <v>175.0</v>
      </c>
      <c r="C5" s="1">
        <v>25.0</v>
      </c>
      <c r="D5" s="1">
        <v>20.0</v>
      </c>
      <c r="E5" s="115">
        <v>220.0</v>
      </c>
      <c r="F5" s="115">
        <v>45.0</v>
      </c>
      <c r="G5" s="8"/>
      <c r="H5" s="116">
        <v>1.0</v>
      </c>
      <c r="I5" s="39"/>
      <c r="J5" s="1">
        <v>500.0</v>
      </c>
      <c r="K5" s="1">
        <v>20.0</v>
      </c>
      <c r="L5" s="115">
        <v>520.0</v>
      </c>
      <c r="M5" s="115">
        <v>400.0</v>
      </c>
      <c r="N5" s="1" t="str">
        <f t="shared" ref="N5:N22" si="1">IF(#REF!=H5,M5,0)</f>
        <v>#REF!</v>
      </c>
      <c r="O5" s="87"/>
      <c r="P5" s="88" t="s">
        <v>100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90"/>
      <c r="AZ5" s="91"/>
      <c r="BA5" s="91"/>
      <c r="BB5" s="117"/>
      <c r="BC5" s="93" t="s">
        <v>3</v>
      </c>
      <c r="BD5" s="104" t="s">
        <v>5</v>
      </c>
      <c r="BE5" s="93"/>
      <c r="BF5" s="93" t="s">
        <v>3</v>
      </c>
      <c r="BG5" s="118" t="s">
        <v>5</v>
      </c>
      <c r="BH5" s="93"/>
      <c r="BI5" s="93" t="s">
        <v>3</v>
      </c>
      <c r="BJ5" s="119" t="s">
        <v>5</v>
      </c>
      <c r="BK5" s="93"/>
      <c r="BL5" s="93"/>
      <c r="BM5" s="93"/>
      <c r="BN5" s="93"/>
      <c r="BO5" s="120" t="s">
        <v>101</v>
      </c>
      <c r="BP5" s="121">
        <v>7.0</v>
      </c>
      <c r="BQ5" s="122">
        <v>15.0</v>
      </c>
      <c r="BR5" s="121">
        <v>30.0</v>
      </c>
      <c r="BS5" s="122">
        <v>10.0</v>
      </c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</row>
    <row r="6" ht="12.75" hidden="1" customHeight="1">
      <c r="A6" s="123">
        <f t="shared" ref="A6:A67" si="2">A5+1</f>
        <v>2</v>
      </c>
      <c r="B6" s="124">
        <v>175.0</v>
      </c>
      <c r="C6" s="124">
        <v>40.0</v>
      </c>
      <c r="D6" s="124">
        <f t="shared" ref="D6:D24" si="3">D5+20</f>
        <v>40</v>
      </c>
      <c r="E6" s="125">
        <v>255.0</v>
      </c>
      <c r="F6" s="125">
        <v>80.0</v>
      </c>
      <c r="G6" s="8"/>
      <c r="H6" s="123">
        <f t="shared" ref="H6:H67" si="4">H5+1</f>
        <v>2</v>
      </c>
      <c r="I6" s="126"/>
      <c r="J6" s="124">
        <v>500.0</v>
      </c>
      <c r="K6" s="124">
        <v>40.0</v>
      </c>
      <c r="L6" s="125">
        <f t="shared" ref="L6:L9" si="5">L5+20</f>
        <v>540</v>
      </c>
      <c r="M6" s="125">
        <v>400.0</v>
      </c>
      <c r="N6" s="1" t="str">
        <f t="shared" si="1"/>
        <v>#REF!</v>
      </c>
      <c r="O6" s="87"/>
      <c r="P6" s="88"/>
      <c r="Q6" s="127" t="s">
        <v>102</v>
      </c>
      <c r="R6" s="128"/>
      <c r="S6" s="129"/>
      <c r="T6" s="130"/>
      <c r="U6" s="127" t="s">
        <v>103</v>
      </c>
      <c r="V6" s="128"/>
      <c r="W6" s="129"/>
      <c r="X6" s="131"/>
      <c r="Y6" s="22"/>
      <c r="Z6" s="132" t="s">
        <v>104</v>
      </c>
      <c r="AA6" s="129"/>
      <c r="AB6" s="574"/>
      <c r="AC6" s="574"/>
      <c r="AD6" s="132" t="s">
        <v>105</v>
      </c>
      <c r="AE6" s="129"/>
      <c r="AF6" s="132" t="s">
        <v>106</v>
      </c>
      <c r="AG6" s="129"/>
      <c r="AH6" s="133" t="s">
        <v>87</v>
      </c>
      <c r="AI6" s="133"/>
      <c r="AJ6" s="22"/>
      <c r="AK6" s="134"/>
      <c r="AL6" s="134"/>
      <c r="AM6" s="134"/>
      <c r="AN6" s="134"/>
      <c r="AO6" s="134"/>
      <c r="AP6" s="127" t="s">
        <v>107</v>
      </c>
      <c r="AQ6" s="128"/>
      <c r="AR6" s="129"/>
      <c r="AS6" s="130"/>
      <c r="AT6" s="135" t="s">
        <v>104</v>
      </c>
      <c r="AU6" s="129"/>
      <c r="AV6" s="135" t="s">
        <v>105</v>
      </c>
      <c r="AW6" s="129"/>
      <c r="AX6" s="135" t="s">
        <v>106</v>
      </c>
      <c r="AY6" s="129"/>
      <c r="AZ6" s="135" t="s">
        <v>84</v>
      </c>
      <c r="BA6" s="129"/>
      <c r="BB6" s="90"/>
      <c r="BC6" s="136" t="s">
        <v>108</v>
      </c>
      <c r="BD6" s="103" t="s">
        <v>74</v>
      </c>
      <c r="BE6" s="103" t="s">
        <v>74</v>
      </c>
      <c r="BF6" s="137"/>
      <c r="BG6" s="103" t="s">
        <v>84</v>
      </c>
      <c r="BH6" s="103" t="s">
        <v>84</v>
      </c>
      <c r="BI6" s="137"/>
      <c r="BJ6" s="104" t="s">
        <v>88</v>
      </c>
      <c r="BK6" s="104" t="s">
        <v>88</v>
      </c>
      <c r="BL6" s="93"/>
      <c r="BM6" s="93"/>
      <c r="BN6" s="93"/>
      <c r="BO6" s="138" t="s">
        <v>109</v>
      </c>
      <c r="BP6" s="139">
        <v>13.0</v>
      </c>
      <c r="BQ6" s="140">
        <v>25.0</v>
      </c>
      <c r="BR6" s="139">
        <v>50.0</v>
      </c>
      <c r="BS6" s="140">
        <v>60.0</v>
      </c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</row>
    <row r="7" ht="12.75" hidden="1" customHeight="1">
      <c r="A7" s="116">
        <f t="shared" si="2"/>
        <v>3</v>
      </c>
      <c r="B7" s="1">
        <v>175.0</v>
      </c>
      <c r="C7" s="1">
        <f t="shared" ref="C7:C24" si="6">C6+15</f>
        <v>55</v>
      </c>
      <c r="D7" s="1">
        <f t="shared" si="3"/>
        <v>60</v>
      </c>
      <c r="E7" s="141">
        <v>290.0</v>
      </c>
      <c r="F7" s="141">
        <v>115.0</v>
      </c>
      <c r="G7" s="8"/>
      <c r="H7" s="116">
        <f t="shared" si="4"/>
        <v>3</v>
      </c>
      <c r="I7" s="39"/>
      <c r="J7" s="1">
        <v>500.0</v>
      </c>
      <c r="K7" s="1">
        <v>60.0</v>
      </c>
      <c r="L7" s="141">
        <f t="shared" si="5"/>
        <v>560</v>
      </c>
      <c r="M7" s="141">
        <v>400.0</v>
      </c>
      <c r="N7" s="1" t="str">
        <f t="shared" si="1"/>
        <v>#REF!</v>
      </c>
      <c r="O7" s="142"/>
      <c r="P7" s="143" t="s">
        <v>110</v>
      </c>
      <c r="Q7" s="143" t="s">
        <v>74</v>
      </c>
      <c r="R7" s="143" t="s">
        <v>111</v>
      </c>
      <c r="S7" s="143" t="s">
        <v>112</v>
      </c>
      <c r="T7" s="143" t="s">
        <v>84</v>
      </c>
      <c r="U7" s="143" t="s">
        <v>74</v>
      </c>
      <c r="V7" s="143" t="s">
        <v>111</v>
      </c>
      <c r="W7" s="143" t="s">
        <v>112</v>
      </c>
      <c r="X7" s="143" t="s">
        <v>84</v>
      </c>
      <c r="Y7" s="143" t="s">
        <v>113</v>
      </c>
      <c r="Z7" s="143" t="s">
        <v>114</v>
      </c>
      <c r="AA7" s="143" t="s">
        <v>115</v>
      </c>
      <c r="AB7" s="143"/>
      <c r="AC7" s="143"/>
      <c r="AD7" s="143" t="s">
        <v>114</v>
      </c>
      <c r="AE7" s="143" t="s">
        <v>115</v>
      </c>
      <c r="AF7" s="143" t="s">
        <v>114</v>
      </c>
      <c r="AG7" s="143" t="s">
        <v>115</v>
      </c>
      <c r="AH7" s="143" t="s">
        <v>114</v>
      </c>
      <c r="AI7" s="143" t="s">
        <v>115</v>
      </c>
      <c r="AJ7" s="88"/>
      <c r="AK7" s="575"/>
      <c r="AL7" s="575"/>
      <c r="AM7" s="575"/>
      <c r="AN7" s="575"/>
      <c r="AO7" s="144" t="s">
        <v>110</v>
      </c>
      <c r="AP7" s="145" t="s">
        <v>74</v>
      </c>
      <c r="AQ7" s="88" t="s">
        <v>111</v>
      </c>
      <c r="AR7" s="88" t="s">
        <v>112</v>
      </c>
      <c r="AS7" s="88" t="s">
        <v>84</v>
      </c>
      <c r="AT7" s="146" t="s">
        <v>116</v>
      </c>
      <c r="AU7" s="146" t="s">
        <v>117</v>
      </c>
      <c r="AV7" s="146" t="s">
        <v>116</v>
      </c>
      <c r="AW7" s="146" t="s">
        <v>117</v>
      </c>
      <c r="AX7" s="146" t="s">
        <v>116</v>
      </c>
      <c r="AY7" s="146" t="s">
        <v>117</v>
      </c>
      <c r="AZ7" s="146" t="s">
        <v>116</v>
      </c>
      <c r="BA7" s="146" t="s">
        <v>117</v>
      </c>
      <c r="BB7" s="90"/>
      <c r="BC7" s="147" t="s">
        <v>118</v>
      </c>
      <c r="BD7" s="114">
        <v>98.0</v>
      </c>
      <c r="BE7" s="113">
        <v>58.0</v>
      </c>
      <c r="BF7" s="148"/>
      <c r="BG7" s="114">
        <v>155.0</v>
      </c>
      <c r="BH7" s="149">
        <v>65.0</v>
      </c>
      <c r="BI7" s="148"/>
      <c r="BJ7" s="114">
        <v>220.0</v>
      </c>
      <c r="BK7" s="150">
        <v>120.0</v>
      </c>
      <c r="BL7" s="151"/>
      <c r="BM7" s="151"/>
      <c r="BN7" s="151"/>
      <c r="BO7" s="138" t="s">
        <v>119</v>
      </c>
      <c r="BP7" s="139">
        <v>25.0</v>
      </c>
      <c r="BQ7" s="140">
        <v>50.0</v>
      </c>
      <c r="BR7" s="139">
        <v>100.0</v>
      </c>
      <c r="BS7" s="140">
        <v>100.0</v>
      </c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</row>
    <row r="8" ht="12.75" hidden="1" customHeight="1">
      <c r="A8" s="123">
        <f t="shared" si="2"/>
        <v>4</v>
      </c>
      <c r="B8" s="124">
        <v>175.0</v>
      </c>
      <c r="C8" s="124">
        <f t="shared" si="6"/>
        <v>70</v>
      </c>
      <c r="D8" s="124">
        <f t="shared" si="3"/>
        <v>80</v>
      </c>
      <c r="E8" s="125">
        <v>325.0</v>
      </c>
      <c r="F8" s="125">
        <v>150.0</v>
      </c>
      <c r="G8" s="8"/>
      <c r="H8" s="123">
        <f t="shared" si="4"/>
        <v>4</v>
      </c>
      <c r="I8" s="126"/>
      <c r="J8" s="124">
        <v>500.0</v>
      </c>
      <c r="K8" s="124">
        <v>80.0</v>
      </c>
      <c r="L8" s="125">
        <f t="shared" si="5"/>
        <v>580</v>
      </c>
      <c r="M8" s="125">
        <v>400.0</v>
      </c>
      <c r="N8" s="1" t="str">
        <f t="shared" si="1"/>
        <v>#REF!</v>
      </c>
      <c r="O8" s="142"/>
      <c r="P8" s="143">
        <v>4.0</v>
      </c>
      <c r="Q8" s="152">
        <v>1.0</v>
      </c>
      <c r="R8" s="152">
        <v>1.0</v>
      </c>
      <c r="S8" s="152">
        <v>1.0</v>
      </c>
      <c r="T8" s="152">
        <v>1.0</v>
      </c>
      <c r="U8" s="152">
        <v>1.0</v>
      </c>
      <c r="V8" s="152">
        <v>1.0</v>
      </c>
      <c r="W8" s="152">
        <v>1.0</v>
      </c>
      <c r="X8" s="152">
        <v>1.0</v>
      </c>
      <c r="Y8" s="152">
        <v>1.0</v>
      </c>
      <c r="Z8" s="152">
        <v>205.0</v>
      </c>
      <c r="AA8" s="152">
        <v>70.0</v>
      </c>
      <c r="AB8" s="152"/>
      <c r="AC8" s="152"/>
      <c r="AD8" s="152">
        <v>205.0</v>
      </c>
      <c r="AE8" s="152">
        <v>70.0</v>
      </c>
      <c r="AF8" s="152">
        <v>225.0</v>
      </c>
      <c r="AG8" s="152">
        <v>90.0</v>
      </c>
      <c r="AH8" s="152">
        <v>275.0</v>
      </c>
      <c r="AI8" s="152">
        <v>130.0</v>
      </c>
      <c r="AJ8" s="134"/>
      <c r="AK8" s="572"/>
      <c r="AL8" s="572"/>
      <c r="AM8" s="572"/>
      <c r="AN8" s="572"/>
      <c r="AO8" s="153">
        <v>4.0</v>
      </c>
      <c r="AP8" s="88">
        <v>1.0</v>
      </c>
      <c r="AQ8" s="88">
        <v>1.0</v>
      </c>
      <c r="AR8" s="88">
        <v>1.0</v>
      </c>
      <c r="AS8" s="88">
        <v>1.0</v>
      </c>
      <c r="AT8" s="88">
        <v>500.0</v>
      </c>
      <c r="AU8" s="88">
        <v>100.0</v>
      </c>
      <c r="AV8" s="134">
        <v>500.0</v>
      </c>
      <c r="AW8" s="134">
        <v>100.0</v>
      </c>
      <c r="AX8" s="134">
        <v>520.0</v>
      </c>
      <c r="AY8" s="134">
        <v>120.0</v>
      </c>
      <c r="AZ8" s="154">
        <v>600.0</v>
      </c>
      <c r="BA8" s="155">
        <v>175.0</v>
      </c>
      <c r="BB8" s="90"/>
      <c r="BC8" s="156" t="s">
        <v>120</v>
      </c>
      <c r="BD8" s="122">
        <v>143.0</v>
      </c>
      <c r="BE8" s="121">
        <v>63.0</v>
      </c>
      <c r="BF8" s="148"/>
      <c r="BG8" s="122">
        <v>205.0</v>
      </c>
      <c r="BH8" s="157">
        <v>70.0</v>
      </c>
      <c r="BI8" s="148"/>
      <c r="BJ8" s="122">
        <v>275.0</v>
      </c>
      <c r="BK8" s="158">
        <v>130.0</v>
      </c>
      <c r="BL8" s="159"/>
      <c r="BM8" s="159"/>
      <c r="BN8" s="159"/>
      <c r="BO8" s="120" t="s">
        <v>121</v>
      </c>
      <c r="BP8" s="121">
        <v>35.0</v>
      </c>
      <c r="BQ8" s="122">
        <v>70.0</v>
      </c>
      <c r="BR8" s="121">
        <v>140.0</v>
      </c>
      <c r="BS8" s="122">
        <v>125.0</v>
      </c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</row>
    <row r="9" hidden="1">
      <c r="A9" s="116">
        <f t="shared" si="2"/>
        <v>5</v>
      </c>
      <c r="B9" s="1">
        <v>175.0</v>
      </c>
      <c r="C9" s="1">
        <f t="shared" si="6"/>
        <v>85</v>
      </c>
      <c r="D9" s="1">
        <f t="shared" si="3"/>
        <v>100</v>
      </c>
      <c r="E9" s="141">
        <v>360.0</v>
      </c>
      <c r="F9" s="141">
        <v>185.0</v>
      </c>
      <c r="G9" s="8"/>
      <c r="H9" s="116">
        <f t="shared" si="4"/>
        <v>5</v>
      </c>
      <c r="I9" s="39"/>
      <c r="J9" s="1">
        <v>500.0</v>
      </c>
      <c r="K9" s="1">
        <v>100.0</v>
      </c>
      <c r="L9" s="141">
        <f t="shared" si="5"/>
        <v>600</v>
      </c>
      <c r="M9" s="141">
        <v>440.0</v>
      </c>
      <c r="N9" s="1" t="str">
        <f t="shared" si="1"/>
        <v>#REF!</v>
      </c>
      <c r="O9" s="142"/>
      <c r="P9" s="143">
        <v>8.0</v>
      </c>
      <c r="Q9" s="152">
        <v>1.0</v>
      </c>
      <c r="R9" s="152">
        <v>1.0</v>
      </c>
      <c r="S9" s="152">
        <v>1.0</v>
      </c>
      <c r="T9" s="152">
        <v>1.0</v>
      </c>
      <c r="U9" s="152">
        <v>1.0</v>
      </c>
      <c r="V9" s="152">
        <v>1.0</v>
      </c>
      <c r="W9" s="152">
        <v>1.0</v>
      </c>
      <c r="X9" s="152">
        <v>2.0</v>
      </c>
      <c r="Y9" s="152">
        <v>1.0</v>
      </c>
      <c r="Z9" s="152">
        <v>275.0</v>
      </c>
      <c r="AA9" s="152">
        <v>130.0</v>
      </c>
      <c r="AB9" s="152">
        <f t="shared" ref="AB9:AC9" si="7">Z9-Z8</f>
        <v>70</v>
      </c>
      <c r="AC9" s="152">
        <f t="shared" si="7"/>
        <v>60</v>
      </c>
      <c r="AD9" s="152">
        <v>205.0</v>
      </c>
      <c r="AE9" s="152">
        <v>70.0</v>
      </c>
      <c r="AF9" s="152">
        <v>225.0</v>
      </c>
      <c r="AG9" s="152">
        <v>90.0</v>
      </c>
      <c r="AH9" s="152">
        <v>425.0</v>
      </c>
      <c r="AI9" s="152">
        <v>190.0</v>
      </c>
      <c r="AJ9" s="134"/>
      <c r="AK9" s="572"/>
      <c r="AL9" s="572"/>
      <c r="AM9" s="572"/>
      <c r="AN9" s="572"/>
      <c r="AO9" s="153">
        <v>8.0</v>
      </c>
      <c r="AP9" s="134">
        <v>1.0</v>
      </c>
      <c r="AQ9" s="134">
        <v>1.0</v>
      </c>
      <c r="AR9" s="134">
        <v>1.0</v>
      </c>
      <c r="AS9" s="134">
        <v>2.0</v>
      </c>
      <c r="AT9" s="154">
        <v>600.0</v>
      </c>
      <c r="AU9" s="155">
        <v>175.0</v>
      </c>
      <c r="AV9" s="134">
        <v>500.0</v>
      </c>
      <c r="AW9" s="134">
        <v>100.0</v>
      </c>
      <c r="AX9" s="134">
        <v>520.0</v>
      </c>
      <c r="AY9" s="134">
        <v>120.0</v>
      </c>
      <c r="AZ9" s="160">
        <v>1020.0</v>
      </c>
      <c r="BA9" s="161">
        <v>355.0</v>
      </c>
      <c r="BB9" s="90"/>
      <c r="BC9" s="162" t="s">
        <v>122</v>
      </c>
      <c r="BD9" s="140">
        <v>188.0</v>
      </c>
      <c r="BE9" s="139">
        <v>68.0</v>
      </c>
      <c r="BF9" s="148"/>
      <c r="BG9" s="140">
        <v>255.0</v>
      </c>
      <c r="BH9" s="163">
        <v>75.0</v>
      </c>
      <c r="BI9" s="148"/>
      <c r="BJ9" s="140">
        <v>330.0</v>
      </c>
      <c r="BK9" s="164">
        <v>140.0</v>
      </c>
      <c r="BL9" s="151"/>
      <c r="BM9" s="151"/>
      <c r="BN9" s="151"/>
      <c r="BO9" s="165" t="s">
        <v>123</v>
      </c>
      <c r="BP9" s="166">
        <v>45.0</v>
      </c>
      <c r="BQ9" s="167">
        <v>100.0</v>
      </c>
      <c r="BR9" s="166">
        <v>200.0</v>
      </c>
      <c r="BS9" s="167">
        <v>180.0</v>
      </c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</row>
    <row r="10" ht="12.75" hidden="1" customHeight="1">
      <c r="A10" s="168">
        <f t="shared" si="2"/>
        <v>6</v>
      </c>
      <c r="B10" s="2">
        <v>175.0</v>
      </c>
      <c r="C10" s="2">
        <f t="shared" si="6"/>
        <v>100</v>
      </c>
      <c r="D10" s="2">
        <f t="shared" si="3"/>
        <v>120</v>
      </c>
      <c r="E10" s="169">
        <v>395.0</v>
      </c>
      <c r="F10" s="169">
        <v>220.0</v>
      </c>
      <c r="G10" s="8"/>
      <c r="H10" s="168">
        <f t="shared" si="4"/>
        <v>6</v>
      </c>
      <c r="I10" s="170"/>
      <c r="J10" s="2">
        <v>500.0</v>
      </c>
      <c r="K10" s="2">
        <f t="shared" ref="K10:L10" si="8">K9+20</f>
        <v>120</v>
      </c>
      <c r="L10" s="169">
        <f t="shared" si="8"/>
        <v>620</v>
      </c>
      <c r="M10" s="169">
        <v>495.0</v>
      </c>
      <c r="N10" s="2" t="str">
        <f t="shared" si="1"/>
        <v>#REF!</v>
      </c>
      <c r="O10" s="142"/>
      <c r="P10" s="143">
        <v>12.0</v>
      </c>
      <c r="Q10" s="152">
        <v>2.0</v>
      </c>
      <c r="R10" s="152">
        <v>1.0</v>
      </c>
      <c r="S10" s="152">
        <v>1.0</v>
      </c>
      <c r="T10" s="152">
        <v>2.0</v>
      </c>
      <c r="U10" s="152">
        <v>2.0</v>
      </c>
      <c r="V10" s="152">
        <v>1.0</v>
      </c>
      <c r="W10" s="152">
        <v>1.0</v>
      </c>
      <c r="X10" s="152">
        <v>3.0</v>
      </c>
      <c r="Y10" s="152">
        <v>1.0</v>
      </c>
      <c r="Z10" s="152">
        <v>350.0</v>
      </c>
      <c r="AA10" s="152">
        <v>160.0</v>
      </c>
      <c r="AB10" s="152">
        <f t="shared" ref="AB10:AC10" si="9">Z10-Z9</f>
        <v>75</v>
      </c>
      <c r="AC10" s="152">
        <f t="shared" si="9"/>
        <v>30</v>
      </c>
      <c r="AD10" s="152">
        <v>275.0</v>
      </c>
      <c r="AE10" s="152">
        <v>130.0</v>
      </c>
      <c r="AF10" s="152">
        <v>295.0</v>
      </c>
      <c r="AG10" s="152">
        <v>150.0</v>
      </c>
      <c r="AH10" s="152">
        <v>615.0</v>
      </c>
      <c r="AI10" s="152">
        <v>285.0</v>
      </c>
      <c r="AJ10" s="134"/>
      <c r="AK10" s="572"/>
      <c r="AL10" s="572"/>
      <c r="AM10" s="572"/>
      <c r="AN10" s="572"/>
      <c r="AO10" s="153">
        <f t="shared" ref="AO10:AO132" si="12">AO9+4</f>
        <v>12</v>
      </c>
      <c r="AP10" s="134">
        <v>2.0</v>
      </c>
      <c r="AQ10" s="134">
        <v>1.0</v>
      </c>
      <c r="AR10" s="134">
        <v>1.0</v>
      </c>
      <c r="AS10" s="134">
        <f t="shared" ref="AS10:AS132" si="13">AS9+1</f>
        <v>3</v>
      </c>
      <c r="AT10" s="160">
        <v>880.0</v>
      </c>
      <c r="AU10" s="161">
        <v>265.0</v>
      </c>
      <c r="AV10" s="134">
        <v>600.0</v>
      </c>
      <c r="AW10" s="134">
        <v>175.0</v>
      </c>
      <c r="AX10" s="134">
        <v>640.0</v>
      </c>
      <c r="AY10" s="134">
        <v>215.0</v>
      </c>
      <c r="AZ10" s="160">
        <v>1440.0</v>
      </c>
      <c r="BA10" s="161">
        <v>525.0</v>
      </c>
      <c r="BB10" s="90"/>
      <c r="BC10" s="171" t="s">
        <v>124</v>
      </c>
      <c r="BD10" s="167">
        <v>234.0</v>
      </c>
      <c r="BE10" s="166">
        <v>73.0</v>
      </c>
      <c r="BF10" s="172"/>
      <c r="BG10" s="167">
        <v>305.0</v>
      </c>
      <c r="BH10" s="173">
        <v>80.0</v>
      </c>
      <c r="BI10" s="172"/>
      <c r="BJ10" s="167">
        <v>385.0</v>
      </c>
      <c r="BK10" s="174">
        <v>150.0</v>
      </c>
      <c r="BL10" s="175"/>
      <c r="BM10" s="175"/>
      <c r="BN10" s="175"/>
      <c r="BO10" s="120" t="s">
        <v>125</v>
      </c>
      <c r="BP10" s="121">
        <v>90.0</v>
      </c>
      <c r="BQ10" s="122">
        <v>180.0</v>
      </c>
      <c r="BR10" s="121">
        <v>360.0</v>
      </c>
      <c r="BS10" s="122">
        <v>360.0</v>
      </c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</row>
    <row r="11" ht="12.75" hidden="1" customHeight="1">
      <c r="A11" s="116">
        <f t="shared" si="2"/>
        <v>7</v>
      </c>
      <c r="B11" s="1">
        <v>175.0</v>
      </c>
      <c r="C11" s="1">
        <f t="shared" si="6"/>
        <v>115</v>
      </c>
      <c r="D11" s="1">
        <f t="shared" si="3"/>
        <v>140</v>
      </c>
      <c r="E11" s="141">
        <v>430.0</v>
      </c>
      <c r="F11" s="141">
        <v>255.0</v>
      </c>
      <c r="G11" s="8"/>
      <c r="H11" s="116">
        <f t="shared" si="4"/>
        <v>7</v>
      </c>
      <c r="I11" s="39"/>
      <c r="J11" s="1">
        <v>500.0</v>
      </c>
      <c r="K11" s="1">
        <f t="shared" ref="K11:L11" si="10">K10+20</f>
        <v>140</v>
      </c>
      <c r="L11" s="141">
        <f t="shared" si="10"/>
        <v>640</v>
      </c>
      <c r="M11" s="141">
        <v>550.0</v>
      </c>
      <c r="N11" s="1" t="str">
        <f t="shared" si="1"/>
        <v>#REF!</v>
      </c>
      <c r="O11" s="142"/>
      <c r="P11" s="143">
        <v>16.0</v>
      </c>
      <c r="Q11" s="152">
        <v>1.0</v>
      </c>
      <c r="R11" s="152">
        <v>1.0</v>
      </c>
      <c r="S11" s="152">
        <v>1.0</v>
      </c>
      <c r="T11" s="152">
        <v>2.0</v>
      </c>
      <c r="U11" s="152">
        <v>2.0</v>
      </c>
      <c r="V11" s="152">
        <v>1.0</v>
      </c>
      <c r="W11" s="152">
        <v>1.0</v>
      </c>
      <c r="X11" s="152">
        <v>4.0</v>
      </c>
      <c r="Y11" s="152">
        <v>1.0</v>
      </c>
      <c r="Z11" s="152">
        <v>425.0</v>
      </c>
      <c r="AA11" s="152">
        <v>190.0</v>
      </c>
      <c r="AB11" s="152">
        <f t="shared" ref="AB11:AC11" si="11">Z11-Z10</f>
        <v>75</v>
      </c>
      <c r="AC11" s="152">
        <f t="shared" si="11"/>
        <v>30</v>
      </c>
      <c r="AD11" s="152">
        <v>275.0</v>
      </c>
      <c r="AE11" s="152">
        <v>130.0</v>
      </c>
      <c r="AF11" s="152">
        <v>295.0</v>
      </c>
      <c r="AG11" s="152">
        <v>150.0</v>
      </c>
      <c r="AH11" s="152">
        <v>765.0</v>
      </c>
      <c r="AI11" s="152">
        <v>380.0</v>
      </c>
      <c r="AJ11" s="134"/>
      <c r="AK11" s="572"/>
      <c r="AL11" s="572"/>
      <c r="AM11" s="572"/>
      <c r="AN11" s="572"/>
      <c r="AO11" s="153">
        <f t="shared" si="12"/>
        <v>16</v>
      </c>
      <c r="AP11" s="134">
        <v>2.0</v>
      </c>
      <c r="AQ11" s="134">
        <v>1.0</v>
      </c>
      <c r="AR11" s="134">
        <v>1.0</v>
      </c>
      <c r="AS11" s="134">
        <f t="shared" si="13"/>
        <v>4</v>
      </c>
      <c r="AT11" s="160">
        <v>1020.0</v>
      </c>
      <c r="AU11" s="161">
        <v>350.0</v>
      </c>
      <c r="AV11" s="134">
        <v>600.0</v>
      </c>
      <c r="AW11" s="134">
        <v>175.0</v>
      </c>
      <c r="AX11" s="134">
        <v>640.0</v>
      </c>
      <c r="AY11" s="134">
        <v>215.0</v>
      </c>
      <c r="AZ11" s="160">
        <v>1860.0</v>
      </c>
      <c r="BA11" s="161">
        <v>700.0</v>
      </c>
      <c r="BB11" s="90"/>
      <c r="BC11" s="162" t="s">
        <v>126</v>
      </c>
      <c r="BD11" s="140">
        <v>143.0</v>
      </c>
      <c r="BE11" s="139">
        <v>63.0</v>
      </c>
      <c r="BF11" s="148"/>
      <c r="BG11" s="140">
        <v>205.0</v>
      </c>
      <c r="BH11" s="163">
        <v>70.0</v>
      </c>
      <c r="BI11" s="148"/>
      <c r="BJ11" s="140">
        <v>275.0</v>
      </c>
      <c r="BK11" s="164">
        <v>130.0</v>
      </c>
      <c r="BL11" s="151"/>
      <c r="BM11" s="151"/>
      <c r="BN11" s="151"/>
      <c r="BO11" s="176" t="s">
        <v>127</v>
      </c>
      <c r="BP11" s="113"/>
      <c r="BQ11" s="113">
        <v>135.0</v>
      </c>
      <c r="BR11" s="139">
        <v>270.0</v>
      </c>
      <c r="BS11" s="114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</row>
    <row r="12" ht="12.75" hidden="1" customHeight="1">
      <c r="A12" s="123">
        <f t="shared" si="2"/>
        <v>8</v>
      </c>
      <c r="B12" s="124">
        <v>175.0</v>
      </c>
      <c r="C12" s="124">
        <f t="shared" si="6"/>
        <v>130</v>
      </c>
      <c r="D12" s="124">
        <f t="shared" si="3"/>
        <v>160</v>
      </c>
      <c r="E12" s="125">
        <v>465.0</v>
      </c>
      <c r="F12" s="125">
        <v>290.0</v>
      </c>
      <c r="G12" s="8"/>
      <c r="H12" s="123">
        <f t="shared" si="4"/>
        <v>8</v>
      </c>
      <c r="I12" s="126"/>
      <c r="J12" s="124">
        <v>500.0</v>
      </c>
      <c r="K12" s="124">
        <f t="shared" ref="K12:L12" si="14">K11+20</f>
        <v>160</v>
      </c>
      <c r="L12" s="125">
        <f t="shared" si="14"/>
        <v>660</v>
      </c>
      <c r="M12" s="125">
        <v>550.0</v>
      </c>
      <c r="N12" s="1" t="str">
        <f t="shared" si="1"/>
        <v>#REF!</v>
      </c>
      <c r="O12" s="142"/>
      <c r="P12" s="143">
        <v>20.0</v>
      </c>
      <c r="Q12" s="152">
        <v>2.0</v>
      </c>
      <c r="R12" s="152">
        <v>2.0</v>
      </c>
      <c r="S12" s="152">
        <v>2.0</v>
      </c>
      <c r="T12" s="152">
        <v>3.0</v>
      </c>
      <c r="U12" s="152">
        <v>3.0</v>
      </c>
      <c r="V12" s="152">
        <v>2.0</v>
      </c>
      <c r="W12" s="152">
        <v>2.0</v>
      </c>
      <c r="X12" s="152">
        <v>5.0</v>
      </c>
      <c r="Y12" s="152">
        <v>1.25</v>
      </c>
      <c r="Z12" s="152">
        <v>525.0</v>
      </c>
      <c r="AA12" s="152">
        <v>240.0</v>
      </c>
      <c r="AB12" s="152">
        <f t="shared" ref="AB12:AC12" si="15">Z12-Z11</f>
        <v>100</v>
      </c>
      <c r="AC12" s="152">
        <f t="shared" si="15"/>
        <v>50</v>
      </c>
      <c r="AD12" s="152">
        <v>350.0</v>
      </c>
      <c r="AE12" s="152">
        <v>160.0</v>
      </c>
      <c r="AF12" s="152">
        <v>390.0</v>
      </c>
      <c r="AG12" s="152">
        <v>200.0</v>
      </c>
      <c r="AH12" s="152">
        <v>955.0</v>
      </c>
      <c r="AI12" s="152">
        <v>475.0</v>
      </c>
      <c r="AJ12" s="134">
        <f t="shared" ref="AJ12:AJ57" si="18">Z12-Z8</f>
        <v>320</v>
      </c>
      <c r="AK12" s="572"/>
      <c r="AL12" s="572"/>
      <c r="AM12" s="572">
        <f>525+(((P12-20)/16)*340)</f>
        <v>525</v>
      </c>
      <c r="AN12" s="572" t="str">
        <f t="shared" ref="AN12:AN14" si="19">"="&amp;P12</f>
        <v>=20</v>
      </c>
      <c r="AO12" s="153">
        <f t="shared" si="12"/>
        <v>20</v>
      </c>
      <c r="AP12" s="134">
        <v>3.0</v>
      </c>
      <c r="AQ12" s="134">
        <v>2.0</v>
      </c>
      <c r="AR12" s="134">
        <v>2.0</v>
      </c>
      <c r="AS12" s="134">
        <f t="shared" si="13"/>
        <v>5</v>
      </c>
      <c r="AT12" s="160">
        <v>1300.0</v>
      </c>
      <c r="AU12" s="161">
        <v>440.0</v>
      </c>
      <c r="AV12" s="134">
        <v>880.0</v>
      </c>
      <c r="AW12" s="134">
        <v>265.0</v>
      </c>
      <c r="AX12" s="134">
        <v>940.0</v>
      </c>
      <c r="AY12" s="134">
        <v>325.0</v>
      </c>
      <c r="AZ12" s="160">
        <v>2280.0</v>
      </c>
      <c r="BA12" s="161">
        <v>875.0</v>
      </c>
      <c r="BB12" s="90"/>
      <c r="BC12" s="156" t="s">
        <v>128</v>
      </c>
      <c r="BD12" s="122">
        <v>188.0</v>
      </c>
      <c r="BE12" s="121">
        <v>68.0</v>
      </c>
      <c r="BF12" s="148"/>
      <c r="BG12" s="122">
        <v>255.0</v>
      </c>
      <c r="BH12" s="157">
        <v>75.0</v>
      </c>
      <c r="BI12" s="148"/>
      <c r="BJ12" s="122">
        <v>330.0</v>
      </c>
      <c r="BK12" s="158">
        <v>140.0</v>
      </c>
      <c r="BL12" s="159"/>
      <c r="BM12" s="159"/>
      <c r="BN12" s="159"/>
      <c r="BO12" s="15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</row>
    <row r="13" ht="12.75" customHeight="1">
      <c r="A13" s="116">
        <f t="shared" si="2"/>
        <v>9</v>
      </c>
      <c r="B13" s="1">
        <v>175.0</v>
      </c>
      <c r="C13" s="1">
        <f t="shared" si="6"/>
        <v>145</v>
      </c>
      <c r="D13" s="1">
        <f t="shared" si="3"/>
        <v>180</v>
      </c>
      <c r="E13" s="141">
        <v>500.0</v>
      </c>
      <c r="F13" s="141">
        <v>325.0</v>
      </c>
      <c r="G13" s="8"/>
      <c r="H13" s="116">
        <f t="shared" si="4"/>
        <v>9</v>
      </c>
      <c r="I13" s="39"/>
      <c r="J13" s="1">
        <v>500.0</v>
      </c>
      <c r="K13" s="1">
        <f t="shared" ref="K13:L13" si="16">K12+20</f>
        <v>180</v>
      </c>
      <c r="L13" s="141">
        <f t="shared" si="16"/>
        <v>680</v>
      </c>
      <c r="M13" s="141">
        <v>605.0</v>
      </c>
      <c r="N13" s="1" t="str">
        <f t="shared" si="1"/>
        <v>#REF!</v>
      </c>
      <c r="O13" s="142"/>
      <c r="P13" s="143">
        <v>24.0</v>
      </c>
      <c r="Q13" s="152">
        <v>2.0</v>
      </c>
      <c r="R13" s="152">
        <v>2.0</v>
      </c>
      <c r="S13" s="152">
        <v>2.0</v>
      </c>
      <c r="T13" s="152">
        <v>3.0</v>
      </c>
      <c r="U13" s="152">
        <v>3.0</v>
      </c>
      <c r="V13" s="152">
        <v>2.0</v>
      </c>
      <c r="W13" s="152">
        <v>2.0</v>
      </c>
      <c r="X13" s="152">
        <v>6.0</v>
      </c>
      <c r="Y13" s="152">
        <v>1.5</v>
      </c>
      <c r="Z13" s="152">
        <v>615.0</v>
      </c>
      <c r="AA13" s="152">
        <v>285.0</v>
      </c>
      <c r="AB13" s="152">
        <f t="shared" ref="AB13:AC13" si="17">Z13-Z12</f>
        <v>90</v>
      </c>
      <c r="AC13" s="152">
        <f t="shared" si="17"/>
        <v>45</v>
      </c>
      <c r="AD13" s="152">
        <v>350.0</v>
      </c>
      <c r="AE13" s="152">
        <v>160.0</v>
      </c>
      <c r="AF13" s="152">
        <v>390.0</v>
      </c>
      <c r="AG13" s="152">
        <v>200.0</v>
      </c>
      <c r="AH13" s="152">
        <v>1105.0</v>
      </c>
      <c r="AI13" s="152">
        <v>570.0</v>
      </c>
      <c r="AJ13" s="134">
        <f t="shared" si="18"/>
        <v>340</v>
      </c>
      <c r="AK13" s="572">
        <f>Z13-Z12</f>
        <v>90</v>
      </c>
      <c r="AL13" s="576">
        <v>525.0</v>
      </c>
      <c r="AM13" s="572">
        <f>615+(((P13-24)/16)*340)</f>
        <v>615</v>
      </c>
      <c r="AN13" s="572" t="str">
        <f t="shared" si="19"/>
        <v>=24</v>
      </c>
      <c r="AO13" s="153">
        <f t="shared" si="12"/>
        <v>24</v>
      </c>
      <c r="AP13" s="134">
        <v>3.0</v>
      </c>
      <c r="AQ13" s="134">
        <v>2.0</v>
      </c>
      <c r="AR13" s="134">
        <v>2.0</v>
      </c>
      <c r="AS13" s="134">
        <f t="shared" si="13"/>
        <v>6</v>
      </c>
      <c r="AT13" s="160">
        <v>1440.0</v>
      </c>
      <c r="AU13" s="161">
        <v>525.0</v>
      </c>
      <c r="AV13" s="160">
        <v>880.0</v>
      </c>
      <c r="AW13" s="161">
        <v>265.0</v>
      </c>
      <c r="AX13" s="134">
        <v>940.0</v>
      </c>
      <c r="AY13" s="134">
        <v>325.0</v>
      </c>
      <c r="AZ13" s="160">
        <v>2700.0</v>
      </c>
      <c r="BA13" s="161">
        <v>1050.0</v>
      </c>
      <c r="BB13" s="90"/>
      <c r="BC13" s="162" t="s">
        <v>129</v>
      </c>
      <c r="BD13" s="140">
        <v>233.0</v>
      </c>
      <c r="BE13" s="139">
        <v>73.0</v>
      </c>
      <c r="BF13" s="148"/>
      <c r="BG13" s="140">
        <v>305.0</v>
      </c>
      <c r="BH13" s="163">
        <v>80.0</v>
      </c>
      <c r="BI13" s="148"/>
      <c r="BJ13" s="140">
        <v>385.0</v>
      </c>
      <c r="BK13" s="164">
        <v>150.0</v>
      </c>
      <c r="BL13" s="151"/>
      <c r="BM13" s="151"/>
      <c r="BN13" s="151"/>
      <c r="BO13" s="151"/>
      <c r="BP13" s="177"/>
      <c r="BQ13" s="2"/>
      <c r="BR13" s="2"/>
      <c r="BS13" s="2"/>
      <c r="BT13" s="2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</row>
    <row r="14" ht="12.75" hidden="1" customHeight="1">
      <c r="A14" s="168">
        <f t="shared" si="2"/>
        <v>10</v>
      </c>
      <c r="B14" s="2">
        <v>175.0</v>
      </c>
      <c r="C14" s="2">
        <f t="shared" si="6"/>
        <v>160</v>
      </c>
      <c r="D14" s="2">
        <f t="shared" si="3"/>
        <v>200</v>
      </c>
      <c r="E14" s="169">
        <v>535.0</v>
      </c>
      <c r="F14" s="169">
        <v>360.0</v>
      </c>
      <c r="G14" s="8"/>
      <c r="H14" s="168">
        <f t="shared" si="4"/>
        <v>10</v>
      </c>
      <c r="I14" s="170"/>
      <c r="J14" s="2">
        <v>500.0</v>
      </c>
      <c r="K14" s="2">
        <f t="shared" ref="K14:L14" si="20">K13+20</f>
        <v>200</v>
      </c>
      <c r="L14" s="169">
        <f t="shared" si="20"/>
        <v>700</v>
      </c>
      <c r="M14" s="169">
        <v>605.0</v>
      </c>
      <c r="N14" s="2" t="str">
        <f t="shared" si="1"/>
        <v>#REF!</v>
      </c>
      <c r="O14" s="142"/>
      <c r="P14" s="143">
        <v>28.0</v>
      </c>
      <c r="Q14" s="152">
        <v>3.0</v>
      </c>
      <c r="R14" s="152">
        <v>1.0</v>
      </c>
      <c r="S14" s="152">
        <v>1.0</v>
      </c>
      <c r="T14" s="152">
        <v>4.0</v>
      </c>
      <c r="U14" s="152">
        <v>4.0</v>
      </c>
      <c r="V14" s="152">
        <v>2.0</v>
      </c>
      <c r="W14" s="152">
        <v>2.0</v>
      </c>
      <c r="X14" s="152">
        <v>7.0</v>
      </c>
      <c r="Y14" s="152">
        <v>2.0</v>
      </c>
      <c r="Z14" s="152">
        <v>695.0</v>
      </c>
      <c r="AA14" s="152">
        <v>335.0</v>
      </c>
      <c r="AB14" s="152">
        <f t="shared" ref="AB14:AC14" si="21">Z14-Z13</f>
        <v>80</v>
      </c>
      <c r="AC14" s="152">
        <f t="shared" si="21"/>
        <v>50</v>
      </c>
      <c r="AD14" s="152">
        <v>425.0</v>
      </c>
      <c r="AE14" s="152">
        <v>190.0</v>
      </c>
      <c r="AF14" s="152">
        <v>465.0</v>
      </c>
      <c r="AG14" s="152">
        <v>230.0</v>
      </c>
      <c r="AH14" s="152">
        <v>1295.0</v>
      </c>
      <c r="AI14" s="152">
        <v>665.0</v>
      </c>
      <c r="AJ14" s="134">
        <f t="shared" si="18"/>
        <v>345</v>
      </c>
      <c r="AK14" s="576">
        <v>170.0</v>
      </c>
      <c r="AL14" s="576">
        <v>525.0</v>
      </c>
      <c r="AM14" s="572">
        <f>695+(((P14-28)/16)*340)</f>
        <v>695</v>
      </c>
      <c r="AN14" s="572" t="str">
        <f t="shared" si="19"/>
        <v>=28</v>
      </c>
      <c r="AO14" s="153">
        <f t="shared" si="12"/>
        <v>28</v>
      </c>
      <c r="AP14" s="134">
        <v>4.0</v>
      </c>
      <c r="AQ14" s="134">
        <v>2.0</v>
      </c>
      <c r="AR14" s="134">
        <v>2.0</v>
      </c>
      <c r="AS14" s="134">
        <f t="shared" si="13"/>
        <v>7</v>
      </c>
      <c r="AT14" s="160">
        <v>1720.0</v>
      </c>
      <c r="AU14" s="161">
        <v>615.0</v>
      </c>
      <c r="AV14" s="134">
        <v>1020.0</v>
      </c>
      <c r="AW14" s="134">
        <v>355.0</v>
      </c>
      <c r="AX14" s="134">
        <v>1100.0</v>
      </c>
      <c r="AY14" s="134">
        <v>435.0</v>
      </c>
      <c r="AZ14" s="160">
        <v>3120.0</v>
      </c>
      <c r="BA14" s="161">
        <v>1225.0</v>
      </c>
      <c r="BB14" s="90"/>
      <c r="BC14" s="171" t="s">
        <v>130</v>
      </c>
      <c r="BD14" s="167">
        <v>233.0</v>
      </c>
      <c r="BE14" s="166">
        <v>78.0</v>
      </c>
      <c r="BF14" s="172"/>
      <c r="BG14" s="167">
        <v>355.0</v>
      </c>
      <c r="BH14" s="173">
        <v>85.0</v>
      </c>
      <c r="BI14" s="172"/>
      <c r="BJ14" s="167">
        <v>440.0</v>
      </c>
      <c r="BK14" s="174">
        <v>160.0</v>
      </c>
      <c r="BL14" s="175"/>
      <c r="BM14" s="175"/>
      <c r="BN14" s="175"/>
      <c r="BO14" s="175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</row>
    <row r="15" ht="12.75" hidden="1" customHeight="1">
      <c r="A15" s="168">
        <f t="shared" si="2"/>
        <v>11</v>
      </c>
      <c r="B15" s="2">
        <v>175.0</v>
      </c>
      <c r="C15" s="2">
        <f t="shared" si="6"/>
        <v>175</v>
      </c>
      <c r="D15" s="2">
        <f t="shared" si="3"/>
        <v>220</v>
      </c>
      <c r="E15" s="169">
        <v>570.0</v>
      </c>
      <c r="F15" s="169">
        <v>395.0</v>
      </c>
      <c r="G15" s="8"/>
      <c r="H15" s="168">
        <f t="shared" si="4"/>
        <v>11</v>
      </c>
      <c r="I15" s="170"/>
      <c r="J15" s="2">
        <v>500.0</v>
      </c>
      <c r="K15" s="2">
        <f t="shared" ref="K15:L15" si="22">K14+20</f>
        <v>220</v>
      </c>
      <c r="L15" s="169">
        <f t="shared" si="22"/>
        <v>720</v>
      </c>
      <c r="M15" s="169">
        <v>660.0</v>
      </c>
      <c r="N15" s="2" t="str">
        <f t="shared" si="1"/>
        <v>#REF!</v>
      </c>
      <c r="O15" s="142"/>
      <c r="P15" s="143">
        <v>32.0</v>
      </c>
      <c r="Q15" s="152">
        <v>2.0</v>
      </c>
      <c r="R15" s="152">
        <v>1.0</v>
      </c>
      <c r="S15" s="152">
        <v>1.0</v>
      </c>
      <c r="T15" s="152">
        <v>4.0</v>
      </c>
      <c r="U15" s="152">
        <v>4.0</v>
      </c>
      <c r="V15" s="152">
        <v>2.0</v>
      </c>
      <c r="W15" s="152">
        <v>2.0</v>
      </c>
      <c r="X15" s="152">
        <v>8.0</v>
      </c>
      <c r="Y15" s="152">
        <v>2.0</v>
      </c>
      <c r="Z15" s="152">
        <v>765.0</v>
      </c>
      <c r="AA15" s="152">
        <v>380.0</v>
      </c>
      <c r="AB15" s="152">
        <f t="shared" ref="AB15:AC15" si="23">Z15-Z14</f>
        <v>70</v>
      </c>
      <c r="AC15" s="152">
        <f t="shared" si="23"/>
        <v>45</v>
      </c>
      <c r="AD15" s="152">
        <v>425.0</v>
      </c>
      <c r="AE15" s="152">
        <v>190.0</v>
      </c>
      <c r="AF15" s="152">
        <v>465.0</v>
      </c>
      <c r="AG15" s="152">
        <v>230.0</v>
      </c>
      <c r="AH15" s="152">
        <v>1445.0</v>
      </c>
      <c r="AI15" s="152">
        <v>760.0</v>
      </c>
      <c r="AJ15" s="134">
        <f t="shared" si="18"/>
        <v>340</v>
      </c>
      <c r="AK15" s="576">
        <v>260.0</v>
      </c>
      <c r="AL15" s="576">
        <v>525.0</v>
      </c>
      <c r="AM15" s="572">
        <f>765+(((P15-32)/16)*340)</f>
        <v>765</v>
      </c>
      <c r="AN15" s="572" t="str">
        <f>"=="&amp;P15</f>
        <v>==32</v>
      </c>
      <c r="AO15" s="153">
        <f t="shared" si="12"/>
        <v>32</v>
      </c>
      <c r="AP15" s="134">
        <v>4.0</v>
      </c>
      <c r="AQ15" s="134">
        <v>2.0</v>
      </c>
      <c r="AR15" s="134">
        <v>2.0</v>
      </c>
      <c r="AS15" s="134">
        <f t="shared" si="13"/>
        <v>8</v>
      </c>
      <c r="AT15" s="160">
        <v>1860.0</v>
      </c>
      <c r="AU15" s="161">
        <v>700.0</v>
      </c>
      <c r="AV15" s="160">
        <v>1020.0</v>
      </c>
      <c r="AW15" s="161">
        <v>355.0</v>
      </c>
      <c r="AX15" s="134">
        <v>1100.0</v>
      </c>
      <c r="AY15" s="134">
        <v>435.0</v>
      </c>
      <c r="AZ15" s="160">
        <v>3540.0</v>
      </c>
      <c r="BA15" s="161">
        <v>1400.0</v>
      </c>
      <c r="BB15" s="90"/>
      <c r="BC15" s="171" t="s">
        <v>131</v>
      </c>
      <c r="BD15" s="167">
        <v>188.0</v>
      </c>
      <c r="BE15" s="166">
        <v>68.0</v>
      </c>
      <c r="BF15" s="172"/>
      <c r="BG15" s="167">
        <v>255.0</v>
      </c>
      <c r="BH15" s="173">
        <v>75.0</v>
      </c>
      <c r="BI15" s="172"/>
      <c r="BJ15" s="167">
        <v>330.0</v>
      </c>
      <c r="BK15" s="174">
        <v>140.0</v>
      </c>
      <c r="BL15" s="175"/>
      <c r="BM15" s="175"/>
      <c r="BN15" s="175"/>
      <c r="BO15" s="175"/>
      <c r="BP15" s="1"/>
      <c r="BQ15" s="1"/>
      <c r="BR15" s="1"/>
      <c r="BS15" s="1"/>
      <c r="BT15" s="1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</row>
    <row r="16" ht="12.75" hidden="1" customHeight="1">
      <c r="A16" s="123">
        <f t="shared" si="2"/>
        <v>12</v>
      </c>
      <c r="B16" s="124">
        <v>175.0</v>
      </c>
      <c r="C16" s="124">
        <f t="shared" si="6"/>
        <v>190</v>
      </c>
      <c r="D16" s="124">
        <f t="shared" si="3"/>
        <v>240</v>
      </c>
      <c r="E16" s="125">
        <v>605.0</v>
      </c>
      <c r="F16" s="125">
        <v>430.0</v>
      </c>
      <c r="G16" s="8"/>
      <c r="H16" s="123">
        <f t="shared" si="4"/>
        <v>12</v>
      </c>
      <c r="I16" s="126"/>
      <c r="J16" s="124">
        <v>500.0</v>
      </c>
      <c r="K16" s="124">
        <f t="shared" ref="K16:L16" si="24">K15+20</f>
        <v>240</v>
      </c>
      <c r="L16" s="125">
        <f t="shared" si="24"/>
        <v>740</v>
      </c>
      <c r="M16" s="125">
        <v>660.0</v>
      </c>
      <c r="N16" s="1" t="str">
        <f t="shared" si="1"/>
        <v>#REF!</v>
      </c>
      <c r="O16" s="142"/>
      <c r="P16" s="143">
        <v>36.0</v>
      </c>
      <c r="Q16" s="152">
        <v>3.0</v>
      </c>
      <c r="R16" s="152">
        <v>2.0</v>
      </c>
      <c r="S16" s="152">
        <v>2.0</v>
      </c>
      <c r="T16" s="152">
        <v>5.0</v>
      </c>
      <c r="U16" s="152">
        <v>5.0</v>
      </c>
      <c r="V16" s="152">
        <v>3.0</v>
      </c>
      <c r="W16" s="152">
        <v>3.0</v>
      </c>
      <c r="X16" s="152">
        <v>9.0</v>
      </c>
      <c r="Y16" s="152">
        <v>2.25</v>
      </c>
      <c r="Z16" s="152">
        <v>865.0</v>
      </c>
      <c r="AA16" s="152">
        <v>430.0</v>
      </c>
      <c r="AB16" s="152">
        <f t="shared" ref="AB16:AC16" si="25">Z16-Z15</f>
        <v>100</v>
      </c>
      <c r="AC16" s="152">
        <f t="shared" si="25"/>
        <v>50</v>
      </c>
      <c r="AD16" s="152">
        <v>525.0</v>
      </c>
      <c r="AE16" s="152">
        <v>240.0</v>
      </c>
      <c r="AF16" s="152">
        <v>585.0</v>
      </c>
      <c r="AG16" s="152">
        <v>300.0</v>
      </c>
      <c r="AH16" s="152">
        <v>1635.0</v>
      </c>
      <c r="AI16" s="152">
        <v>855.0</v>
      </c>
      <c r="AJ16" s="134">
        <f t="shared" si="18"/>
        <v>340</v>
      </c>
      <c r="AK16" s="576">
        <v>340.0</v>
      </c>
      <c r="AL16" s="576">
        <v>525.0</v>
      </c>
      <c r="AM16" s="572">
        <f>525+(((P16-20)/16)*340)</f>
        <v>865</v>
      </c>
      <c r="AN16" s="572" t="str">
        <f t="shared" ref="AN16:AN58" si="28">"="&amp;P16</f>
        <v>=36</v>
      </c>
      <c r="AO16" s="153">
        <f t="shared" si="12"/>
        <v>36</v>
      </c>
      <c r="AP16" s="134">
        <v>5.0</v>
      </c>
      <c r="AQ16" s="134">
        <v>3.0</v>
      </c>
      <c r="AR16" s="134">
        <v>3.0</v>
      </c>
      <c r="AS16" s="134">
        <f t="shared" si="13"/>
        <v>9</v>
      </c>
      <c r="AT16" s="160">
        <v>2140.0</v>
      </c>
      <c r="AU16" s="161">
        <v>790.0</v>
      </c>
      <c r="AV16" s="134">
        <v>1300.0</v>
      </c>
      <c r="AW16" s="134">
        <v>440.0</v>
      </c>
      <c r="AX16" s="134">
        <v>1400.0</v>
      </c>
      <c r="AY16" s="134">
        <v>540.0</v>
      </c>
      <c r="AZ16" s="160">
        <v>3960.0</v>
      </c>
      <c r="BA16" s="161">
        <v>1575.0</v>
      </c>
      <c r="BB16" s="90"/>
      <c r="BC16" s="156" t="s">
        <v>132</v>
      </c>
      <c r="BD16" s="122">
        <v>233.0</v>
      </c>
      <c r="BE16" s="121">
        <v>73.0</v>
      </c>
      <c r="BF16" s="148"/>
      <c r="BG16" s="122">
        <v>305.0</v>
      </c>
      <c r="BH16" s="157">
        <v>80.0</v>
      </c>
      <c r="BI16" s="148"/>
      <c r="BJ16" s="122">
        <v>385.0</v>
      </c>
      <c r="BK16" s="158">
        <v>150.0</v>
      </c>
      <c r="BL16" s="159"/>
      <c r="BM16" s="159"/>
      <c r="BN16" s="159"/>
      <c r="BO16" s="151"/>
      <c r="BP16" s="1"/>
      <c r="BQ16" s="1"/>
      <c r="BR16" s="1"/>
      <c r="BS16" s="1"/>
      <c r="BT16" s="1"/>
      <c r="BU16" s="1"/>
      <c r="BV16" s="1"/>
      <c r="BW16" s="1"/>
      <c r="BX16" s="8"/>
      <c r="BY16" s="8"/>
      <c r="BZ16" s="8"/>
      <c r="CA16" s="8"/>
      <c r="CB16" s="8"/>
      <c r="CC16" s="8"/>
      <c r="CD16" s="8"/>
      <c r="CE16" s="1"/>
    </row>
    <row r="17" ht="12.75" customHeight="1">
      <c r="A17" s="116">
        <f t="shared" si="2"/>
        <v>13</v>
      </c>
      <c r="B17" s="1">
        <v>175.0</v>
      </c>
      <c r="C17" s="1">
        <f t="shared" si="6"/>
        <v>205</v>
      </c>
      <c r="D17" s="1">
        <f t="shared" si="3"/>
        <v>260</v>
      </c>
      <c r="E17" s="141">
        <v>640.0</v>
      </c>
      <c r="F17" s="141">
        <v>465.0</v>
      </c>
      <c r="G17" s="8"/>
      <c r="H17" s="116">
        <f t="shared" si="4"/>
        <v>13</v>
      </c>
      <c r="I17" s="39"/>
      <c r="J17" s="1">
        <v>500.0</v>
      </c>
      <c r="K17" s="1">
        <f t="shared" ref="K17:L17" si="26">K16+20</f>
        <v>260</v>
      </c>
      <c r="L17" s="141">
        <f t="shared" si="26"/>
        <v>760</v>
      </c>
      <c r="M17" s="141">
        <v>715.0</v>
      </c>
      <c r="N17" s="1" t="str">
        <f t="shared" si="1"/>
        <v>#REF!</v>
      </c>
      <c r="O17" s="142"/>
      <c r="P17" s="143">
        <v>40.0</v>
      </c>
      <c r="Q17" s="152">
        <v>3.0</v>
      </c>
      <c r="R17" s="152">
        <v>2.0</v>
      </c>
      <c r="S17" s="152">
        <v>2.0</v>
      </c>
      <c r="T17" s="152">
        <v>5.0</v>
      </c>
      <c r="U17" s="152">
        <v>5.0</v>
      </c>
      <c r="V17" s="152">
        <v>3.0</v>
      </c>
      <c r="W17" s="152">
        <v>3.0</v>
      </c>
      <c r="X17" s="152">
        <v>10.0</v>
      </c>
      <c r="Y17" s="152">
        <v>2.5</v>
      </c>
      <c r="Z17" s="152">
        <v>955.0</v>
      </c>
      <c r="AA17" s="152">
        <v>475.0</v>
      </c>
      <c r="AB17" s="152">
        <f t="shared" ref="AB17:AC17" si="27">Z17-Z16</f>
        <v>90</v>
      </c>
      <c r="AC17" s="152">
        <f t="shared" si="27"/>
        <v>45</v>
      </c>
      <c r="AD17" s="152">
        <v>525.0</v>
      </c>
      <c r="AE17" s="152">
        <v>240.0</v>
      </c>
      <c r="AF17" s="152">
        <v>585.0</v>
      </c>
      <c r="AG17" s="152">
        <v>300.0</v>
      </c>
      <c r="AH17" s="152">
        <v>1785.0</v>
      </c>
      <c r="AI17" s="152">
        <v>950.0</v>
      </c>
      <c r="AJ17" s="134">
        <f t="shared" si="18"/>
        <v>340</v>
      </c>
      <c r="AK17" s="572">
        <f t="shared" ref="AK17:AK57" si="31">Z17-Z16</f>
        <v>90</v>
      </c>
      <c r="AL17" s="576">
        <v>525.0</v>
      </c>
      <c r="AM17" s="572">
        <f>615+(((P17-24)/16)*340)</f>
        <v>955</v>
      </c>
      <c r="AN17" s="572" t="str">
        <f t="shared" si="28"/>
        <v>=40</v>
      </c>
      <c r="AO17" s="153">
        <f t="shared" si="12"/>
        <v>40</v>
      </c>
      <c r="AP17" s="134">
        <v>5.0</v>
      </c>
      <c r="AQ17" s="134">
        <v>3.0</v>
      </c>
      <c r="AR17" s="134">
        <v>3.0</v>
      </c>
      <c r="AS17" s="134">
        <f t="shared" si="13"/>
        <v>10</v>
      </c>
      <c r="AT17" s="160">
        <v>2280.0</v>
      </c>
      <c r="AU17" s="161">
        <v>875.0</v>
      </c>
      <c r="AV17" s="160">
        <v>1300.0</v>
      </c>
      <c r="AW17" s="161">
        <v>440.0</v>
      </c>
      <c r="AX17" s="134">
        <v>1400.0</v>
      </c>
      <c r="AY17" s="134">
        <v>540.0</v>
      </c>
      <c r="AZ17" s="160">
        <v>4380.0</v>
      </c>
      <c r="BA17" s="161">
        <v>1750.0</v>
      </c>
      <c r="BB17" s="90"/>
      <c r="BC17" s="162" t="s">
        <v>133</v>
      </c>
      <c r="BD17" s="140">
        <v>278.0</v>
      </c>
      <c r="BE17" s="139">
        <v>78.0</v>
      </c>
      <c r="BF17" s="148"/>
      <c r="BG17" s="140">
        <v>355.0</v>
      </c>
      <c r="BH17" s="163">
        <v>85.0</v>
      </c>
      <c r="BI17" s="148"/>
      <c r="BJ17" s="140">
        <v>440.0</v>
      </c>
      <c r="BK17" s="164">
        <v>160.0</v>
      </c>
      <c r="BL17" s="151"/>
      <c r="BM17" s="151"/>
      <c r="BN17" s="151"/>
      <c r="BO17" s="151"/>
      <c r="BP17" s="8" t="s">
        <v>134</v>
      </c>
      <c r="BQ17" s="1"/>
      <c r="BR17" s="1"/>
      <c r="BS17" s="8"/>
      <c r="BT17" s="8" t="s">
        <v>135</v>
      </c>
      <c r="BU17" s="1"/>
      <c r="BV17" s="1"/>
      <c r="BW17" s="1"/>
      <c r="BX17" s="8"/>
      <c r="BY17" s="8"/>
      <c r="BZ17" s="8"/>
      <c r="CA17" s="8"/>
      <c r="CB17" s="8"/>
      <c r="CC17" s="8"/>
      <c r="CD17" s="8"/>
      <c r="CE17" s="8"/>
    </row>
    <row r="18" ht="12.75" hidden="1" customHeight="1">
      <c r="A18" s="123">
        <f t="shared" si="2"/>
        <v>14</v>
      </c>
      <c r="B18" s="124">
        <v>175.0</v>
      </c>
      <c r="C18" s="124">
        <f t="shared" si="6"/>
        <v>220</v>
      </c>
      <c r="D18" s="124">
        <f t="shared" si="3"/>
        <v>280</v>
      </c>
      <c r="E18" s="125">
        <v>675.0</v>
      </c>
      <c r="F18" s="125">
        <v>500.0</v>
      </c>
      <c r="G18" s="8"/>
      <c r="H18" s="123">
        <f t="shared" si="4"/>
        <v>14</v>
      </c>
      <c r="I18" s="126"/>
      <c r="J18" s="124">
        <v>500.0</v>
      </c>
      <c r="K18" s="124">
        <f t="shared" ref="K18:L18" si="29">K17+20</f>
        <v>280</v>
      </c>
      <c r="L18" s="125">
        <f t="shared" si="29"/>
        <v>780</v>
      </c>
      <c r="M18" s="125">
        <v>770.0</v>
      </c>
      <c r="N18" s="1" t="str">
        <f t="shared" si="1"/>
        <v>#REF!</v>
      </c>
      <c r="O18" s="142"/>
      <c r="P18" s="143">
        <v>44.0</v>
      </c>
      <c r="Q18" s="152">
        <v>4.0</v>
      </c>
      <c r="R18" s="152">
        <v>2.0</v>
      </c>
      <c r="S18" s="152">
        <v>2.0</v>
      </c>
      <c r="T18" s="152">
        <v>6.0</v>
      </c>
      <c r="U18" s="152">
        <v>6.0</v>
      </c>
      <c r="V18" s="152">
        <v>3.0</v>
      </c>
      <c r="W18" s="152">
        <v>3.0</v>
      </c>
      <c r="X18" s="152">
        <v>11.0</v>
      </c>
      <c r="Y18" s="152">
        <v>3.0</v>
      </c>
      <c r="Z18" s="152">
        <v>1035.0</v>
      </c>
      <c r="AA18" s="152">
        <v>525.0</v>
      </c>
      <c r="AB18" s="152">
        <f t="shared" ref="AB18:AC18" si="30">Z18-Z17</f>
        <v>80</v>
      </c>
      <c r="AC18" s="152">
        <f t="shared" si="30"/>
        <v>50</v>
      </c>
      <c r="AD18" s="152">
        <v>615.0</v>
      </c>
      <c r="AE18" s="152">
        <v>285.0</v>
      </c>
      <c r="AF18" s="152">
        <v>675.0</v>
      </c>
      <c r="AG18" s="152">
        <v>345.0</v>
      </c>
      <c r="AH18" s="152">
        <v>1975.0</v>
      </c>
      <c r="AI18" s="152">
        <v>1045.0</v>
      </c>
      <c r="AJ18" s="134">
        <f t="shared" si="18"/>
        <v>340</v>
      </c>
      <c r="AK18" s="572">
        <f t="shared" si="31"/>
        <v>80</v>
      </c>
      <c r="AL18" s="576">
        <v>525.0</v>
      </c>
      <c r="AM18" s="572">
        <f>695+(((P18-28)/16)*340)</f>
        <v>1035</v>
      </c>
      <c r="AN18" s="572" t="str">
        <f t="shared" si="28"/>
        <v>=44</v>
      </c>
      <c r="AO18" s="153">
        <f t="shared" si="12"/>
        <v>44</v>
      </c>
      <c r="AP18" s="134">
        <v>6.0</v>
      </c>
      <c r="AQ18" s="134">
        <v>3.0</v>
      </c>
      <c r="AR18" s="134">
        <v>3.0</v>
      </c>
      <c r="AS18" s="134">
        <f t="shared" si="13"/>
        <v>11</v>
      </c>
      <c r="AT18" s="160">
        <v>2560.0</v>
      </c>
      <c r="AU18" s="161">
        <v>965.0</v>
      </c>
      <c r="AV18" s="134">
        <v>1440.0</v>
      </c>
      <c r="AW18" s="134">
        <v>525.0</v>
      </c>
      <c r="AX18" s="134">
        <v>1560.0</v>
      </c>
      <c r="AY18" s="134">
        <v>645.0</v>
      </c>
      <c r="AZ18" s="160">
        <v>4800.0</v>
      </c>
      <c r="BA18" s="161">
        <v>1925.0</v>
      </c>
      <c r="BB18" s="90" t="s">
        <v>136</v>
      </c>
      <c r="BC18" s="156" t="s">
        <v>137</v>
      </c>
      <c r="BD18" s="122">
        <v>323.0</v>
      </c>
      <c r="BE18" s="121">
        <v>83.0</v>
      </c>
      <c r="BF18" s="148"/>
      <c r="BG18" s="122">
        <v>405.0</v>
      </c>
      <c r="BH18" s="157">
        <v>90.0</v>
      </c>
      <c r="BI18" s="148"/>
      <c r="BJ18" s="122">
        <v>495.0</v>
      </c>
      <c r="BK18" s="158">
        <v>170.0</v>
      </c>
      <c r="BL18" s="159"/>
      <c r="BM18" s="159"/>
      <c r="BN18" s="159"/>
      <c r="BO18" s="151"/>
      <c r="BP18" s="19"/>
      <c r="BQ18" s="19" t="s">
        <v>138</v>
      </c>
      <c r="BR18" s="178" t="s">
        <v>139</v>
      </c>
      <c r="BS18" s="8"/>
      <c r="BT18" s="179"/>
      <c r="BU18" s="19" t="s">
        <v>138</v>
      </c>
      <c r="BV18" s="19" t="s">
        <v>139</v>
      </c>
      <c r="BW18" s="1"/>
      <c r="BX18" s="8"/>
      <c r="BY18" s="8"/>
      <c r="BZ18" s="8"/>
      <c r="CA18" s="8"/>
      <c r="CB18" s="8"/>
      <c r="CC18" s="8"/>
      <c r="CD18" s="8"/>
      <c r="CE18" s="8"/>
    </row>
    <row r="19" ht="12.75" hidden="1" customHeight="1">
      <c r="A19" s="116">
        <f t="shared" si="2"/>
        <v>15</v>
      </c>
      <c r="B19" s="1">
        <v>175.0</v>
      </c>
      <c r="C19" s="1">
        <f t="shared" si="6"/>
        <v>235</v>
      </c>
      <c r="D19" s="1">
        <f t="shared" si="3"/>
        <v>300</v>
      </c>
      <c r="E19" s="141">
        <v>710.0</v>
      </c>
      <c r="F19" s="141">
        <v>535.0</v>
      </c>
      <c r="G19" s="8"/>
      <c r="H19" s="116">
        <f t="shared" si="4"/>
        <v>15</v>
      </c>
      <c r="I19" s="39"/>
      <c r="J19" s="1">
        <v>525.0</v>
      </c>
      <c r="K19" s="1">
        <f t="shared" ref="K19:K23" si="33">K18+20</f>
        <v>300</v>
      </c>
      <c r="L19" s="141">
        <v>825.0</v>
      </c>
      <c r="M19" s="141">
        <v>825.0</v>
      </c>
      <c r="N19" s="1" t="str">
        <f t="shared" si="1"/>
        <v>#REF!</v>
      </c>
      <c r="O19" s="142"/>
      <c r="P19" s="143">
        <v>48.0</v>
      </c>
      <c r="Q19" s="152">
        <v>3.0</v>
      </c>
      <c r="R19" s="152">
        <v>2.0</v>
      </c>
      <c r="S19" s="152">
        <v>2.0</v>
      </c>
      <c r="T19" s="152">
        <v>6.0</v>
      </c>
      <c r="U19" s="152">
        <v>6.0</v>
      </c>
      <c r="V19" s="152">
        <v>3.0</v>
      </c>
      <c r="W19" s="152">
        <v>3.0</v>
      </c>
      <c r="X19" s="152">
        <v>12.0</v>
      </c>
      <c r="Y19" s="152">
        <v>3.0</v>
      </c>
      <c r="Z19" s="152">
        <v>1105.0</v>
      </c>
      <c r="AA19" s="152">
        <v>570.0</v>
      </c>
      <c r="AB19" s="152">
        <f t="shared" ref="AB19:AC19" si="32">Z19-Z18</f>
        <v>70</v>
      </c>
      <c r="AC19" s="152">
        <f t="shared" si="32"/>
        <v>45</v>
      </c>
      <c r="AD19" s="152">
        <v>615.0</v>
      </c>
      <c r="AE19" s="152">
        <v>285.0</v>
      </c>
      <c r="AF19" s="152">
        <v>675.0</v>
      </c>
      <c r="AG19" s="152">
        <v>345.0</v>
      </c>
      <c r="AH19" s="152">
        <v>2125.0</v>
      </c>
      <c r="AI19" s="152">
        <v>1140.0</v>
      </c>
      <c r="AJ19" s="134">
        <f t="shared" si="18"/>
        <v>340</v>
      </c>
      <c r="AK19" s="572">
        <f t="shared" si="31"/>
        <v>70</v>
      </c>
      <c r="AL19" s="576">
        <v>525.0</v>
      </c>
      <c r="AM19" s="572">
        <f>765+(((P19-32)/16)*340)</f>
        <v>1105</v>
      </c>
      <c r="AN19" s="572" t="str">
        <f t="shared" si="28"/>
        <v>=48</v>
      </c>
      <c r="AO19" s="153">
        <f t="shared" si="12"/>
        <v>48</v>
      </c>
      <c r="AP19" s="134">
        <v>6.0</v>
      </c>
      <c r="AQ19" s="134">
        <v>3.0</v>
      </c>
      <c r="AR19" s="134">
        <v>3.0</v>
      </c>
      <c r="AS19" s="134">
        <f t="shared" si="13"/>
        <v>12</v>
      </c>
      <c r="AT19" s="160">
        <v>2700.0</v>
      </c>
      <c r="AU19" s="161">
        <v>1050.0</v>
      </c>
      <c r="AV19" s="160">
        <v>1440.0</v>
      </c>
      <c r="AW19" s="161">
        <v>525.0</v>
      </c>
      <c r="AX19" s="134">
        <v>1560.0</v>
      </c>
      <c r="AY19" s="134">
        <v>645.0</v>
      </c>
      <c r="AZ19" s="160">
        <v>5220.0</v>
      </c>
      <c r="BA19" s="161">
        <v>2100.0</v>
      </c>
      <c r="BB19" s="90"/>
      <c r="BC19" s="180"/>
      <c r="BD19" s="181"/>
      <c r="BE19" s="181"/>
      <c r="BF19" s="181"/>
      <c r="BG19" s="181"/>
      <c r="BH19" s="181"/>
      <c r="BI19" s="181"/>
      <c r="BJ19" s="181"/>
      <c r="BK19" s="181"/>
      <c r="BL19" s="181"/>
      <c r="BM19" s="181"/>
      <c r="BN19" s="181"/>
      <c r="BO19" s="181"/>
      <c r="BP19" s="19" t="s">
        <v>140</v>
      </c>
      <c r="BQ19" s="19">
        <v>30.0</v>
      </c>
      <c r="BR19" s="178">
        <v>10.0</v>
      </c>
      <c r="BS19" s="8"/>
      <c r="BT19" s="19" t="s">
        <v>140</v>
      </c>
      <c r="BU19" s="19">
        <v>75.0</v>
      </c>
      <c r="BV19" s="19">
        <v>30.0</v>
      </c>
      <c r="BW19" s="1"/>
      <c r="BX19" s="8"/>
      <c r="BY19" s="8"/>
      <c r="BZ19" s="8"/>
      <c r="CA19" s="8"/>
      <c r="CB19" s="8"/>
      <c r="CC19" s="8"/>
      <c r="CD19" s="8"/>
      <c r="CE19" s="8"/>
    </row>
    <row r="20" ht="12.75" hidden="1" customHeight="1">
      <c r="A20" s="123">
        <f t="shared" si="2"/>
        <v>16</v>
      </c>
      <c r="B20" s="124">
        <v>175.0</v>
      </c>
      <c r="C20" s="124">
        <f t="shared" si="6"/>
        <v>250</v>
      </c>
      <c r="D20" s="124">
        <f t="shared" si="3"/>
        <v>320</v>
      </c>
      <c r="E20" s="125">
        <v>745.0</v>
      </c>
      <c r="F20" s="125">
        <v>570.0</v>
      </c>
      <c r="G20" s="8"/>
      <c r="H20" s="123">
        <f t="shared" si="4"/>
        <v>16</v>
      </c>
      <c r="I20" s="126"/>
      <c r="J20" s="124">
        <v>560.0</v>
      </c>
      <c r="K20" s="124">
        <f t="shared" si="33"/>
        <v>320</v>
      </c>
      <c r="L20" s="125">
        <v>880.0</v>
      </c>
      <c r="M20" s="125">
        <v>880.0</v>
      </c>
      <c r="N20" s="1" t="str">
        <f t="shared" si="1"/>
        <v>#REF!</v>
      </c>
      <c r="O20" s="142"/>
      <c r="P20" s="143">
        <v>52.0</v>
      </c>
      <c r="Q20" s="152">
        <v>4.0</v>
      </c>
      <c r="R20" s="152">
        <v>3.0</v>
      </c>
      <c r="S20" s="152">
        <v>3.0</v>
      </c>
      <c r="T20" s="152">
        <v>7.0</v>
      </c>
      <c r="U20" s="152">
        <v>7.0</v>
      </c>
      <c r="V20" s="152">
        <v>4.0</v>
      </c>
      <c r="W20" s="152">
        <v>4.0</v>
      </c>
      <c r="X20" s="152">
        <v>13.0</v>
      </c>
      <c r="Y20" s="152">
        <v>3.25</v>
      </c>
      <c r="Z20" s="152">
        <v>1205.0</v>
      </c>
      <c r="AA20" s="152">
        <v>620.0</v>
      </c>
      <c r="AB20" s="152">
        <f t="shared" ref="AB20:AC20" si="34">Z20-Z19</f>
        <v>100</v>
      </c>
      <c r="AC20" s="152">
        <f t="shared" si="34"/>
        <v>50</v>
      </c>
      <c r="AD20" s="152">
        <v>695.0</v>
      </c>
      <c r="AE20" s="152">
        <v>335.0</v>
      </c>
      <c r="AF20" s="152">
        <v>775.0</v>
      </c>
      <c r="AG20" s="152">
        <v>415.0</v>
      </c>
      <c r="AH20" s="152">
        <v>2315.0</v>
      </c>
      <c r="AI20" s="152">
        <v>1235.0</v>
      </c>
      <c r="AJ20" s="134">
        <f t="shared" si="18"/>
        <v>340</v>
      </c>
      <c r="AK20" s="572">
        <f t="shared" si="31"/>
        <v>100</v>
      </c>
      <c r="AL20" s="576">
        <v>525.0</v>
      </c>
      <c r="AM20" s="572">
        <f>525+(((P20-20)/16)*340)</f>
        <v>1205</v>
      </c>
      <c r="AN20" s="572" t="str">
        <f t="shared" si="28"/>
        <v>=52</v>
      </c>
      <c r="AO20" s="153">
        <f t="shared" si="12"/>
        <v>52</v>
      </c>
      <c r="AP20" s="134">
        <v>7.0</v>
      </c>
      <c r="AQ20" s="134">
        <v>4.0</v>
      </c>
      <c r="AR20" s="134">
        <v>4.0</v>
      </c>
      <c r="AS20" s="134">
        <f t="shared" si="13"/>
        <v>13</v>
      </c>
      <c r="AT20" s="160">
        <v>2980.0</v>
      </c>
      <c r="AU20" s="161">
        <v>1140.0</v>
      </c>
      <c r="AV20" s="134">
        <v>1720.0</v>
      </c>
      <c r="AW20" s="134">
        <v>615.0</v>
      </c>
      <c r="AX20" s="134">
        <v>1860.0</v>
      </c>
      <c r="AY20" s="134">
        <v>755.0</v>
      </c>
      <c r="AZ20" s="182">
        <v>5640.0</v>
      </c>
      <c r="BA20" s="161">
        <v>2275.0</v>
      </c>
      <c r="BB20" s="90"/>
      <c r="BC20" s="92"/>
      <c r="BD20" s="93" t="s">
        <v>3</v>
      </c>
      <c r="BE20" s="104" t="s">
        <v>5</v>
      </c>
      <c r="BF20" s="93"/>
      <c r="BG20" s="93" t="s">
        <v>3</v>
      </c>
      <c r="BH20" s="104" t="s">
        <v>5</v>
      </c>
      <c r="BI20" s="93"/>
      <c r="BJ20" s="93" t="s">
        <v>3</v>
      </c>
      <c r="BK20" s="104" t="s">
        <v>5</v>
      </c>
      <c r="BL20" s="93"/>
      <c r="BM20" s="93" t="s">
        <v>3</v>
      </c>
      <c r="BN20" s="104" t="s">
        <v>5</v>
      </c>
      <c r="BO20" s="93"/>
      <c r="BP20" s="19" t="s">
        <v>141</v>
      </c>
      <c r="BQ20" s="19">
        <v>35.0</v>
      </c>
      <c r="BR20" s="183">
        <v>15.0</v>
      </c>
      <c r="BS20" s="2"/>
      <c r="BT20" s="19" t="s">
        <v>141</v>
      </c>
      <c r="BU20" s="19">
        <v>100.0</v>
      </c>
      <c r="BV20" s="19">
        <v>50.0</v>
      </c>
      <c r="BW20" s="1"/>
      <c r="BX20" s="8"/>
      <c r="BY20" s="8"/>
      <c r="BZ20" s="8"/>
      <c r="CA20" s="8"/>
      <c r="CB20" s="8"/>
      <c r="CC20" s="8"/>
      <c r="CD20" s="8"/>
      <c r="CE20" s="8"/>
    </row>
    <row r="21" ht="12.75" customHeight="1">
      <c r="A21" s="168">
        <f t="shared" si="2"/>
        <v>17</v>
      </c>
      <c r="B21" s="2">
        <v>175.0</v>
      </c>
      <c r="C21" s="2">
        <f t="shared" si="6"/>
        <v>265</v>
      </c>
      <c r="D21" s="2">
        <f t="shared" si="3"/>
        <v>340</v>
      </c>
      <c r="E21" s="169">
        <v>780.0</v>
      </c>
      <c r="F21" s="169">
        <v>605.0</v>
      </c>
      <c r="G21" s="8"/>
      <c r="H21" s="168">
        <f t="shared" si="4"/>
        <v>17</v>
      </c>
      <c r="I21" s="170"/>
      <c r="J21" s="2">
        <v>595.0</v>
      </c>
      <c r="K21" s="2">
        <f t="shared" si="33"/>
        <v>340</v>
      </c>
      <c r="L21" s="169">
        <v>935.0</v>
      </c>
      <c r="M21" s="169">
        <v>935.0</v>
      </c>
      <c r="N21" s="2" t="str">
        <f t="shared" si="1"/>
        <v>#REF!</v>
      </c>
      <c r="O21" s="142"/>
      <c r="P21" s="143">
        <v>56.0</v>
      </c>
      <c r="Q21" s="152">
        <v>4.0</v>
      </c>
      <c r="R21" s="152">
        <v>3.0</v>
      </c>
      <c r="S21" s="152">
        <v>3.0</v>
      </c>
      <c r="T21" s="152">
        <v>7.0</v>
      </c>
      <c r="U21" s="152">
        <v>7.0</v>
      </c>
      <c r="V21" s="152">
        <v>4.0</v>
      </c>
      <c r="W21" s="152">
        <v>4.0</v>
      </c>
      <c r="X21" s="152">
        <v>14.0</v>
      </c>
      <c r="Y21" s="152">
        <v>3.5</v>
      </c>
      <c r="Z21" s="152">
        <v>1295.0</v>
      </c>
      <c r="AA21" s="152">
        <v>665.0</v>
      </c>
      <c r="AB21" s="152">
        <f t="shared" ref="AB21:AC21" si="35">Z21-Z20</f>
        <v>90</v>
      </c>
      <c r="AC21" s="152">
        <f t="shared" si="35"/>
        <v>45</v>
      </c>
      <c r="AD21" s="152">
        <v>695.0</v>
      </c>
      <c r="AE21" s="152">
        <v>335.0</v>
      </c>
      <c r="AF21" s="152">
        <v>775.0</v>
      </c>
      <c r="AG21" s="152">
        <v>415.0</v>
      </c>
      <c r="AH21" s="152">
        <v>2465.0</v>
      </c>
      <c r="AI21" s="152">
        <v>1330.0</v>
      </c>
      <c r="AJ21" s="134">
        <f t="shared" si="18"/>
        <v>340</v>
      </c>
      <c r="AK21" s="572">
        <f t="shared" si="31"/>
        <v>90</v>
      </c>
      <c r="AL21" s="576">
        <v>525.0</v>
      </c>
      <c r="AM21" s="572">
        <f>615+(((P21-24)/16)*340)</f>
        <v>1295</v>
      </c>
      <c r="AN21" s="572" t="str">
        <f t="shared" si="28"/>
        <v>=56</v>
      </c>
      <c r="AO21" s="153">
        <f t="shared" si="12"/>
        <v>56</v>
      </c>
      <c r="AP21" s="134">
        <v>7.0</v>
      </c>
      <c r="AQ21" s="134">
        <v>4.0</v>
      </c>
      <c r="AR21" s="134">
        <v>4.0</v>
      </c>
      <c r="AS21" s="134">
        <f t="shared" si="13"/>
        <v>14</v>
      </c>
      <c r="AT21" s="160">
        <v>3120.0</v>
      </c>
      <c r="AU21" s="161">
        <v>1225.0</v>
      </c>
      <c r="AV21" s="160">
        <v>1720.0</v>
      </c>
      <c r="AW21" s="161">
        <v>615.0</v>
      </c>
      <c r="AX21" s="134">
        <v>1860.0</v>
      </c>
      <c r="AY21" s="134">
        <v>755.0</v>
      </c>
      <c r="AZ21" s="22">
        <v>6060.0</v>
      </c>
      <c r="BA21" s="161">
        <v>2450.0</v>
      </c>
      <c r="BB21" s="90"/>
      <c r="BC21" s="184" t="s">
        <v>142</v>
      </c>
      <c r="BD21" s="185" t="s">
        <v>74</v>
      </c>
      <c r="BE21" s="185" t="s">
        <v>74</v>
      </c>
      <c r="BF21" s="186"/>
      <c r="BG21" s="185" t="s">
        <v>84</v>
      </c>
      <c r="BH21" s="185" t="s">
        <v>84</v>
      </c>
      <c r="BI21" s="186"/>
      <c r="BJ21" s="185" t="s">
        <v>88</v>
      </c>
      <c r="BK21" s="185" t="s">
        <v>88</v>
      </c>
      <c r="BL21" s="97"/>
      <c r="BM21" s="185" t="s">
        <v>143</v>
      </c>
      <c r="BN21" s="185" t="s">
        <v>143</v>
      </c>
      <c r="BO21" s="97"/>
      <c r="BP21" s="19" t="s">
        <v>144</v>
      </c>
      <c r="BQ21" s="19">
        <v>40.0</v>
      </c>
      <c r="BR21" s="183">
        <v>20.0</v>
      </c>
      <c r="BS21" s="93"/>
      <c r="BT21" s="19" t="s">
        <v>144</v>
      </c>
      <c r="BU21" s="19">
        <v>110.0</v>
      </c>
      <c r="BV21" s="19">
        <v>60.0</v>
      </c>
      <c r="BW21" s="2"/>
      <c r="BX21" s="2"/>
      <c r="BY21" s="2"/>
      <c r="BZ21" s="2"/>
      <c r="CA21" s="2"/>
      <c r="CB21" s="2"/>
      <c r="CC21" s="2"/>
      <c r="CD21" s="2"/>
      <c r="CE21" s="2"/>
    </row>
    <row r="22" ht="12.75" hidden="1" customHeight="1">
      <c r="A22" s="123">
        <f t="shared" si="2"/>
        <v>18</v>
      </c>
      <c r="B22" s="124">
        <v>175.0</v>
      </c>
      <c r="C22" s="124">
        <f t="shared" si="6"/>
        <v>280</v>
      </c>
      <c r="D22" s="124">
        <f t="shared" si="3"/>
        <v>360</v>
      </c>
      <c r="E22" s="125">
        <v>815.0</v>
      </c>
      <c r="F22" s="125">
        <v>640.0</v>
      </c>
      <c r="G22" s="8"/>
      <c r="H22" s="123">
        <f t="shared" si="4"/>
        <v>18</v>
      </c>
      <c r="I22" s="126"/>
      <c r="J22" s="124">
        <v>630.0</v>
      </c>
      <c r="K22" s="124">
        <f t="shared" si="33"/>
        <v>360</v>
      </c>
      <c r="L22" s="125">
        <v>990.0</v>
      </c>
      <c r="M22" s="125">
        <v>990.0</v>
      </c>
      <c r="N22" s="1" t="str">
        <f t="shared" si="1"/>
        <v>#REF!</v>
      </c>
      <c r="O22" s="142"/>
      <c r="P22" s="143">
        <v>60.0</v>
      </c>
      <c r="Q22" s="152">
        <v>5.0</v>
      </c>
      <c r="R22" s="152">
        <v>2.0</v>
      </c>
      <c r="S22" s="152">
        <v>2.0</v>
      </c>
      <c r="T22" s="152">
        <v>8.0</v>
      </c>
      <c r="U22" s="152">
        <v>8.0</v>
      </c>
      <c r="V22" s="152">
        <v>4.0</v>
      </c>
      <c r="W22" s="152">
        <v>4.0</v>
      </c>
      <c r="X22" s="152">
        <v>15.0</v>
      </c>
      <c r="Y22" s="152">
        <v>4.0</v>
      </c>
      <c r="Z22" s="152">
        <v>1375.0</v>
      </c>
      <c r="AA22" s="152">
        <v>715.0</v>
      </c>
      <c r="AB22" s="152">
        <f t="shared" ref="AB22:AC22" si="36">Z22-Z21</f>
        <v>80</v>
      </c>
      <c r="AC22" s="152">
        <f t="shared" si="36"/>
        <v>50</v>
      </c>
      <c r="AD22" s="152">
        <v>765.0</v>
      </c>
      <c r="AE22" s="152">
        <v>380.0</v>
      </c>
      <c r="AF22" s="152">
        <v>845.0</v>
      </c>
      <c r="AG22" s="152">
        <v>460.0</v>
      </c>
      <c r="AH22" s="152">
        <v>2655.0</v>
      </c>
      <c r="AI22" s="152">
        <v>1425.0</v>
      </c>
      <c r="AJ22" s="134">
        <f t="shared" si="18"/>
        <v>340</v>
      </c>
      <c r="AK22" s="572">
        <f t="shared" si="31"/>
        <v>80</v>
      </c>
      <c r="AL22" s="576">
        <v>525.0</v>
      </c>
      <c r="AM22" s="572">
        <f>695+(((P22-28)/16)*340)</f>
        <v>1375</v>
      </c>
      <c r="AN22" s="572" t="str">
        <f t="shared" si="28"/>
        <v>=60</v>
      </c>
      <c r="AO22" s="153">
        <f t="shared" si="12"/>
        <v>60</v>
      </c>
      <c r="AP22" s="134">
        <v>8.0</v>
      </c>
      <c r="AQ22" s="134">
        <v>4.0</v>
      </c>
      <c r="AR22" s="134">
        <v>4.0</v>
      </c>
      <c r="AS22" s="134">
        <f t="shared" si="13"/>
        <v>15</v>
      </c>
      <c r="AT22" s="160">
        <v>3400.0</v>
      </c>
      <c r="AU22" s="161">
        <v>1315.0</v>
      </c>
      <c r="AV22" s="134">
        <v>1860.0</v>
      </c>
      <c r="AW22" s="134">
        <v>700.0</v>
      </c>
      <c r="AX22" s="134">
        <v>2020.0</v>
      </c>
      <c r="AY22" s="134">
        <v>860.0</v>
      </c>
      <c r="AZ22" s="22">
        <v>6480.0</v>
      </c>
      <c r="BA22" s="161">
        <v>2625.0</v>
      </c>
      <c r="BB22" s="90"/>
      <c r="BC22" s="187" t="s">
        <v>145</v>
      </c>
      <c r="BD22" s="188">
        <v>310.0</v>
      </c>
      <c r="BE22" s="189">
        <v>40.0</v>
      </c>
      <c r="BF22" s="190"/>
      <c r="BG22" s="191">
        <v>350.0</v>
      </c>
      <c r="BH22" s="192">
        <v>80.0</v>
      </c>
      <c r="BI22" s="137"/>
      <c r="BJ22" s="191">
        <v>435.0</v>
      </c>
      <c r="BK22" s="192">
        <v>150.0</v>
      </c>
      <c r="BL22" s="193"/>
      <c r="BM22" s="191">
        <v>304.0</v>
      </c>
      <c r="BN22" s="192">
        <v>150.0</v>
      </c>
      <c r="BO22" s="193"/>
      <c r="BP22" s="194"/>
      <c r="BQ22" s="194"/>
      <c r="BR22" s="195"/>
      <c r="BS22" s="2"/>
      <c r="BT22" s="76"/>
      <c r="BU22" s="194"/>
      <c r="BV22" s="194"/>
      <c r="BW22" s="1"/>
      <c r="BX22" s="8"/>
      <c r="BY22" s="8"/>
      <c r="BZ22" s="8"/>
      <c r="CA22" s="8"/>
      <c r="CB22" s="8"/>
      <c r="CC22" s="8"/>
      <c r="CD22" s="8"/>
      <c r="CE22" s="8"/>
    </row>
    <row r="23" ht="12.75" hidden="1" customHeight="1">
      <c r="A23" s="168">
        <f t="shared" si="2"/>
        <v>19</v>
      </c>
      <c r="B23" s="2">
        <v>175.0</v>
      </c>
      <c r="C23" s="2">
        <f t="shared" si="6"/>
        <v>295</v>
      </c>
      <c r="D23" s="2">
        <f t="shared" si="3"/>
        <v>380</v>
      </c>
      <c r="E23" s="169">
        <v>850.0</v>
      </c>
      <c r="F23" s="169">
        <v>675.0</v>
      </c>
      <c r="G23" s="8"/>
      <c r="H23" s="168">
        <f t="shared" si="4"/>
        <v>19</v>
      </c>
      <c r="I23" s="170"/>
      <c r="J23" s="2">
        <v>665.0</v>
      </c>
      <c r="K23" s="2">
        <f t="shared" si="33"/>
        <v>380</v>
      </c>
      <c r="L23" s="169">
        <v>1045.0</v>
      </c>
      <c r="M23" s="169">
        <v>1045.0</v>
      </c>
      <c r="N23" s="2"/>
      <c r="O23" s="142"/>
      <c r="P23" s="143">
        <v>64.0</v>
      </c>
      <c r="Q23" s="152">
        <v>4.0</v>
      </c>
      <c r="R23" s="152">
        <v>2.0</v>
      </c>
      <c r="S23" s="152">
        <v>2.0</v>
      </c>
      <c r="T23" s="152">
        <v>8.0</v>
      </c>
      <c r="U23" s="152">
        <v>8.0</v>
      </c>
      <c r="V23" s="152">
        <v>4.0</v>
      </c>
      <c r="W23" s="152">
        <v>4.0</v>
      </c>
      <c r="X23" s="152">
        <v>16.0</v>
      </c>
      <c r="Y23" s="152">
        <v>4.0</v>
      </c>
      <c r="Z23" s="152">
        <v>1445.0</v>
      </c>
      <c r="AA23" s="152">
        <v>760.0</v>
      </c>
      <c r="AB23" s="152">
        <f t="shared" ref="AB23:AC23" si="37">Z23-Z22</f>
        <v>70</v>
      </c>
      <c r="AC23" s="152">
        <f t="shared" si="37"/>
        <v>45</v>
      </c>
      <c r="AD23" s="152">
        <v>765.0</v>
      </c>
      <c r="AE23" s="152">
        <v>380.0</v>
      </c>
      <c r="AF23" s="152">
        <v>845.0</v>
      </c>
      <c r="AG23" s="152">
        <v>460.0</v>
      </c>
      <c r="AH23" s="152">
        <v>2805.0</v>
      </c>
      <c r="AI23" s="152">
        <v>1520.0</v>
      </c>
      <c r="AJ23" s="134">
        <f t="shared" si="18"/>
        <v>340</v>
      </c>
      <c r="AK23" s="572">
        <f t="shared" si="31"/>
        <v>70</v>
      </c>
      <c r="AL23" s="576">
        <v>525.0</v>
      </c>
      <c r="AM23" s="572">
        <f>765+(((P23-32)/16)*340)</f>
        <v>1445</v>
      </c>
      <c r="AN23" s="572" t="str">
        <f t="shared" si="28"/>
        <v>=64</v>
      </c>
      <c r="AO23" s="153">
        <f t="shared" si="12"/>
        <v>64</v>
      </c>
      <c r="AP23" s="134">
        <v>8.0</v>
      </c>
      <c r="AQ23" s="134">
        <v>4.0</v>
      </c>
      <c r="AR23" s="134">
        <v>4.0</v>
      </c>
      <c r="AS23" s="134">
        <f t="shared" si="13"/>
        <v>16</v>
      </c>
      <c r="AT23" s="160">
        <v>3540.0</v>
      </c>
      <c r="AU23" s="161">
        <v>1400.0</v>
      </c>
      <c r="AV23" s="160">
        <v>1860.0</v>
      </c>
      <c r="AW23" s="161">
        <v>700.0</v>
      </c>
      <c r="AX23" s="134">
        <v>2020.0</v>
      </c>
      <c r="AY23" s="134">
        <v>860.0</v>
      </c>
      <c r="AZ23" s="22">
        <v>6900.0</v>
      </c>
      <c r="BA23" s="161">
        <v>2800.0</v>
      </c>
      <c r="BB23" s="90"/>
      <c r="BC23" s="196" t="s">
        <v>146</v>
      </c>
      <c r="BD23" s="197">
        <v>385.0</v>
      </c>
      <c r="BE23" s="198">
        <v>45.0</v>
      </c>
      <c r="BF23" s="199"/>
      <c r="BG23" s="200">
        <v>430.0</v>
      </c>
      <c r="BH23" s="201">
        <v>90.0</v>
      </c>
      <c r="BI23" s="186"/>
      <c r="BJ23" s="200">
        <v>520.0</v>
      </c>
      <c r="BK23" s="201">
        <v>160.0</v>
      </c>
      <c r="BL23" s="202"/>
      <c r="BM23" s="200">
        <v>364.0</v>
      </c>
      <c r="BN23" s="201">
        <v>160.0</v>
      </c>
      <c r="BO23" s="202"/>
      <c r="BP23" s="2"/>
      <c r="BQ23" s="2"/>
      <c r="BR23" s="2"/>
      <c r="BS23" s="93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</row>
    <row r="24" ht="12.75" hidden="1" customHeight="1">
      <c r="A24" s="203">
        <f t="shared" si="2"/>
        <v>20</v>
      </c>
      <c r="B24" s="204">
        <v>175.0</v>
      </c>
      <c r="C24" s="205">
        <f t="shared" si="6"/>
        <v>310</v>
      </c>
      <c r="D24" s="206">
        <f t="shared" si="3"/>
        <v>400</v>
      </c>
      <c r="E24" s="125">
        <v>885.0</v>
      </c>
      <c r="F24" s="125">
        <v>710.0</v>
      </c>
      <c r="G24" s="8"/>
      <c r="H24" s="203">
        <f t="shared" si="4"/>
        <v>20</v>
      </c>
      <c r="I24" s="207"/>
      <c r="J24" s="204">
        <v>700.0</v>
      </c>
      <c r="K24" s="206">
        <v>400.0</v>
      </c>
      <c r="L24" s="125">
        <v>1100.0</v>
      </c>
      <c r="M24" s="125">
        <v>1100.0</v>
      </c>
      <c r="N24" s="1" t="str">
        <f>IF(#REF!=H24,M24,0)</f>
        <v>#REF!</v>
      </c>
      <c r="O24" s="142"/>
      <c r="P24" s="143">
        <v>68.0</v>
      </c>
      <c r="Q24" s="152">
        <v>5.0</v>
      </c>
      <c r="R24" s="152">
        <v>3.0</v>
      </c>
      <c r="S24" s="152">
        <v>3.0</v>
      </c>
      <c r="T24" s="152">
        <v>9.0</v>
      </c>
      <c r="U24" s="152">
        <v>9.0</v>
      </c>
      <c r="V24" s="152">
        <v>5.0</v>
      </c>
      <c r="W24" s="152">
        <v>5.0</v>
      </c>
      <c r="X24" s="152">
        <v>17.0</v>
      </c>
      <c r="Y24" s="152">
        <v>4.25</v>
      </c>
      <c r="Z24" s="152">
        <v>1545.0</v>
      </c>
      <c r="AA24" s="152">
        <v>810.0</v>
      </c>
      <c r="AB24" s="152">
        <f t="shared" ref="AB24:AC24" si="38">Z24-Z23</f>
        <v>100</v>
      </c>
      <c r="AC24" s="152">
        <f t="shared" si="38"/>
        <v>50</v>
      </c>
      <c r="AD24" s="152">
        <v>865.0</v>
      </c>
      <c r="AE24" s="152">
        <v>430.0</v>
      </c>
      <c r="AF24" s="152">
        <v>965.0</v>
      </c>
      <c r="AG24" s="152">
        <v>530.0</v>
      </c>
      <c r="AH24" s="152">
        <v>2995.0</v>
      </c>
      <c r="AI24" s="152">
        <v>1615.0</v>
      </c>
      <c r="AJ24" s="134">
        <f t="shared" si="18"/>
        <v>340</v>
      </c>
      <c r="AK24" s="572">
        <f t="shared" si="31"/>
        <v>100</v>
      </c>
      <c r="AL24" s="576">
        <v>525.0</v>
      </c>
      <c r="AM24" s="572">
        <f>525+(((P24-20)/16)*340)</f>
        <v>1545</v>
      </c>
      <c r="AN24" s="572" t="str">
        <f t="shared" si="28"/>
        <v>=68</v>
      </c>
      <c r="AO24" s="153">
        <f t="shared" si="12"/>
        <v>68</v>
      </c>
      <c r="AP24" s="134">
        <v>9.0</v>
      </c>
      <c r="AQ24" s="134">
        <v>5.0</v>
      </c>
      <c r="AR24" s="134">
        <v>5.0</v>
      </c>
      <c r="AS24" s="134">
        <f t="shared" si="13"/>
        <v>17</v>
      </c>
      <c r="AT24" s="160">
        <v>3820.0</v>
      </c>
      <c r="AU24" s="161">
        <v>1490.0</v>
      </c>
      <c r="AV24" s="134">
        <v>2140.0</v>
      </c>
      <c r="AW24" s="134">
        <v>790.0</v>
      </c>
      <c r="AX24" s="134">
        <v>2320.0</v>
      </c>
      <c r="AY24" s="134">
        <v>970.0</v>
      </c>
      <c r="AZ24" s="22">
        <v>7320.0</v>
      </c>
      <c r="BA24" s="161">
        <v>2975.0</v>
      </c>
      <c r="BB24" s="90" t="s">
        <v>136</v>
      </c>
      <c r="BC24" s="208" t="s">
        <v>147</v>
      </c>
      <c r="BD24" s="209">
        <v>450.0</v>
      </c>
      <c r="BE24" s="210">
        <v>50.0</v>
      </c>
      <c r="BF24" s="190"/>
      <c r="BG24" s="211">
        <v>500.0</v>
      </c>
      <c r="BH24" s="183">
        <v>100.0</v>
      </c>
      <c r="BI24" s="137"/>
      <c r="BJ24" s="211">
        <v>600.0</v>
      </c>
      <c r="BK24" s="183">
        <v>175.0</v>
      </c>
      <c r="BL24" s="193"/>
      <c r="BM24" s="211">
        <v>420.0</v>
      </c>
      <c r="BN24" s="183">
        <v>175.0</v>
      </c>
      <c r="BO24" s="193"/>
      <c r="BP24" s="2"/>
      <c r="BQ24" s="2"/>
      <c r="BR24" s="2"/>
      <c r="BS24" s="2"/>
      <c r="BT24" s="2"/>
      <c r="BU24" s="2"/>
      <c r="BV24" s="1"/>
      <c r="BW24" s="212"/>
      <c r="BX24" s="8"/>
      <c r="BY24" s="8"/>
      <c r="BZ24" s="8"/>
      <c r="CA24" s="8"/>
      <c r="CB24" s="8"/>
      <c r="CC24" s="8"/>
      <c r="CD24" s="8"/>
      <c r="CE24" s="8"/>
    </row>
    <row r="25" ht="12.75" customHeight="1">
      <c r="A25" s="126">
        <f t="shared" si="2"/>
        <v>21</v>
      </c>
      <c r="B25" s="124"/>
      <c r="C25" s="124"/>
      <c r="D25" s="124"/>
      <c r="E25" s="213">
        <f t="shared" ref="E25:F25" si="39">E24+35</f>
        <v>920</v>
      </c>
      <c r="F25" s="213">
        <f t="shared" si="39"/>
        <v>745</v>
      </c>
      <c r="G25" s="8"/>
      <c r="H25" s="126">
        <f t="shared" si="4"/>
        <v>21</v>
      </c>
      <c r="I25" s="126"/>
      <c r="J25" s="124"/>
      <c r="K25" s="124"/>
      <c r="L25" s="213">
        <f t="shared" ref="L25:M25" si="40">L24+55</f>
        <v>1155</v>
      </c>
      <c r="M25" s="213">
        <f t="shared" si="40"/>
        <v>1155</v>
      </c>
      <c r="N25" s="2"/>
      <c r="O25" s="142"/>
      <c r="P25" s="143">
        <v>72.0</v>
      </c>
      <c r="Q25" s="152">
        <v>5.0</v>
      </c>
      <c r="R25" s="152">
        <v>3.0</v>
      </c>
      <c r="S25" s="152">
        <v>3.0</v>
      </c>
      <c r="T25" s="152">
        <v>9.0</v>
      </c>
      <c r="U25" s="152">
        <v>9.0</v>
      </c>
      <c r="V25" s="152">
        <v>5.0</v>
      </c>
      <c r="W25" s="152">
        <v>5.0</v>
      </c>
      <c r="X25" s="152">
        <v>18.0</v>
      </c>
      <c r="Y25" s="152">
        <v>4.5</v>
      </c>
      <c r="Z25" s="152">
        <v>1635.0</v>
      </c>
      <c r="AA25" s="152">
        <v>855.0</v>
      </c>
      <c r="AB25" s="152">
        <f t="shared" ref="AB25:AC25" si="41">Z25-Z24</f>
        <v>90</v>
      </c>
      <c r="AC25" s="152">
        <f t="shared" si="41"/>
        <v>45</v>
      </c>
      <c r="AD25" s="152">
        <v>865.0</v>
      </c>
      <c r="AE25" s="152">
        <v>430.0</v>
      </c>
      <c r="AF25" s="152">
        <v>965.0</v>
      </c>
      <c r="AG25" s="152">
        <v>530.0</v>
      </c>
      <c r="AH25" s="152">
        <v>3145.0</v>
      </c>
      <c r="AI25" s="152">
        <v>1710.0</v>
      </c>
      <c r="AJ25" s="134">
        <f t="shared" si="18"/>
        <v>340</v>
      </c>
      <c r="AK25" s="572">
        <f t="shared" si="31"/>
        <v>90</v>
      </c>
      <c r="AL25" s="576">
        <v>525.0</v>
      </c>
      <c r="AM25" s="572">
        <f>615+(((P25-24)/16)*340)</f>
        <v>1635</v>
      </c>
      <c r="AN25" s="572" t="str">
        <f t="shared" si="28"/>
        <v>=72</v>
      </c>
      <c r="AO25" s="153">
        <f t="shared" si="12"/>
        <v>72</v>
      </c>
      <c r="AP25" s="134">
        <v>9.0</v>
      </c>
      <c r="AQ25" s="134">
        <v>5.0</v>
      </c>
      <c r="AR25" s="134">
        <v>5.0</v>
      </c>
      <c r="AS25" s="134">
        <f t="shared" si="13"/>
        <v>18</v>
      </c>
      <c r="AT25" s="160">
        <v>3960.0</v>
      </c>
      <c r="AU25" s="161">
        <v>1575.0</v>
      </c>
      <c r="AV25" s="160">
        <v>2140.0</v>
      </c>
      <c r="AW25" s="161">
        <v>790.0</v>
      </c>
      <c r="AX25" s="134">
        <v>2320.0</v>
      </c>
      <c r="AY25" s="134">
        <v>970.0</v>
      </c>
      <c r="AZ25" s="22">
        <v>7740.0</v>
      </c>
      <c r="BA25" s="161">
        <v>3150.0</v>
      </c>
      <c r="BB25" s="90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8" t="s">
        <v>148</v>
      </c>
      <c r="BQ25" s="1"/>
      <c r="BR25" s="1"/>
      <c r="BS25" s="1"/>
      <c r="BT25" s="1"/>
      <c r="BU25" s="1"/>
      <c r="BV25" s="2"/>
      <c r="BW25" s="2"/>
      <c r="BX25" s="2"/>
      <c r="BY25" s="2"/>
      <c r="BZ25" s="2"/>
      <c r="CA25" s="2"/>
      <c r="CB25" s="2"/>
      <c r="CC25" s="2"/>
      <c r="CD25" s="2"/>
      <c r="CE25" s="2"/>
    </row>
    <row r="26" ht="12.75" hidden="1" customHeight="1">
      <c r="A26" s="126">
        <f t="shared" si="2"/>
        <v>22</v>
      </c>
      <c r="B26" s="124"/>
      <c r="C26" s="124"/>
      <c r="D26" s="124"/>
      <c r="E26" s="213">
        <f t="shared" ref="E26:F26" si="42">E25+35</f>
        <v>955</v>
      </c>
      <c r="F26" s="213">
        <f t="shared" si="42"/>
        <v>780</v>
      </c>
      <c r="G26" s="8"/>
      <c r="H26" s="126">
        <f t="shared" si="4"/>
        <v>22</v>
      </c>
      <c r="I26" s="126"/>
      <c r="J26" s="124"/>
      <c r="K26" s="124"/>
      <c r="L26" s="213">
        <f t="shared" ref="L26:M26" si="43">L25+55</f>
        <v>1210</v>
      </c>
      <c r="M26" s="213">
        <f t="shared" si="43"/>
        <v>1210</v>
      </c>
      <c r="N26" s="8" t="str">
        <f>SUM(N5:N24)</f>
        <v>#REF!</v>
      </c>
      <c r="O26" s="142"/>
      <c r="P26" s="143">
        <v>76.0</v>
      </c>
      <c r="Q26" s="152">
        <v>6.0</v>
      </c>
      <c r="R26" s="152">
        <v>3.0</v>
      </c>
      <c r="S26" s="152">
        <v>3.0</v>
      </c>
      <c r="T26" s="152">
        <v>10.0</v>
      </c>
      <c r="U26" s="152">
        <v>10.0</v>
      </c>
      <c r="V26" s="152">
        <v>5.0</v>
      </c>
      <c r="W26" s="152">
        <v>5.0</v>
      </c>
      <c r="X26" s="152">
        <v>19.0</v>
      </c>
      <c r="Y26" s="152">
        <v>5.0</v>
      </c>
      <c r="Z26" s="152">
        <v>1715.0</v>
      </c>
      <c r="AA26" s="152">
        <v>905.0</v>
      </c>
      <c r="AB26" s="152">
        <f t="shared" ref="AB26:AC26" si="44">Z26-Z25</f>
        <v>80</v>
      </c>
      <c r="AC26" s="152">
        <f t="shared" si="44"/>
        <v>50</v>
      </c>
      <c r="AD26" s="152">
        <v>955.0</v>
      </c>
      <c r="AE26" s="152">
        <v>475.0</v>
      </c>
      <c r="AF26" s="152">
        <v>1055.0</v>
      </c>
      <c r="AG26" s="152">
        <v>575.0</v>
      </c>
      <c r="AH26" s="152">
        <v>3335.0</v>
      </c>
      <c r="AI26" s="152">
        <v>1805.0</v>
      </c>
      <c r="AJ26" s="134">
        <f t="shared" si="18"/>
        <v>340</v>
      </c>
      <c r="AK26" s="572">
        <f t="shared" si="31"/>
        <v>80</v>
      </c>
      <c r="AL26" s="576">
        <v>525.0</v>
      </c>
      <c r="AM26" s="572">
        <f>695+(((P26-28)/16)*340)</f>
        <v>1715</v>
      </c>
      <c r="AN26" s="572" t="str">
        <f t="shared" si="28"/>
        <v>=76</v>
      </c>
      <c r="AO26" s="153">
        <f t="shared" si="12"/>
        <v>76</v>
      </c>
      <c r="AP26" s="134">
        <v>10.0</v>
      </c>
      <c r="AQ26" s="134">
        <v>5.0</v>
      </c>
      <c r="AR26" s="134">
        <v>5.0</v>
      </c>
      <c r="AS26" s="134">
        <f t="shared" si="13"/>
        <v>19</v>
      </c>
      <c r="AT26" s="160">
        <v>4240.0</v>
      </c>
      <c r="AU26" s="161">
        <v>1665.0</v>
      </c>
      <c r="AV26" s="134">
        <v>2280.0</v>
      </c>
      <c r="AW26" s="134">
        <v>85.0</v>
      </c>
      <c r="AX26" s="134">
        <v>2480.0</v>
      </c>
      <c r="AY26" s="134">
        <v>285.0</v>
      </c>
      <c r="AZ26" s="22">
        <v>8160.0</v>
      </c>
      <c r="BA26" s="161">
        <v>3325.0</v>
      </c>
      <c r="BB26" s="90"/>
      <c r="BC26" s="92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8" t="s">
        <v>3</v>
      </c>
      <c r="BQ26" s="8" t="s">
        <v>4</v>
      </c>
      <c r="BR26" s="1"/>
      <c r="BS26" s="1"/>
      <c r="BT26" s="1"/>
      <c r="BU26" s="1"/>
      <c r="BV26" s="1"/>
      <c r="BW26" s="1"/>
      <c r="BX26" s="8"/>
      <c r="BY26" s="8"/>
      <c r="BZ26" s="8"/>
      <c r="CA26" s="8"/>
      <c r="CB26" s="8"/>
      <c r="CC26" s="8"/>
      <c r="CD26" s="8"/>
      <c r="CE26" s="8"/>
    </row>
    <row r="27" ht="12.75" hidden="1" customHeight="1">
      <c r="A27" s="126">
        <f t="shared" si="2"/>
        <v>23</v>
      </c>
      <c r="B27" s="124"/>
      <c r="C27" s="124"/>
      <c r="D27" s="124"/>
      <c r="E27" s="213">
        <f t="shared" ref="E27:F27" si="45">E26+35</f>
        <v>990</v>
      </c>
      <c r="F27" s="213">
        <f t="shared" si="45"/>
        <v>815</v>
      </c>
      <c r="G27" s="8"/>
      <c r="H27" s="126">
        <f t="shared" si="4"/>
        <v>23</v>
      </c>
      <c r="I27" s="126"/>
      <c r="J27" s="124"/>
      <c r="K27" s="124"/>
      <c r="L27" s="213">
        <f t="shared" ref="L27:M27" si="46">L26+55</f>
        <v>1265</v>
      </c>
      <c r="M27" s="213">
        <f t="shared" si="46"/>
        <v>1265</v>
      </c>
      <c r="N27" s="1"/>
      <c r="O27" s="142"/>
      <c r="P27" s="143">
        <v>80.0</v>
      </c>
      <c r="Q27" s="152">
        <v>5.0</v>
      </c>
      <c r="R27" s="152">
        <v>3.0</v>
      </c>
      <c r="S27" s="152">
        <v>3.0</v>
      </c>
      <c r="T27" s="152">
        <v>10.0</v>
      </c>
      <c r="U27" s="152">
        <v>10.0</v>
      </c>
      <c r="V27" s="152">
        <v>5.0</v>
      </c>
      <c r="W27" s="152">
        <v>5.0</v>
      </c>
      <c r="X27" s="152">
        <v>20.0</v>
      </c>
      <c r="Y27" s="152">
        <v>5.0</v>
      </c>
      <c r="Z27" s="152">
        <v>1785.0</v>
      </c>
      <c r="AA27" s="152">
        <v>950.0</v>
      </c>
      <c r="AB27" s="152">
        <f t="shared" ref="AB27:AC27" si="47">Z27-Z26</f>
        <v>70</v>
      </c>
      <c r="AC27" s="152">
        <f t="shared" si="47"/>
        <v>45</v>
      </c>
      <c r="AD27" s="152">
        <v>955.0</v>
      </c>
      <c r="AE27" s="152">
        <v>475.0</v>
      </c>
      <c r="AF27" s="152">
        <v>1055.0</v>
      </c>
      <c r="AG27" s="152">
        <v>575.0</v>
      </c>
      <c r="AH27" s="152">
        <v>3485.0</v>
      </c>
      <c r="AI27" s="152">
        <v>1900.0</v>
      </c>
      <c r="AJ27" s="134">
        <f t="shared" si="18"/>
        <v>340</v>
      </c>
      <c r="AK27" s="572">
        <f t="shared" si="31"/>
        <v>70</v>
      </c>
      <c r="AL27" s="576">
        <v>525.0</v>
      </c>
      <c r="AM27" s="572">
        <f>765+(((P27-32)/16)*340)</f>
        <v>1785</v>
      </c>
      <c r="AN27" s="572" t="str">
        <f t="shared" si="28"/>
        <v>=80</v>
      </c>
      <c r="AO27" s="153">
        <f t="shared" si="12"/>
        <v>80</v>
      </c>
      <c r="AP27" s="134">
        <v>10.0</v>
      </c>
      <c r="AQ27" s="134">
        <v>5.0</v>
      </c>
      <c r="AR27" s="134">
        <v>5.0</v>
      </c>
      <c r="AS27" s="134">
        <f t="shared" si="13"/>
        <v>20</v>
      </c>
      <c r="AT27" s="160">
        <v>4380.0</v>
      </c>
      <c r="AU27" s="161">
        <v>1750.0</v>
      </c>
      <c r="AV27" s="160">
        <v>2280.0</v>
      </c>
      <c r="AW27" s="161">
        <v>85.0</v>
      </c>
      <c r="AX27" s="134">
        <v>2480.0</v>
      </c>
      <c r="AY27" s="134">
        <v>285.0</v>
      </c>
      <c r="AZ27" s="22">
        <v>8580.0</v>
      </c>
      <c r="BA27" s="161">
        <v>3500.0</v>
      </c>
      <c r="BB27" s="90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v>80.0</v>
      </c>
      <c r="BQ27" s="1">
        <v>30.0</v>
      </c>
      <c r="BR27" s="1"/>
      <c r="BS27" s="1"/>
      <c r="BT27" s="1"/>
      <c r="BU27" s="1"/>
      <c r="BV27" s="1"/>
      <c r="BW27" s="1"/>
      <c r="BX27" s="8"/>
      <c r="BY27" s="8"/>
      <c r="BZ27" s="8"/>
      <c r="CA27" s="8"/>
      <c r="CB27" s="8"/>
      <c r="CC27" s="8"/>
      <c r="CD27" s="8"/>
      <c r="CE27" s="1"/>
    </row>
    <row r="28" ht="12.75" hidden="1" customHeight="1">
      <c r="A28" s="126">
        <f t="shared" si="2"/>
        <v>24</v>
      </c>
      <c r="B28" s="124"/>
      <c r="C28" s="124"/>
      <c r="D28" s="124"/>
      <c r="E28" s="213">
        <f t="shared" ref="E28:F28" si="48">E27+35</f>
        <v>1025</v>
      </c>
      <c r="F28" s="213">
        <f t="shared" si="48"/>
        <v>850</v>
      </c>
      <c r="G28" s="8"/>
      <c r="H28" s="126">
        <f t="shared" si="4"/>
        <v>24</v>
      </c>
      <c r="I28" s="126"/>
      <c r="J28" s="124"/>
      <c r="K28" s="124"/>
      <c r="L28" s="213">
        <f t="shared" ref="L28:M28" si="49">L27+55</f>
        <v>1320</v>
      </c>
      <c r="M28" s="213">
        <f t="shared" si="49"/>
        <v>1320</v>
      </c>
      <c r="N28" s="1"/>
      <c r="O28" s="142"/>
      <c r="P28" s="143">
        <v>84.0</v>
      </c>
      <c r="Q28" s="152">
        <v>6.0</v>
      </c>
      <c r="R28" s="152">
        <v>4.0</v>
      </c>
      <c r="S28" s="152">
        <v>4.0</v>
      </c>
      <c r="T28" s="152">
        <v>11.0</v>
      </c>
      <c r="U28" s="152">
        <v>11.0</v>
      </c>
      <c r="V28" s="152">
        <v>6.0</v>
      </c>
      <c r="W28" s="152">
        <v>6.0</v>
      </c>
      <c r="X28" s="152">
        <v>21.0</v>
      </c>
      <c r="Y28" s="152">
        <v>5.25</v>
      </c>
      <c r="Z28" s="152">
        <v>1885.0</v>
      </c>
      <c r="AA28" s="215">
        <v>1000.0</v>
      </c>
      <c r="AB28" s="152">
        <f t="shared" ref="AB28:AC28" si="50">Z28-Z27</f>
        <v>100</v>
      </c>
      <c r="AC28" s="152">
        <f t="shared" si="50"/>
        <v>50</v>
      </c>
      <c r="AD28" s="152">
        <v>1035.0</v>
      </c>
      <c r="AE28" s="152">
        <v>525.0</v>
      </c>
      <c r="AF28" s="152">
        <v>1155.0</v>
      </c>
      <c r="AG28" s="152">
        <v>645.0</v>
      </c>
      <c r="AH28" s="152">
        <v>3675.0</v>
      </c>
      <c r="AI28" s="152">
        <v>1995.0</v>
      </c>
      <c r="AJ28" s="134">
        <f t="shared" si="18"/>
        <v>340</v>
      </c>
      <c r="AK28" s="572">
        <f t="shared" si="31"/>
        <v>100</v>
      </c>
      <c r="AL28" s="576">
        <v>525.0</v>
      </c>
      <c r="AM28" s="572">
        <f t="shared" ref="AM28:AM186" si="54">Z28/P28</f>
        <v>22.44047619</v>
      </c>
      <c r="AN28" s="572" t="str">
        <f t="shared" si="28"/>
        <v>=84</v>
      </c>
      <c r="AO28" s="153">
        <f t="shared" si="12"/>
        <v>84</v>
      </c>
      <c r="AP28" s="134">
        <v>11.0</v>
      </c>
      <c r="AQ28" s="134">
        <v>6.0</v>
      </c>
      <c r="AR28" s="134">
        <v>6.0</v>
      </c>
      <c r="AS28" s="134">
        <f t="shared" si="13"/>
        <v>21</v>
      </c>
      <c r="AT28" s="160">
        <v>4660.0</v>
      </c>
      <c r="AU28" s="161">
        <v>1840.0</v>
      </c>
      <c r="AV28" s="134">
        <v>2560.0</v>
      </c>
      <c r="AW28" s="134">
        <v>965.0</v>
      </c>
      <c r="AX28" s="134">
        <v>2780.0</v>
      </c>
      <c r="AY28" s="134">
        <v>1185.0</v>
      </c>
      <c r="AZ28" s="22">
        <v>9000.0</v>
      </c>
      <c r="BA28" s="161">
        <v>3675.0</v>
      </c>
      <c r="BB28" s="90"/>
      <c r="BC28" s="187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8"/>
      <c r="BY28" s="8"/>
      <c r="BZ28" s="8"/>
      <c r="CA28" s="8"/>
      <c r="CB28" s="8"/>
      <c r="CC28" s="8"/>
      <c r="CD28" s="8"/>
      <c r="CE28" s="1"/>
    </row>
    <row r="29" ht="12.75" customHeight="1">
      <c r="A29" s="126">
        <f t="shared" si="2"/>
        <v>25</v>
      </c>
      <c r="B29" s="124"/>
      <c r="C29" s="124"/>
      <c r="D29" s="124"/>
      <c r="E29" s="213">
        <f t="shared" ref="E29:F29" si="51">E28+35</f>
        <v>1060</v>
      </c>
      <c r="F29" s="213">
        <f t="shared" si="51"/>
        <v>885</v>
      </c>
      <c r="G29" s="8"/>
      <c r="H29" s="126">
        <f t="shared" si="4"/>
        <v>25</v>
      </c>
      <c r="I29" s="126"/>
      <c r="J29" s="124"/>
      <c r="K29" s="124"/>
      <c r="L29" s="213">
        <f t="shared" ref="L29:M29" si="52">L28+55</f>
        <v>1375</v>
      </c>
      <c r="M29" s="213">
        <f t="shared" si="52"/>
        <v>1375</v>
      </c>
      <c r="N29" s="1"/>
      <c r="O29" s="1"/>
      <c r="P29" s="143">
        <v>88.0</v>
      </c>
      <c r="Q29" s="152">
        <v>6.0</v>
      </c>
      <c r="R29" s="152">
        <v>4.0</v>
      </c>
      <c r="S29" s="152">
        <v>4.0</v>
      </c>
      <c r="T29" s="152">
        <v>11.0</v>
      </c>
      <c r="U29" s="152">
        <v>11.0</v>
      </c>
      <c r="V29" s="152">
        <v>6.0</v>
      </c>
      <c r="W29" s="152">
        <v>6.0</v>
      </c>
      <c r="X29" s="152">
        <v>22.0</v>
      </c>
      <c r="Y29" s="152">
        <v>5.5</v>
      </c>
      <c r="Z29" s="152">
        <v>1975.0</v>
      </c>
      <c r="AA29" s="152">
        <v>1045.0</v>
      </c>
      <c r="AB29" s="152">
        <f t="shared" ref="AB29:AC29" si="53">Z29-Z28</f>
        <v>90</v>
      </c>
      <c r="AC29" s="152">
        <f t="shared" si="53"/>
        <v>45</v>
      </c>
      <c r="AD29" s="152">
        <v>1035.0</v>
      </c>
      <c r="AE29" s="152">
        <v>525.0</v>
      </c>
      <c r="AF29" s="152">
        <v>1155.0</v>
      </c>
      <c r="AG29" s="152">
        <v>645.0</v>
      </c>
      <c r="AH29" s="152">
        <v>3825.0</v>
      </c>
      <c r="AI29" s="152">
        <v>2090.0</v>
      </c>
      <c r="AJ29" s="134">
        <f t="shared" si="18"/>
        <v>340</v>
      </c>
      <c r="AK29" s="572">
        <f t="shared" si="31"/>
        <v>90</v>
      </c>
      <c r="AL29" s="576">
        <v>525.0</v>
      </c>
      <c r="AM29" s="572">
        <f t="shared" si="54"/>
        <v>22.44318182</v>
      </c>
      <c r="AN29" s="572" t="str">
        <f t="shared" si="28"/>
        <v>=88</v>
      </c>
      <c r="AO29" s="153">
        <f t="shared" si="12"/>
        <v>88</v>
      </c>
      <c r="AP29" s="134">
        <v>11.0</v>
      </c>
      <c r="AQ29" s="134">
        <v>6.0</v>
      </c>
      <c r="AR29" s="134">
        <v>6.0</v>
      </c>
      <c r="AS29" s="134">
        <f t="shared" si="13"/>
        <v>22</v>
      </c>
      <c r="AT29" s="160">
        <v>4800.0</v>
      </c>
      <c r="AU29" s="161">
        <v>1925.0</v>
      </c>
      <c r="AV29" s="160">
        <v>2560.0</v>
      </c>
      <c r="AW29" s="161">
        <v>965.0</v>
      </c>
      <c r="AX29" s="134">
        <v>2780.0</v>
      </c>
      <c r="AY29" s="134">
        <v>1185.0</v>
      </c>
      <c r="AZ29" s="22">
        <v>9420.0</v>
      </c>
      <c r="BA29" s="161">
        <v>3850.0</v>
      </c>
      <c r="BB29" s="90"/>
      <c r="BC29" s="216"/>
      <c r="BD29" s="103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8"/>
      <c r="BY29" s="8"/>
      <c r="BZ29" s="8"/>
      <c r="CA29" s="8"/>
      <c r="CB29" s="8"/>
      <c r="CC29" s="8"/>
      <c r="CD29" s="8"/>
      <c r="CE29" s="1"/>
    </row>
    <row r="30" ht="12.75" hidden="1" customHeight="1">
      <c r="A30" s="126">
        <f t="shared" si="2"/>
        <v>26</v>
      </c>
      <c r="B30" s="124"/>
      <c r="C30" s="124"/>
      <c r="D30" s="124"/>
      <c r="E30" s="213">
        <f t="shared" ref="E30:F30" si="55">E29+35</f>
        <v>1095</v>
      </c>
      <c r="F30" s="213">
        <f t="shared" si="55"/>
        <v>920</v>
      </c>
      <c r="G30" s="8"/>
      <c r="H30" s="126">
        <f t="shared" si="4"/>
        <v>26</v>
      </c>
      <c r="I30" s="126"/>
      <c r="J30" s="124"/>
      <c r="K30" s="124"/>
      <c r="L30" s="213">
        <f t="shared" ref="L30:M30" si="56">L29+55</f>
        <v>1430</v>
      </c>
      <c r="M30" s="213">
        <f t="shared" si="56"/>
        <v>1430</v>
      </c>
      <c r="N30" s="1"/>
      <c r="O30" s="1"/>
      <c r="P30" s="143">
        <v>92.0</v>
      </c>
      <c r="Q30" s="152">
        <v>7.0</v>
      </c>
      <c r="R30" s="152">
        <v>3.0</v>
      </c>
      <c r="S30" s="152">
        <v>3.0</v>
      </c>
      <c r="T30" s="152">
        <v>12.0</v>
      </c>
      <c r="U30" s="152">
        <v>12.0</v>
      </c>
      <c r="V30" s="152">
        <v>6.0</v>
      </c>
      <c r="W30" s="152">
        <v>6.0</v>
      </c>
      <c r="X30" s="152">
        <v>23.0</v>
      </c>
      <c r="Y30" s="152">
        <v>6.0</v>
      </c>
      <c r="Z30" s="152">
        <v>2055.0</v>
      </c>
      <c r="AA30" s="152">
        <v>1095.0</v>
      </c>
      <c r="AB30" s="152">
        <f t="shared" ref="AB30:AC30" si="57">Z30-Z29</f>
        <v>80</v>
      </c>
      <c r="AC30" s="152">
        <f t="shared" si="57"/>
        <v>50</v>
      </c>
      <c r="AD30" s="152">
        <v>1105.0</v>
      </c>
      <c r="AE30" s="152">
        <v>570.0</v>
      </c>
      <c r="AF30" s="152">
        <v>1225.0</v>
      </c>
      <c r="AG30" s="152">
        <v>690.0</v>
      </c>
      <c r="AH30" s="152">
        <v>4015.0</v>
      </c>
      <c r="AI30" s="152">
        <v>2185.0</v>
      </c>
      <c r="AJ30" s="134">
        <f t="shared" si="18"/>
        <v>340</v>
      </c>
      <c r="AK30" s="572">
        <f t="shared" si="31"/>
        <v>80</v>
      </c>
      <c r="AL30" s="576">
        <v>525.0</v>
      </c>
      <c r="AM30" s="572">
        <f t="shared" si="54"/>
        <v>22.33695652</v>
      </c>
      <c r="AN30" s="572" t="str">
        <f t="shared" si="28"/>
        <v>=92</v>
      </c>
      <c r="AO30" s="153">
        <f t="shared" si="12"/>
        <v>92</v>
      </c>
      <c r="AP30" s="134">
        <v>12.0</v>
      </c>
      <c r="AQ30" s="134">
        <v>6.0</v>
      </c>
      <c r="AR30" s="134">
        <v>6.0</v>
      </c>
      <c r="AS30" s="134">
        <f t="shared" si="13"/>
        <v>23</v>
      </c>
      <c r="AT30" s="160">
        <v>5080.0</v>
      </c>
      <c r="AU30" s="161">
        <v>2015.0</v>
      </c>
      <c r="AV30" s="134">
        <v>2700.0</v>
      </c>
      <c r="AW30" s="134">
        <v>1050.0</v>
      </c>
      <c r="AX30" s="134">
        <v>2940.0</v>
      </c>
      <c r="AY30" s="134">
        <v>1290.0</v>
      </c>
      <c r="AZ30" s="22">
        <v>9840.0</v>
      </c>
      <c r="BA30" s="161">
        <v>4025.0</v>
      </c>
      <c r="BB30" s="90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8"/>
      <c r="BY30" s="8"/>
      <c r="BZ30" s="8"/>
      <c r="CA30" s="8"/>
      <c r="CB30" s="8"/>
      <c r="CC30" s="8"/>
      <c r="CD30" s="8"/>
      <c r="CE30" s="1"/>
    </row>
    <row r="31" ht="15.75" hidden="1" customHeight="1">
      <c r="A31" s="126">
        <f t="shared" si="2"/>
        <v>27</v>
      </c>
      <c r="B31" s="124"/>
      <c r="C31" s="124"/>
      <c r="D31" s="124"/>
      <c r="E31" s="213">
        <f t="shared" ref="E31:F31" si="58">E30+35</f>
        <v>1130</v>
      </c>
      <c r="F31" s="213">
        <f t="shared" si="58"/>
        <v>955</v>
      </c>
      <c r="G31" s="8"/>
      <c r="H31" s="126">
        <f t="shared" si="4"/>
        <v>27</v>
      </c>
      <c r="I31" s="126"/>
      <c r="J31" s="124"/>
      <c r="K31" s="124"/>
      <c r="L31" s="213">
        <f t="shared" ref="L31:M31" si="59">L30+55</f>
        <v>1485</v>
      </c>
      <c r="M31" s="213">
        <f t="shared" si="59"/>
        <v>1485</v>
      </c>
      <c r="N31" s="1"/>
      <c r="O31" s="1"/>
      <c r="P31" s="143">
        <v>96.0</v>
      </c>
      <c r="Q31" s="152">
        <v>6.0</v>
      </c>
      <c r="R31" s="152">
        <v>3.0</v>
      </c>
      <c r="S31" s="152">
        <v>3.0</v>
      </c>
      <c r="T31" s="152">
        <v>12.0</v>
      </c>
      <c r="U31" s="152">
        <v>12.0</v>
      </c>
      <c r="V31" s="152">
        <v>6.0</v>
      </c>
      <c r="W31" s="152">
        <v>6.0</v>
      </c>
      <c r="X31" s="152">
        <v>24.0</v>
      </c>
      <c r="Y31" s="152">
        <v>6.0</v>
      </c>
      <c r="Z31" s="152">
        <v>2125.0</v>
      </c>
      <c r="AA31" s="152">
        <v>1140.0</v>
      </c>
      <c r="AB31" s="152">
        <f t="shared" ref="AB31:AC31" si="60">Z31-Z30</f>
        <v>70</v>
      </c>
      <c r="AC31" s="152">
        <f t="shared" si="60"/>
        <v>45</v>
      </c>
      <c r="AD31" s="152">
        <v>1105.0</v>
      </c>
      <c r="AE31" s="152">
        <v>570.0</v>
      </c>
      <c r="AF31" s="152">
        <v>1225.0</v>
      </c>
      <c r="AG31" s="152">
        <v>690.0</v>
      </c>
      <c r="AH31" s="152">
        <v>4165.0</v>
      </c>
      <c r="AI31" s="152">
        <v>2280.0</v>
      </c>
      <c r="AJ31" s="134">
        <f t="shared" si="18"/>
        <v>340</v>
      </c>
      <c r="AK31" s="572">
        <f t="shared" si="31"/>
        <v>70</v>
      </c>
      <c r="AL31" s="576">
        <v>525.0</v>
      </c>
      <c r="AM31" s="572">
        <f t="shared" si="54"/>
        <v>22.13541667</v>
      </c>
      <c r="AN31" s="572" t="str">
        <f t="shared" si="28"/>
        <v>=96</v>
      </c>
      <c r="AO31" s="153">
        <f t="shared" si="12"/>
        <v>96</v>
      </c>
      <c r="AP31" s="134">
        <v>12.0</v>
      </c>
      <c r="AQ31" s="134">
        <v>6.0</v>
      </c>
      <c r="AR31" s="134">
        <v>6.0</v>
      </c>
      <c r="AS31" s="134">
        <f t="shared" si="13"/>
        <v>24</v>
      </c>
      <c r="AT31" s="160">
        <v>5220.0</v>
      </c>
      <c r="AU31" s="161">
        <v>2100.0</v>
      </c>
      <c r="AV31" s="160">
        <v>2700.0</v>
      </c>
      <c r="AW31" s="161">
        <v>1050.0</v>
      </c>
      <c r="AX31" s="134">
        <v>2940.0</v>
      </c>
      <c r="AY31" s="134">
        <v>1290.0</v>
      </c>
      <c r="AZ31" s="22">
        <v>10260.0</v>
      </c>
      <c r="BA31" s="161">
        <v>4200.0</v>
      </c>
      <c r="BB31" s="90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8"/>
      <c r="BY31" s="8"/>
      <c r="BZ31" s="8"/>
      <c r="CA31" s="8"/>
      <c r="CB31" s="8"/>
      <c r="CC31" s="8"/>
      <c r="CD31" s="8"/>
      <c r="CE31" s="1"/>
    </row>
    <row r="32" ht="13.5" hidden="1" customHeight="1">
      <c r="A32" s="126">
        <f t="shared" si="2"/>
        <v>28</v>
      </c>
      <c r="B32" s="124"/>
      <c r="C32" s="124"/>
      <c r="D32" s="124"/>
      <c r="E32" s="213">
        <f t="shared" ref="E32:F32" si="61">E31+35</f>
        <v>1165</v>
      </c>
      <c r="F32" s="213">
        <f t="shared" si="61"/>
        <v>990</v>
      </c>
      <c r="G32" s="8"/>
      <c r="H32" s="126">
        <f t="shared" si="4"/>
        <v>28</v>
      </c>
      <c r="I32" s="126"/>
      <c r="J32" s="124"/>
      <c r="K32" s="124"/>
      <c r="L32" s="213">
        <f t="shared" ref="L32:M32" si="62">L31+55</f>
        <v>1540</v>
      </c>
      <c r="M32" s="213">
        <f t="shared" si="62"/>
        <v>1540</v>
      </c>
      <c r="N32" s="1"/>
      <c r="O32" s="1"/>
      <c r="P32" s="143">
        <v>100.0</v>
      </c>
      <c r="Q32" s="152">
        <v>7.0</v>
      </c>
      <c r="R32" s="152">
        <v>4.0</v>
      </c>
      <c r="S32" s="152">
        <v>4.0</v>
      </c>
      <c r="T32" s="152">
        <v>13.0</v>
      </c>
      <c r="U32" s="152">
        <v>13.0</v>
      </c>
      <c r="V32" s="152">
        <v>7.0</v>
      </c>
      <c r="W32" s="152">
        <v>7.0</v>
      </c>
      <c r="X32" s="152">
        <v>25.0</v>
      </c>
      <c r="Y32" s="152">
        <v>6.25</v>
      </c>
      <c r="Z32" s="152">
        <v>2225.0</v>
      </c>
      <c r="AA32" s="152">
        <v>1190.0</v>
      </c>
      <c r="AB32" s="152">
        <f t="shared" ref="AB32:AC32" si="63">Z32-Z31</f>
        <v>100</v>
      </c>
      <c r="AC32" s="152">
        <f t="shared" si="63"/>
        <v>50</v>
      </c>
      <c r="AD32" s="152">
        <v>1205.0</v>
      </c>
      <c r="AE32" s="152">
        <v>620.0</v>
      </c>
      <c r="AF32" s="152">
        <v>1345.0</v>
      </c>
      <c r="AG32" s="152">
        <v>760.0</v>
      </c>
      <c r="AH32" s="152">
        <v>4355.0</v>
      </c>
      <c r="AI32" s="152">
        <v>2375.0</v>
      </c>
      <c r="AJ32" s="134">
        <f t="shared" si="18"/>
        <v>340</v>
      </c>
      <c r="AK32" s="572">
        <f t="shared" si="31"/>
        <v>100</v>
      </c>
      <c r="AL32" s="576">
        <v>525.0</v>
      </c>
      <c r="AM32" s="572">
        <f t="shared" si="54"/>
        <v>22.25</v>
      </c>
      <c r="AN32" s="572" t="str">
        <f t="shared" si="28"/>
        <v>=100</v>
      </c>
      <c r="AO32" s="153">
        <f t="shared" si="12"/>
        <v>100</v>
      </c>
      <c r="AP32" s="134">
        <v>13.0</v>
      </c>
      <c r="AQ32" s="134">
        <v>7.0</v>
      </c>
      <c r="AR32" s="134">
        <v>7.0</v>
      </c>
      <c r="AS32" s="134">
        <f t="shared" si="13"/>
        <v>25</v>
      </c>
      <c r="AT32" s="160">
        <v>5500.0</v>
      </c>
      <c r="AU32" s="161">
        <v>2190.0</v>
      </c>
      <c r="AV32" s="134">
        <v>2980.0</v>
      </c>
      <c r="AW32" s="134">
        <v>1140.0</v>
      </c>
      <c r="AX32" s="134">
        <v>3240.0</v>
      </c>
      <c r="AY32" s="134">
        <v>1400.0</v>
      </c>
      <c r="AZ32" s="22">
        <v>10680.0</v>
      </c>
      <c r="BA32" s="161">
        <v>4375.0</v>
      </c>
      <c r="BB32" s="90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8"/>
      <c r="BY32" s="8"/>
      <c r="BZ32" s="8"/>
      <c r="CA32" s="8"/>
      <c r="CB32" s="8"/>
      <c r="CC32" s="8"/>
      <c r="CD32" s="8"/>
      <c r="CE32" s="1"/>
    </row>
    <row r="33" ht="12.75" customHeight="1">
      <c r="A33" s="126">
        <f t="shared" si="2"/>
        <v>29</v>
      </c>
      <c r="B33" s="124"/>
      <c r="C33" s="124"/>
      <c r="D33" s="124"/>
      <c r="E33" s="213">
        <f t="shared" ref="E33:F33" si="64">E32+35</f>
        <v>1200</v>
      </c>
      <c r="F33" s="213">
        <f t="shared" si="64"/>
        <v>1025</v>
      </c>
      <c r="G33" s="8"/>
      <c r="H33" s="126">
        <f t="shared" si="4"/>
        <v>29</v>
      </c>
      <c r="I33" s="126"/>
      <c r="J33" s="124"/>
      <c r="K33" s="124"/>
      <c r="L33" s="213">
        <f t="shared" ref="L33:M33" si="65">L32+55</f>
        <v>1595</v>
      </c>
      <c r="M33" s="213">
        <f t="shared" si="65"/>
        <v>1595</v>
      </c>
      <c r="N33" s="1"/>
      <c r="O33" s="1"/>
      <c r="P33" s="143">
        <v>104.0</v>
      </c>
      <c r="Q33" s="152">
        <v>7.0</v>
      </c>
      <c r="R33" s="152">
        <v>4.0</v>
      </c>
      <c r="S33" s="152">
        <v>4.0</v>
      </c>
      <c r="T33" s="152">
        <v>13.0</v>
      </c>
      <c r="U33" s="152">
        <v>13.0</v>
      </c>
      <c r="V33" s="152">
        <v>7.0</v>
      </c>
      <c r="W33" s="152">
        <v>7.0</v>
      </c>
      <c r="X33" s="152">
        <v>26.0</v>
      </c>
      <c r="Y33" s="152">
        <v>6.5</v>
      </c>
      <c r="Z33" s="152">
        <v>2315.0</v>
      </c>
      <c r="AA33" s="152">
        <v>1235.0</v>
      </c>
      <c r="AB33" s="152">
        <f t="shared" ref="AB33:AC33" si="66">Z33-Z32</f>
        <v>90</v>
      </c>
      <c r="AC33" s="152">
        <f t="shared" si="66"/>
        <v>45</v>
      </c>
      <c r="AD33" s="152">
        <v>1205.0</v>
      </c>
      <c r="AE33" s="152">
        <v>620.0</v>
      </c>
      <c r="AF33" s="152">
        <v>1345.0</v>
      </c>
      <c r="AG33" s="152">
        <v>760.0</v>
      </c>
      <c r="AH33" s="217">
        <v>4505.0</v>
      </c>
      <c r="AI33" s="217">
        <v>2470.0</v>
      </c>
      <c r="AJ33" s="134">
        <f t="shared" si="18"/>
        <v>340</v>
      </c>
      <c r="AK33" s="572">
        <f t="shared" si="31"/>
        <v>90</v>
      </c>
      <c r="AL33" s="576">
        <v>525.0</v>
      </c>
      <c r="AM33" s="572">
        <f t="shared" si="54"/>
        <v>22.25961538</v>
      </c>
      <c r="AN33" s="572" t="str">
        <f t="shared" si="28"/>
        <v>=104</v>
      </c>
      <c r="AO33" s="218">
        <f t="shared" si="12"/>
        <v>104</v>
      </c>
      <c r="AP33" s="219">
        <v>13.0</v>
      </c>
      <c r="AQ33" s="134">
        <v>7.0</v>
      </c>
      <c r="AR33" s="134">
        <v>7.0</v>
      </c>
      <c r="AS33" s="134">
        <f t="shared" si="13"/>
        <v>26</v>
      </c>
      <c r="AT33" s="182">
        <v>5640.0</v>
      </c>
      <c r="AU33" s="161">
        <v>2275.0</v>
      </c>
      <c r="AV33" s="160">
        <v>2980.0</v>
      </c>
      <c r="AW33" s="161">
        <v>1140.0</v>
      </c>
      <c r="AX33" s="134">
        <v>3240.0</v>
      </c>
      <c r="AY33" s="134">
        <v>1400.0</v>
      </c>
      <c r="AZ33" s="22">
        <v>11100.0</v>
      </c>
      <c r="BA33" s="161">
        <v>4550.0</v>
      </c>
      <c r="BB33" s="90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8"/>
      <c r="BY33" s="8"/>
      <c r="BZ33" s="8"/>
      <c r="CA33" s="8"/>
      <c r="CB33" s="8"/>
      <c r="CC33" s="8"/>
      <c r="CD33" s="8"/>
      <c r="CE33" s="1"/>
    </row>
    <row r="34" ht="12.75" hidden="1" customHeight="1">
      <c r="A34" s="126">
        <f t="shared" si="2"/>
        <v>30</v>
      </c>
      <c r="B34" s="124"/>
      <c r="C34" s="124"/>
      <c r="D34" s="124"/>
      <c r="E34" s="213">
        <f t="shared" ref="E34:F34" si="67">E33+35</f>
        <v>1235</v>
      </c>
      <c r="F34" s="213">
        <f t="shared" si="67"/>
        <v>1060</v>
      </c>
      <c r="G34" s="8"/>
      <c r="H34" s="126">
        <f t="shared" si="4"/>
        <v>30</v>
      </c>
      <c r="I34" s="126"/>
      <c r="J34" s="124"/>
      <c r="K34" s="124"/>
      <c r="L34" s="213">
        <f t="shared" ref="L34:M34" si="68">L33+55</f>
        <v>1650</v>
      </c>
      <c r="M34" s="213">
        <f t="shared" si="68"/>
        <v>1650</v>
      </c>
      <c r="N34" s="1"/>
      <c r="O34" s="1"/>
      <c r="P34" s="143">
        <v>108.0</v>
      </c>
      <c r="Q34" s="152">
        <v>8.0</v>
      </c>
      <c r="R34" s="152">
        <v>4.0</v>
      </c>
      <c r="S34" s="152">
        <v>4.0</v>
      </c>
      <c r="T34" s="152">
        <v>14.0</v>
      </c>
      <c r="U34" s="152">
        <v>14.0</v>
      </c>
      <c r="V34" s="152">
        <v>7.0</v>
      </c>
      <c r="W34" s="152">
        <v>7.0</v>
      </c>
      <c r="X34" s="152">
        <v>27.0</v>
      </c>
      <c r="Y34" s="152">
        <v>7.0</v>
      </c>
      <c r="Z34" s="152">
        <v>2395.0</v>
      </c>
      <c r="AA34" s="152">
        <v>1285.0</v>
      </c>
      <c r="AB34" s="152">
        <f t="shared" ref="AB34:AC34" si="69">Z34-Z33</f>
        <v>80</v>
      </c>
      <c r="AC34" s="152">
        <f t="shared" si="69"/>
        <v>50</v>
      </c>
      <c r="AD34" s="152">
        <v>1295.0</v>
      </c>
      <c r="AE34" s="152">
        <v>665.0</v>
      </c>
      <c r="AF34" s="152">
        <v>1435.0</v>
      </c>
      <c r="AG34" s="152">
        <v>805.0</v>
      </c>
      <c r="AH34" s="217">
        <v>4695.0</v>
      </c>
      <c r="AI34" s="217">
        <v>2565.0</v>
      </c>
      <c r="AJ34" s="134">
        <f t="shared" si="18"/>
        <v>340</v>
      </c>
      <c r="AK34" s="572">
        <f t="shared" si="31"/>
        <v>80</v>
      </c>
      <c r="AL34" s="576">
        <v>525.0</v>
      </c>
      <c r="AM34" s="572">
        <f t="shared" si="54"/>
        <v>22.17592593</v>
      </c>
      <c r="AN34" s="572" t="str">
        <f t="shared" si="28"/>
        <v>=108</v>
      </c>
      <c r="AO34" s="153">
        <f t="shared" si="12"/>
        <v>108</v>
      </c>
      <c r="AP34" s="22">
        <v>14.0</v>
      </c>
      <c r="AQ34" s="134">
        <v>7.0</v>
      </c>
      <c r="AR34" s="134">
        <v>7.0</v>
      </c>
      <c r="AS34" s="134">
        <f t="shared" si="13"/>
        <v>27</v>
      </c>
      <c r="AT34" s="22">
        <v>5920.0</v>
      </c>
      <c r="AU34" s="161">
        <v>2365.0</v>
      </c>
      <c r="AV34" s="134">
        <v>3120.0</v>
      </c>
      <c r="AW34" s="134">
        <v>1225.0</v>
      </c>
      <c r="AX34" s="134">
        <v>3400.0</v>
      </c>
      <c r="AY34" s="134">
        <v>1505.0</v>
      </c>
      <c r="AZ34" s="22">
        <v>11520.0</v>
      </c>
      <c r="BA34" s="161">
        <v>4725.0</v>
      </c>
      <c r="BB34" s="90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8"/>
      <c r="BY34" s="8"/>
      <c r="BZ34" s="8"/>
      <c r="CA34" s="8"/>
      <c r="CB34" s="8"/>
      <c r="CC34" s="8"/>
      <c r="CD34" s="8"/>
      <c r="CE34" s="1"/>
    </row>
    <row r="35" ht="12.75" hidden="1" customHeight="1">
      <c r="A35" s="126">
        <f t="shared" si="2"/>
        <v>31</v>
      </c>
      <c r="B35" s="124"/>
      <c r="C35" s="124"/>
      <c r="D35" s="124"/>
      <c r="E35" s="213">
        <f t="shared" ref="E35:F35" si="70">E34+35</f>
        <v>1270</v>
      </c>
      <c r="F35" s="213">
        <f t="shared" si="70"/>
        <v>1095</v>
      </c>
      <c r="G35" s="8"/>
      <c r="H35" s="126">
        <f t="shared" si="4"/>
        <v>31</v>
      </c>
      <c r="I35" s="126"/>
      <c r="J35" s="124"/>
      <c r="K35" s="124"/>
      <c r="L35" s="213">
        <f t="shared" ref="L35:M35" si="71">L34+55</f>
        <v>1705</v>
      </c>
      <c r="M35" s="213">
        <f t="shared" si="71"/>
        <v>1705</v>
      </c>
      <c r="N35" s="1"/>
      <c r="O35" s="1"/>
      <c r="P35" s="143">
        <v>112.0</v>
      </c>
      <c r="Q35" s="152">
        <v>7.0</v>
      </c>
      <c r="R35" s="152">
        <v>4.0</v>
      </c>
      <c r="S35" s="152">
        <v>4.0</v>
      </c>
      <c r="T35" s="152">
        <v>14.0</v>
      </c>
      <c r="U35" s="152">
        <v>14.0</v>
      </c>
      <c r="V35" s="152">
        <v>7.0</v>
      </c>
      <c r="W35" s="152">
        <v>7.0</v>
      </c>
      <c r="X35" s="152">
        <v>28.0</v>
      </c>
      <c r="Y35" s="152">
        <v>7.0</v>
      </c>
      <c r="Z35" s="152">
        <v>2465.0</v>
      </c>
      <c r="AA35" s="152">
        <v>1330.0</v>
      </c>
      <c r="AB35" s="152">
        <f t="shared" ref="AB35:AC35" si="72">Z35-Z34</f>
        <v>70</v>
      </c>
      <c r="AC35" s="152">
        <f t="shared" si="72"/>
        <v>45</v>
      </c>
      <c r="AD35" s="152">
        <v>1295.0</v>
      </c>
      <c r="AE35" s="152">
        <v>665.0</v>
      </c>
      <c r="AF35" s="152">
        <v>1435.0</v>
      </c>
      <c r="AG35" s="152">
        <v>805.0</v>
      </c>
      <c r="AH35" s="217">
        <v>4845.0</v>
      </c>
      <c r="AI35" s="217">
        <v>2660.0</v>
      </c>
      <c r="AJ35" s="134">
        <f t="shared" si="18"/>
        <v>340</v>
      </c>
      <c r="AK35" s="572">
        <f t="shared" si="31"/>
        <v>70</v>
      </c>
      <c r="AL35" s="576">
        <v>525.0</v>
      </c>
      <c r="AM35" s="572">
        <f t="shared" si="54"/>
        <v>22.00892857</v>
      </c>
      <c r="AN35" s="572" t="str">
        <f t="shared" si="28"/>
        <v>=112</v>
      </c>
      <c r="AO35" s="153">
        <f t="shared" si="12"/>
        <v>112</v>
      </c>
      <c r="AP35" s="22">
        <v>14.0</v>
      </c>
      <c r="AQ35" s="134">
        <v>7.0</v>
      </c>
      <c r="AR35" s="134">
        <v>7.0</v>
      </c>
      <c r="AS35" s="134">
        <f t="shared" si="13"/>
        <v>28</v>
      </c>
      <c r="AT35" s="22">
        <v>6060.0</v>
      </c>
      <c r="AU35" s="161">
        <v>2450.0</v>
      </c>
      <c r="AV35" s="160">
        <v>3120.0</v>
      </c>
      <c r="AW35" s="161">
        <v>1225.0</v>
      </c>
      <c r="AX35" s="134">
        <v>3400.0</v>
      </c>
      <c r="AY35" s="134">
        <v>1505.0</v>
      </c>
      <c r="AZ35" s="22">
        <v>11940.0</v>
      </c>
      <c r="BA35" s="161">
        <v>4900.0</v>
      </c>
      <c r="BB35" s="90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8"/>
      <c r="BY35" s="8"/>
      <c r="BZ35" s="8"/>
      <c r="CA35" s="8"/>
      <c r="CB35" s="8"/>
      <c r="CC35" s="8"/>
      <c r="CD35" s="8"/>
      <c r="CE35" s="1"/>
    </row>
    <row r="36" ht="12.75" hidden="1" customHeight="1">
      <c r="A36" s="126">
        <f t="shared" si="2"/>
        <v>32</v>
      </c>
      <c r="B36" s="124"/>
      <c r="C36" s="124"/>
      <c r="D36" s="124"/>
      <c r="E36" s="213">
        <f t="shared" ref="E36:F36" si="73">E35+35</f>
        <v>1305</v>
      </c>
      <c r="F36" s="213">
        <f t="shared" si="73"/>
        <v>1130</v>
      </c>
      <c r="G36" s="8"/>
      <c r="H36" s="126">
        <f t="shared" si="4"/>
        <v>32</v>
      </c>
      <c r="I36" s="126"/>
      <c r="J36" s="124"/>
      <c r="K36" s="124"/>
      <c r="L36" s="213">
        <f t="shared" ref="L36:M36" si="74">L35+55</f>
        <v>1760</v>
      </c>
      <c r="M36" s="213">
        <f t="shared" si="74"/>
        <v>1760</v>
      </c>
      <c r="N36" s="1"/>
      <c r="O36" s="1"/>
      <c r="P36" s="143">
        <v>116.0</v>
      </c>
      <c r="Q36" s="152">
        <v>8.0</v>
      </c>
      <c r="R36" s="152">
        <v>5.0</v>
      </c>
      <c r="S36" s="152">
        <v>5.0</v>
      </c>
      <c r="T36" s="152">
        <v>15.0</v>
      </c>
      <c r="U36" s="152">
        <v>15.0</v>
      </c>
      <c r="V36" s="152">
        <v>8.0</v>
      </c>
      <c r="W36" s="152">
        <v>8.0</v>
      </c>
      <c r="X36" s="152">
        <v>29.0</v>
      </c>
      <c r="Y36" s="152">
        <v>7.25</v>
      </c>
      <c r="Z36" s="152">
        <v>2565.0</v>
      </c>
      <c r="AA36" s="152">
        <v>1380.0</v>
      </c>
      <c r="AB36" s="152">
        <f t="shared" ref="AB36:AC36" si="75">Z36-Z35</f>
        <v>100</v>
      </c>
      <c r="AC36" s="152">
        <f t="shared" si="75"/>
        <v>50</v>
      </c>
      <c r="AD36" s="152">
        <v>1375.0</v>
      </c>
      <c r="AE36" s="152">
        <v>715.0</v>
      </c>
      <c r="AF36" s="152">
        <v>1535.0</v>
      </c>
      <c r="AG36" s="152">
        <v>875.0</v>
      </c>
      <c r="AH36" s="217">
        <v>5035.0</v>
      </c>
      <c r="AI36" s="217">
        <v>2755.0</v>
      </c>
      <c r="AJ36" s="134">
        <f t="shared" si="18"/>
        <v>340</v>
      </c>
      <c r="AK36" s="572">
        <f t="shared" si="31"/>
        <v>100</v>
      </c>
      <c r="AL36" s="576">
        <v>525.0</v>
      </c>
      <c r="AM36" s="572">
        <f t="shared" si="54"/>
        <v>22.11206897</v>
      </c>
      <c r="AN36" s="572" t="str">
        <f t="shared" si="28"/>
        <v>=116</v>
      </c>
      <c r="AO36" s="153">
        <f t="shared" si="12"/>
        <v>116</v>
      </c>
      <c r="AP36" s="22">
        <v>15.0</v>
      </c>
      <c r="AQ36" s="134">
        <v>8.0</v>
      </c>
      <c r="AR36" s="134">
        <v>8.0</v>
      </c>
      <c r="AS36" s="134">
        <f t="shared" si="13"/>
        <v>29</v>
      </c>
      <c r="AT36" s="22">
        <v>6340.0</v>
      </c>
      <c r="AU36" s="161">
        <v>2540.0</v>
      </c>
      <c r="AV36" s="134">
        <v>3400.0</v>
      </c>
      <c r="AW36" s="134">
        <v>1315.0</v>
      </c>
      <c r="AX36" s="134">
        <v>3700.0</v>
      </c>
      <c r="AY36" s="134">
        <v>1615.0</v>
      </c>
      <c r="AZ36" s="22">
        <v>12360.0</v>
      </c>
      <c r="BA36" s="161">
        <v>5075.0</v>
      </c>
      <c r="BB36" s="90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8"/>
      <c r="BY36" s="8"/>
      <c r="BZ36" s="8"/>
      <c r="CA36" s="8"/>
      <c r="CB36" s="8"/>
      <c r="CC36" s="8"/>
      <c r="CD36" s="8"/>
      <c r="CE36" s="1"/>
    </row>
    <row r="37" ht="12.75" customHeight="1">
      <c r="A37" s="126">
        <f t="shared" si="2"/>
        <v>33</v>
      </c>
      <c r="B37" s="124"/>
      <c r="C37" s="124"/>
      <c r="D37" s="124"/>
      <c r="E37" s="213">
        <f t="shared" ref="E37:F37" si="76">E36+35</f>
        <v>1340</v>
      </c>
      <c r="F37" s="213">
        <f t="shared" si="76"/>
        <v>1165</v>
      </c>
      <c r="G37" s="8"/>
      <c r="H37" s="126">
        <f t="shared" si="4"/>
        <v>33</v>
      </c>
      <c r="I37" s="126"/>
      <c r="J37" s="124"/>
      <c r="K37" s="124"/>
      <c r="L37" s="213">
        <f t="shared" ref="L37:M37" si="77">L36+55</f>
        <v>1815</v>
      </c>
      <c r="M37" s="213">
        <f t="shared" si="77"/>
        <v>1815</v>
      </c>
      <c r="N37" s="1"/>
      <c r="O37" s="1"/>
      <c r="P37" s="143">
        <v>120.0</v>
      </c>
      <c r="Q37" s="152">
        <v>8.0</v>
      </c>
      <c r="R37" s="152">
        <v>5.0</v>
      </c>
      <c r="S37" s="152">
        <v>5.0</v>
      </c>
      <c r="T37" s="152">
        <v>15.0</v>
      </c>
      <c r="U37" s="152">
        <v>15.0</v>
      </c>
      <c r="V37" s="152">
        <v>8.0</v>
      </c>
      <c r="W37" s="152">
        <v>8.0</v>
      </c>
      <c r="X37" s="152">
        <v>30.0</v>
      </c>
      <c r="Y37" s="152">
        <v>7.5</v>
      </c>
      <c r="Z37" s="152">
        <v>2655.0</v>
      </c>
      <c r="AA37" s="152">
        <v>1425.0</v>
      </c>
      <c r="AB37" s="152">
        <f t="shared" ref="AB37:AC37" si="78">Z37-Z36</f>
        <v>90</v>
      </c>
      <c r="AC37" s="152">
        <f t="shared" si="78"/>
        <v>45</v>
      </c>
      <c r="AD37" s="152">
        <v>1375.0</v>
      </c>
      <c r="AE37" s="152">
        <v>715.0</v>
      </c>
      <c r="AF37" s="152">
        <v>1535.0</v>
      </c>
      <c r="AG37" s="152">
        <v>875.0</v>
      </c>
      <c r="AH37" s="217">
        <v>5185.0</v>
      </c>
      <c r="AI37" s="217">
        <v>2850.0</v>
      </c>
      <c r="AJ37" s="134">
        <f t="shared" si="18"/>
        <v>340</v>
      </c>
      <c r="AK37" s="572">
        <f t="shared" si="31"/>
        <v>90</v>
      </c>
      <c r="AL37" s="576">
        <v>525.0</v>
      </c>
      <c r="AM37" s="572">
        <f t="shared" si="54"/>
        <v>22.125</v>
      </c>
      <c r="AN37" s="572" t="str">
        <f t="shared" si="28"/>
        <v>=120</v>
      </c>
      <c r="AO37" s="153">
        <f t="shared" si="12"/>
        <v>120</v>
      </c>
      <c r="AP37" s="22">
        <v>15.0</v>
      </c>
      <c r="AQ37" s="134">
        <v>8.0</v>
      </c>
      <c r="AR37" s="134">
        <v>8.0</v>
      </c>
      <c r="AS37" s="134">
        <f t="shared" si="13"/>
        <v>30</v>
      </c>
      <c r="AT37" s="22">
        <v>6480.0</v>
      </c>
      <c r="AU37" s="161">
        <v>2625.0</v>
      </c>
      <c r="AV37" s="160">
        <v>3400.0</v>
      </c>
      <c r="AW37" s="161">
        <v>1315.0</v>
      </c>
      <c r="AX37" s="134">
        <v>3700.0</v>
      </c>
      <c r="AY37" s="134">
        <v>1615.0</v>
      </c>
      <c r="AZ37" s="22">
        <v>12780.0</v>
      </c>
      <c r="BA37" s="161">
        <v>5250.0</v>
      </c>
      <c r="BB37" s="90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8"/>
      <c r="BY37" s="8"/>
      <c r="BZ37" s="8"/>
      <c r="CA37" s="8"/>
      <c r="CB37" s="8"/>
      <c r="CC37" s="8"/>
      <c r="CD37" s="8"/>
      <c r="CE37" s="1"/>
    </row>
    <row r="38" ht="12.75" hidden="1" customHeight="1">
      <c r="A38" s="126">
        <f t="shared" si="2"/>
        <v>34</v>
      </c>
      <c r="B38" s="124"/>
      <c r="C38" s="124"/>
      <c r="D38" s="124"/>
      <c r="E38" s="213">
        <f t="shared" ref="E38:F38" si="79">E37+35</f>
        <v>1375</v>
      </c>
      <c r="F38" s="213">
        <f t="shared" si="79"/>
        <v>1200</v>
      </c>
      <c r="G38" s="8"/>
      <c r="H38" s="126">
        <f t="shared" si="4"/>
        <v>34</v>
      </c>
      <c r="I38" s="126"/>
      <c r="J38" s="124"/>
      <c r="K38" s="124"/>
      <c r="L38" s="213">
        <f t="shared" ref="L38:M38" si="80">L37+55</f>
        <v>1870</v>
      </c>
      <c r="M38" s="213">
        <f t="shared" si="80"/>
        <v>1870</v>
      </c>
      <c r="N38" s="1"/>
      <c r="O38" s="1"/>
      <c r="P38" s="143">
        <v>124.0</v>
      </c>
      <c r="Q38" s="152">
        <v>9.0</v>
      </c>
      <c r="R38" s="152">
        <v>4.0</v>
      </c>
      <c r="S38" s="152">
        <v>4.0</v>
      </c>
      <c r="T38" s="152">
        <v>16.0</v>
      </c>
      <c r="U38" s="152">
        <v>16.0</v>
      </c>
      <c r="V38" s="152">
        <v>8.0</v>
      </c>
      <c r="W38" s="152">
        <v>8.0</v>
      </c>
      <c r="X38" s="152">
        <v>31.0</v>
      </c>
      <c r="Y38" s="152">
        <v>8.0</v>
      </c>
      <c r="Z38" s="152">
        <v>2735.0</v>
      </c>
      <c r="AA38" s="152">
        <v>1475.0</v>
      </c>
      <c r="AB38" s="152">
        <f t="shared" ref="AB38:AC38" si="81">Z38-Z37</f>
        <v>80</v>
      </c>
      <c r="AC38" s="152">
        <f t="shared" si="81"/>
        <v>50</v>
      </c>
      <c r="AD38" s="152">
        <v>1445.0</v>
      </c>
      <c r="AE38" s="152">
        <v>760.0</v>
      </c>
      <c r="AF38" s="152">
        <v>1605.0</v>
      </c>
      <c r="AG38" s="152">
        <v>920.0</v>
      </c>
      <c r="AH38" s="217">
        <v>5375.0</v>
      </c>
      <c r="AI38" s="217">
        <v>2945.0</v>
      </c>
      <c r="AJ38" s="134">
        <f t="shared" si="18"/>
        <v>340</v>
      </c>
      <c r="AK38" s="572">
        <f t="shared" si="31"/>
        <v>80</v>
      </c>
      <c r="AL38" s="576">
        <v>525.0</v>
      </c>
      <c r="AM38" s="572">
        <f t="shared" si="54"/>
        <v>22.05645161</v>
      </c>
      <c r="AN38" s="572" t="str">
        <f t="shared" si="28"/>
        <v>=124</v>
      </c>
      <c r="AO38" s="153">
        <f t="shared" si="12"/>
        <v>124</v>
      </c>
      <c r="AP38" s="22">
        <v>16.0</v>
      </c>
      <c r="AQ38" s="134">
        <v>8.0</v>
      </c>
      <c r="AR38" s="134">
        <v>8.0</v>
      </c>
      <c r="AS38" s="134">
        <f t="shared" si="13"/>
        <v>31</v>
      </c>
      <c r="AT38" s="22">
        <v>6760.0</v>
      </c>
      <c r="AU38" s="161">
        <v>2715.0</v>
      </c>
      <c r="AV38" s="134">
        <v>3540.0</v>
      </c>
      <c r="AW38" s="134">
        <v>1400.0</v>
      </c>
      <c r="AX38" s="134">
        <v>3860.0</v>
      </c>
      <c r="AY38" s="134">
        <v>1720.0</v>
      </c>
      <c r="AZ38" s="22">
        <v>13200.0</v>
      </c>
      <c r="BA38" s="161">
        <v>5425.0</v>
      </c>
      <c r="BB38" s="90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8"/>
      <c r="BY38" s="8"/>
      <c r="BZ38" s="8"/>
      <c r="CA38" s="8"/>
      <c r="CB38" s="8"/>
      <c r="CC38" s="8"/>
      <c r="CD38" s="8"/>
      <c r="CE38" s="1"/>
    </row>
    <row r="39" ht="12.75" hidden="1" customHeight="1">
      <c r="A39" s="126">
        <f t="shared" si="2"/>
        <v>35</v>
      </c>
      <c r="B39" s="124"/>
      <c r="C39" s="124"/>
      <c r="D39" s="124"/>
      <c r="E39" s="213">
        <f t="shared" ref="E39:F39" si="82">E38+35</f>
        <v>1410</v>
      </c>
      <c r="F39" s="213">
        <f t="shared" si="82"/>
        <v>1235</v>
      </c>
      <c r="G39" s="8"/>
      <c r="H39" s="126">
        <f t="shared" si="4"/>
        <v>35</v>
      </c>
      <c r="I39" s="126"/>
      <c r="J39" s="124"/>
      <c r="K39" s="124"/>
      <c r="L39" s="213">
        <f t="shared" ref="L39:M39" si="83">L38+55</f>
        <v>1925</v>
      </c>
      <c r="M39" s="213">
        <f t="shared" si="83"/>
        <v>1925</v>
      </c>
      <c r="N39" s="1"/>
      <c r="O39" s="1"/>
      <c r="P39" s="143">
        <v>128.0</v>
      </c>
      <c r="Q39" s="152">
        <v>8.0</v>
      </c>
      <c r="R39" s="152">
        <v>4.0</v>
      </c>
      <c r="S39" s="152">
        <v>4.0</v>
      </c>
      <c r="T39" s="152">
        <v>16.0</v>
      </c>
      <c r="U39" s="152">
        <v>16.0</v>
      </c>
      <c r="V39" s="152">
        <v>8.0</v>
      </c>
      <c r="W39" s="152">
        <v>8.0</v>
      </c>
      <c r="X39" s="152">
        <v>32.0</v>
      </c>
      <c r="Y39" s="152">
        <v>8.0</v>
      </c>
      <c r="Z39" s="152">
        <v>2805.0</v>
      </c>
      <c r="AA39" s="152">
        <v>1520.0</v>
      </c>
      <c r="AB39" s="152">
        <f t="shared" ref="AB39:AC39" si="84">Z39-Z38</f>
        <v>70</v>
      </c>
      <c r="AC39" s="152">
        <f t="shared" si="84"/>
        <v>45</v>
      </c>
      <c r="AD39" s="152">
        <v>1445.0</v>
      </c>
      <c r="AE39" s="152">
        <v>760.0</v>
      </c>
      <c r="AF39" s="152">
        <v>1605.0</v>
      </c>
      <c r="AG39" s="152">
        <v>920.0</v>
      </c>
      <c r="AH39" s="217">
        <v>5525.0</v>
      </c>
      <c r="AI39" s="217">
        <v>3040.0</v>
      </c>
      <c r="AJ39" s="134">
        <f t="shared" si="18"/>
        <v>340</v>
      </c>
      <c r="AK39" s="572">
        <f t="shared" si="31"/>
        <v>70</v>
      </c>
      <c r="AL39" s="576">
        <v>525.0</v>
      </c>
      <c r="AM39" s="572">
        <f t="shared" si="54"/>
        <v>21.9140625</v>
      </c>
      <c r="AN39" s="572" t="str">
        <f t="shared" si="28"/>
        <v>=128</v>
      </c>
      <c r="AO39" s="153">
        <f t="shared" si="12"/>
        <v>128</v>
      </c>
      <c r="AP39" s="22">
        <v>16.0</v>
      </c>
      <c r="AQ39" s="134">
        <v>8.0</v>
      </c>
      <c r="AR39" s="134">
        <v>8.0</v>
      </c>
      <c r="AS39" s="134">
        <f t="shared" si="13"/>
        <v>32</v>
      </c>
      <c r="AT39" s="22">
        <v>6900.0</v>
      </c>
      <c r="AU39" s="161">
        <v>2800.0</v>
      </c>
      <c r="AV39" s="160">
        <v>3540.0</v>
      </c>
      <c r="AW39" s="161">
        <v>1400.0</v>
      </c>
      <c r="AX39" s="134">
        <v>3860.0</v>
      </c>
      <c r="AY39" s="134">
        <v>1720.0</v>
      </c>
      <c r="AZ39" s="22">
        <v>13620.0</v>
      </c>
      <c r="BA39" s="161">
        <v>5600.0</v>
      </c>
      <c r="BB39" s="90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8"/>
      <c r="BY39" s="8"/>
      <c r="BZ39" s="8"/>
      <c r="CA39" s="8"/>
      <c r="CB39" s="8"/>
      <c r="CC39" s="8"/>
      <c r="CD39" s="8"/>
      <c r="CE39" s="1"/>
    </row>
    <row r="40" ht="12.75" hidden="1" customHeight="1">
      <c r="A40" s="126">
        <f t="shared" si="2"/>
        <v>36</v>
      </c>
      <c r="B40" s="124"/>
      <c r="C40" s="124"/>
      <c r="D40" s="124"/>
      <c r="E40" s="213">
        <f t="shared" ref="E40:F40" si="85">E39+35</f>
        <v>1445</v>
      </c>
      <c r="F40" s="213">
        <f t="shared" si="85"/>
        <v>1270</v>
      </c>
      <c r="G40" s="8"/>
      <c r="H40" s="126">
        <f t="shared" si="4"/>
        <v>36</v>
      </c>
      <c r="I40" s="126"/>
      <c r="J40" s="124"/>
      <c r="K40" s="124"/>
      <c r="L40" s="213">
        <f t="shared" ref="L40:M40" si="86">L39+55</f>
        <v>1980</v>
      </c>
      <c r="M40" s="213">
        <f t="shared" si="86"/>
        <v>1980</v>
      </c>
      <c r="N40" s="1"/>
      <c r="O40" s="1"/>
      <c r="P40" s="143">
        <v>132.0</v>
      </c>
      <c r="Q40" s="152">
        <v>9.0</v>
      </c>
      <c r="R40" s="152">
        <v>5.0</v>
      </c>
      <c r="S40" s="152">
        <v>5.0</v>
      </c>
      <c r="T40" s="152">
        <v>17.0</v>
      </c>
      <c r="U40" s="152">
        <v>17.0</v>
      </c>
      <c r="V40" s="152">
        <v>9.0</v>
      </c>
      <c r="W40" s="152">
        <v>9.0</v>
      </c>
      <c r="X40" s="152">
        <v>33.0</v>
      </c>
      <c r="Y40" s="152">
        <v>8.25</v>
      </c>
      <c r="Z40" s="152">
        <v>2905.0</v>
      </c>
      <c r="AA40" s="152">
        <v>1570.0</v>
      </c>
      <c r="AB40" s="152">
        <f t="shared" ref="AB40:AC40" si="87">Z40-Z39</f>
        <v>100</v>
      </c>
      <c r="AC40" s="152">
        <f t="shared" si="87"/>
        <v>50</v>
      </c>
      <c r="AD40" s="152">
        <v>1545.0</v>
      </c>
      <c r="AE40" s="152">
        <v>810.0</v>
      </c>
      <c r="AF40" s="152">
        <v>1725.0</v>
      </c>
      <c r="AG40" s="152">
        <v>990.0</v>
      </c>
      <c r="AH40" s="217">
        <v>5715.0</v>
      </c>
      <c r="AI40" s="217">
        <v>3135.0</v>
      </c>
      <c r="AJ40" s="134">
        <f t="shared" si="18"/>
        <v>340</v>
      </c>
      <c r="AK40" s="572">
        <f t="shared" si="31"/>
        <v>100</v>
      </c>
      <c r="AL40" s="576">
        <v>525.0</v>
      </c>
      <c r="AM40" s="572">
        <f t="shared" si="54"/>
        <v>22.00757576</v>
      </c>
      <c r="AN40" s="572" t="str">
        <f t="shared" si="28"/>
        <v>=132</v>
      </c>
      <c r="AO40" s="153">
        <f t="shared" si="12"/>
        <v>132</v>
      </c>
      <c r="AP40" s="22">
        <v>17.0</v>
      </c>
      <c r="AQ40" s="134">
        <v>9.0</v>
      </c>
      <c r="AR40" s="134">
        <v>9.0</v>
      </c>
      <c r="AS40" s="134">
        <f t="shared" si="13"/>
        <v>33</v>
      </c>
      <c r="AT40" s="22">
        <v>7180.0</v>
      </c>
      <c r="AU40" s="161">
        <v>2890.0</v>
      </c>
      <c r="AV40" s="134">
        <v>3820.0</v>
      </c>
      <c r="AW40" s="134">
        <v>1490.0</v>
      </c>
      <c r="AX40" s="134">
        <v>4160.0</v>
      </c>
      <c r="AY40" s="134">
        <v>1830.0</v>
      </c>
      <c r="AZ40" s="22">
        <v>14040.0</v>
      </c>
      <c r="BA40" s="161">
        <v>5775.0</v>
      </c>
      <c r="BB40" s="90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8"/>
      <c r="BY40" s="8"/>
      <c r="BZ40" s="8"/>
      <c r="CA40" s="8"/>
      <c r="CB40" s="8"/>
      <c r="CC40" s="8"/>
      <c r="CD40" s="8"/>
      <c r="CE40" s="1"/>
    </row>
    <row r="41" ht="12.75" customHeight="1">
      <c r="A41" s="126">
        <f t="shared" si="2"/>
        <v>37</v>
      </c>
      <c r="B41" s="124"/>
      <c r="C41" s="124"/>
      <c r="D41" s="124"/>
      <c r="E41" s="213">
        <f t="shared" ref="E41:F41" si="88">E40+35</f>
        <v>1480</v>
      </c>
      <c r="F41" s="213">
        <f t="shared" si="88"/>
        <v>1305</v>
      </c>
      <c r="G41" s="8"/>
      <c r="H41" s="126">
        <f t="shared" si="4"/>
        <v>37</v>
      </c>
      <c r="I41" s="126"/>
      <c r="J41" s="124"/>
      <c r="K41" s="124"/>
      <c r="L41" s="213">
        <f t="shared" ref="L41:M41" si="89">L40+55</f>
        <v>2035</v>
      </c>
      <c r="M41" s="213">
        <f t="shared" si="89"/>
        <v>2035</v>
      </c>
      <c r="N41" s="1"/>
      <c r="O41" s="1"/>
      <c r="P41" s="143">
        <v>136.0</v>
      </c>
      <c r="Q41" s="152">
        <v>9.0</v>
      </c>
      <c r="R41" s="152">
        <v>5.0</v>
      </c>
      <c r="S41" s="152">
        <v>5.0</v>
      </c>
      <c r="T41" s="152">
        <v>17.0</v>
      </c>
      <c r="U41" s="152">
        <v>17.0</v>
      </c>
      <c r="V41" s="152">
        <v>9.0</v>
      </c>
      <c r="W41" s="152">
        <v>9.0</v>
      </c>
      <c r="X41" s="152">
        <v>34.0</v>
      </c>
      <c r="Y41" s="152">
        <v>8.5</v>
      </c>
      <c r="Z41" s="152">
        <v>2995.0</v>
      </c>
      <c r="AA41" s="152">
        <v>1615.0</v>
      </c>
      <c r="AB41" s="152">
        <f t="shared" ref="AB41:AC41" si="90">Z41-Z40</f>
        <v>90</v>
      </c>
      <c r="AC41" s="152">
        <f t="shared" si="90"/>
        <v>45</v>
      </c>
      <c r="AD41" s="152">
        <v>1545.0</v>
      </c>
      <c r="AE41" s="152">
        <v>810.0</v>
      </c>
      <c r="AF41" s="152">
        <v>1725.0</v>
      </c>
      <c r="AG41" s="152">
        <v>990.0</v>
      </c>
      <c r="AH41" s="217">
        <v>5865.0</v>
      </c>
      <c r="AI41" s="217">
        <v>3230.0</v>
      </c>
      <c r="AJ41" s="134">
        <f t="shared" si="18"/>
        <v>340</v>
      </c>
      <c r="AK41" s="572">
        <f t="shared" si="31"/>
        <v>90</v>
      </c>
      <c r="AL41" s="576">
        <v>525.0</v>
      </c>
      <c r="AM41" s="572">
        <f t="shared" si="54"/>
        <v>22.02205882</v>
      </c>
      <c r="AN41" s="572" t="str">
        <f t="shared" si="28"/>
        <v>=136</v>
      </c>
      <c r="AO41" s="153">
        <f t="shared" si="12"/>
        <v>136</v>
      </c>
      <c r="AP41" s="22">
        <v>17.0</v>
      </c>
      <c r="AQ41" s="134">
        <v>9.0</v>
      </c>
      <c r="AR41" s="134">
        <v>9.0</v>
      </c>
      <c r="AS41" s="134">
        <f t="shared" si="13"/>
        <v>34</v>
      </c>
      <c r="AT41" s="22">
        <v>7320.0</v>
      </c>
      <c r="AU41" s="161">
        <v>2975.0</v>
      </c>
      <c r="AV41" s="160">
        <v>3820.0</v>
      </c>
      <c r="AW41" s="161">
        <v>1490.0</v>
      </c>
      <c r="AX41" s="134">
        <v>4160.0</v>
      </c>
      <c r="AY41" s="134">
        <v>1830.0</v>
      </c>
      <c r="AZ41" s="22">
        <v>14460.0</v>
      </c>
      <c r="BA41" s="161">
        <v>5950.0</v>
      </c>
      <c r="BB41" s="90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8"/>
      <c r="BY41" s="8"/>
      <c r="BZ41" s="8"/>
      <c r="CA41" s="8"/>
      <c r="CB41" s="8"/>
      <c r="CC41" s="8"/>
      <c r="CD41" s="8"/>
      <c r="CE41" s="1"/>
    </row>
    <row r="42" ht="12.75" hidden="1" customHeight="1">
      <c r="A42" s="126">
        <f t="shared" si="2"/>
        <v>38</v>
      </c>
      <c r="B42" s="124"/>
      <c r="C42" s="124"/>
      <c r="D42" s="124"/>
      <c r="E42" s="213">
        <f t="shared" ref="E42:F42" si="91">E41+35</f>
        <v>1515</v>
      </c>
      <c r="F42" s="213">
        <f t="shared" si="91"/>
        <v>1340</v>
      </c>
      <c r="G42" s="8"/>
      <c r="H42" s="126">
        <f t="shared" si="4"/>
        <v>38</v>
      </c>
      <c r="I42" s="126"/>
      <c r="J42" s="124"/>
      <c r="K42" s="124"/>
      <c r="L42" s="213">
        <f t="shared" ref="L42:M42" si="92">L41+55</f>
        <v>2090</v>
      </c>
      <c r="M42" s="213">
        <f t="shared" si="92"/>
        <v>2090</v>
      </c>
      <c r="N42" s="1"/>
      <c r="O42" s="1"/>
      <c r="P42" s="143">
        <v>140.0</v>
      </c>
      <c r="Q42" s="152">
        <v>10.0</v>
      </c>
      <c r="R42" s="152">
        <v>5.0</v>
      </c>
      <c r="S42" s="152">
        <v>5.0</v>
      </c>
      <c r="T42" s="152">
        <v>18.0</v>
      </c>
      <c r="U42" s="152">
        <v>18.0</v>
      </c>
      <c r="V42" s="152">
        <v>9.0</v>
      </c>
      <c r="W42" s="152">
        <v>9.0</v>
      </c>
      <c r="X42" s="152">
        <v>35.0</v>
      </c>
      <c r="Y42" s="152">
        <v>9.0</v>
      </c>
      <c r="Z42" s="152">
        <v>3075.0</v>
      </c>
      <c r="AA42" s="152">
        <v>1665.0</v>
      </c>
      <c r="AB42" s="152">
        <f t="shared" ref="AB42:AC42" si="93">Z42-Z41</f>
        <v>80</v>
      </c>
      <c r="AC42" s="152">
        <f t="shared" si="93"/>
        <v>50</v>
      </c>
      <c r="AD42" s="152">
        <v>1635.0</v>
      </c>
      <c r="AE42" s="152">
        <v>855.0</v>
      </c>
      <c r="AF42" s="152">
        <v>1815.0</v>
      </c>
      <c r="AG42" s="152">
        <v>1035.0</v>
      </c>
      <c r="AH42" s="217">
        <v>6055.0</v>
      </c>
      <c r="AI42" s="217">
        <v>3325.0</v>
      </c>
      <c r="AJ42" s="134">
        <f t="shared" si="18"/>
        <v>340</v>
      </c>
      <c r="AK42" s="572">
        <f t="shared" si="31"/>
        <v>80</v>
      </c>
      <c r="AL42" s="576">
        <v>525.0</v>
      </c>
      <c r="AM42" s="572">
        <f t="shared" si="54"/>
        <v>21.96428571</v>
      </c>
      <c r="AN42" s="572" t="str">
        <f t="shared" si="28"/>
        <v>=140</v>
      </c>
      <c r="AO42" s="153">
        <f t="shared" si="12"/>
        <v>140</v>
      </c>
      <c r="AP42" s="22">
        <v>18.0</v>
      </c>
      <c r="AQ42" s="134">
        <v>9.0</v>
      </c>
      <c r="AR42" s="134">
        <v>9.0</v>
      </c>
      <c r="AS42" s="134">
        <f t="shared" si="13"/>
        <v>35</v>
      </c>
      <c r="AT42" s="22">
        <v>7600.0</v>
      </c>
      <c r="AU42" s="161">
        <v>3065.0</v>
      </c>
      <c r="AV42" s="134">
        <v>3960.0</v>
      </c>
      <c r="AW42" s="134">
        <v>1575.0</v>
      </c>
      <c r="AX42" s="134">
        <v>4320.0</v>
      </c>
      <c r="AY42" s="134">
        <v>1935.0</v>
      </c>
      <c r="AZ42" s="22">
        <v>14880.0</v>
      </c>
      <c r="BA42" s="161">
        <v>6125.0</v>
      </c>
      <c r="BB42" s="220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8"/>
      <c r="BY42" s="8"/>
      <c r="BZ42" s="8"/>
      <c r="CA42" s="8"/>
      <c r="CB42" s="8"/>
      <c r="CC42" s="8"/>
      <c r="CD42" s="8"/>
      <c r="CE42" s="1"/>
    </row>
    <row r="43" ht="12.75" hidden="1" customHeight="1">
      <c r="A43" s="126">
        <f t="shared" si="2"/>
        <v>39</v>
      </c>
      <c r="B43" s="124"/>
      <c r="C43" s="124"/>
      <c r="D43" s="124"/>
      <c r="E43" s="213">
        <f t="shared" ref="E43:F43" si="94">E42+35</f>
        <v>1550</v>
      </c>
      <c r="F43" s="213">
        <f t="shared" si="94"/>
        <v>1375</v>
      </c>
      <c r="G43" s="8"/>
      <c r="H43" s="126">
        <f t="shared" si="4"/>
        <v>39</v>
      </c>
      <c r="I43" s="126"/>
      <c r="J43" s="124"/>
      <c r="K43" s="124"/>
      <c r="L43" s="213">
        <f t="shared" ref="L43:M43" si="95">L42+55</f>
        <v>2145</v>
      </c>
      <c r="M43" s="213">
        <f t="shared" si="95"/>
        <v>2145</v>
      </c>
      <c r="N43" s="1"/>
      <c r="O43" s="1"/>
      <c r="P43" s="143">
        <v>144.0</v>
      </c>
      <c r="Q43" s="152">
        <v>9.0</v>
      </c>
      <c r="R43" s="152">
        <v>5.0</v>
      </c>
      <c r="S43" s="152">
        <v>5.0</v>
      </c>
      <c r="T43" s="152">
        <v>18.0</v>
      </c>
      <c r="U43" s="152">
        <v>18.0</v>
      </c>
      <c r="V43" s="152">
        <v>9.0</v>
      </c>
      <c r="W43" s="152">
        <v>9.0</v>
      </c>
      <c r="X43" s="152">
        <v>36.0</v>
      </c>
      <c r="Y43" s="152">
        <v>9.0</v>
      </c>
      <c r="Z43" s="152">
        <v>3145.0</v>
      </c>
      <c r="AA43" s="152">
        <v>1710.0</v>
      </c>
      <c r="AB43" s="152">
        <f t="shared" ref="AB43:AC43" si="96">Z43-Z42</f>
        <v>70</v>
      </c>
      <c r="AC43" s="152">
        <f t="shared" si="96"/>
        <v>45</v>
      </c>
      <c r="AD43" s="152">
        <v>1635.0</v>
      </c>
      <c r="AE43" s="152">
        <v>855.0</v>
      </c>
      <c r="AF43" s="152">
        <v>1815.0</v>
      </c>
      <c r="AG43" s="152">
        <v>1035.0</v>
      </c>
      <c r="AH43" s="217">
        <v>6205.0</v>
      </c>
      <c r="AI43" s="217">
        <v>3420.0</v>
      </c>
      <c r="AJ43" s="134">
        <f t="shared" si="18"/>
        <v>340</v>
      </c>
      <c r="AK43" s="572">
        <f t="shared" si="31"/>
        <v>70</v>
      </c>
      <c r="AL43" s="576">
        <v>525.0</v>
      </c>
      <c r="AM43" s="572">
        <f t="shared" si="54"/>
        <v>21.84027778</v>
      </c>
      <c r="AN43" s="572" t="str">
        <f t="shared" si="28"/>
        <v>=144</v>
      </c>
      <c r="AO43" s="153">
        <f t="shared" si="12"/>
        <v>144</v>
      </c>
      <c r="AP43" s="22">
        <v>18.0</v>
      </c>
      <c r="AQ43" s="134">
        <v>9.0</v>
      </c>
      <c r="AR43" s="134">
        <v>9.0</v>
      </c>
      <c r="AS43" s="134">
        <f t="shared" si="13"/>
        <v>36</v>
      </c>
      <c r="AT43" s="22">
        <v>7740.0</v>
      </c>
      <c r="AU43" s="161">
        <v>3150.0</v>
      </c>
      <c r="AV43" s="160">
        <v>3960.0</v>
      </c>
      <c r="AW43" s="161">
        <v>1575.0</v>
      </c>
      <c r="AX43" s="134">
        <v>4320.0</v>
      </c>
      <c r="AY43" s="134">
        <v>1935.0</v>
      </c>
      <c r="AZ43" s="22">
        <v>15300.0</v>
      </c>
      <c r="BA43" s="161">
        <v>6300.0</v>
      </c>
      <c r="BB43" s="220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8"/>
      <c r="BY43" s="8"/>
      <c r="BZ43" s="8"/>
      <c r="CA43" s="8"/>
      <c r="CB43" s="8"/>
      <c r="CC43" s="8"/>
      <c r="CD43" s="8"/>
      <c r="CE43" s="1"/>
    </row>
    <row r="44" ht="12.75" hidden="1" customHeight="1">
      <c r="A44" s="126">
        <f t="shared" si="2"/>
        <v>40</v>
      </c>
      <c r="B44" s="124"/>
      <c r="C44" s="124"/>
      <c r="D44" s="124"/>
      <c r="E44" s="213">
        <f t="shared" ref="E44:F44" si="97">E43+35</f>
        <v>1585</v>
      </c>
      <c r="F44" s="213">
        <f t="shared" si="97"/>
        <v>1410</v>
      </c>
      <c r="G44" s="8"/>
      <c r="H44" s="126">
        <f t="shared" si="4"/>
        <v>40</v>
      </c>
      <c r="I44" s="126"/>
      <c r="J44" s="124"/>
      <c r="K44" s="124"/>
      <c r="L44" s="213">
        <f t="shared" ref="L44:M44" si="98">L43+55</f>
        <v>2200</v>
      </c>
      <c r="M44" s="213">
        <f t="shared" si="98"/>
        <v>2200</v>
      </c>
      <c r="N44" s="1"/>
      <c r="O44" s="142"/>
      <c r="P44" s="143">
        <v>148.0</v>
      </c>
      <c r="Q44" s="152">
        <v>10.0</v>
      </c>
      <c r="R44" s="152">
        <v>6.0</v>
      </c>
      <c r="S44" s="152">
        <v>6.0</v>
      </c>
      <c r="T44" s="152">
        <v>19.0</v>
      </c>
      <c r="U44" s="152">
        <v>19.0</v>
      </c>
      <c r="V44" s="152">
        <v>10.0</v>
      </c>
      <c r="W44" s="152">
        <v>10.0</v>
      </c>
      <c r="X44" s="152">
        <v>37.0</v>
      </c>
      <c r="Y44" s="152">
        <v>9.25</v>
      </c>
      <c r="Z44" s="152">
        <v>3245.0</v>
      </c>
      <c r="AA44" s="152">
        <v>1760.0</v>
      </c>
      <c r="AB44" s="152">
        <f t="shared" ref="AB44:AC44" si="99">Z44-Z43</f>
        <v>100</v>
      </c>
      <c r="AC44" s="152">
        <f t="shared" si="99"/>
        <v>50</v>
      </c>
      <c r="AD44" s="152">
        <v>1715.0</v>
      </c>
      <c r="AE44" s="152">
        <v>905.0</v>
      </c>
      <c r="AF44" s="152">
        <v>1915.0</v>
      </c>
      <c r="AG44" s="152">
        <v>1105.0</v>
      </c>
      <c r="AH44" s="217">
        <v>6395.0</v>
      </c>
      <c r="AI44" s="217">
        <v>3515.0</v>
      </c>
      <c r="AJ44" s="134">
        <f t="shared" si="18"/>
        <v>340</v>
      </c>
      <c r="AK44" s="572">
        <f t="shared" si="31"/>
        <v>100</v>
      </c>
      <c r="AL44" s="576">
        <v>525.0</v>
      </c>
      <c r="AM44" s="572">
        <f t="shared" si="54"/>
        <v>21.92567568</v>
      </c>
      <c r="AN44" s="572" t="str">
        <f t="shared" si="28"/>
        <v>=148</v>
      </c>
      <c r="AO44" s="153">
        <f t="shared" si="12"/>
        <v>148</v>
      </c>
      <c r="AP44" s="22">
        <v>19.0</v>
      </c>
      <c r="AQ44" s="134">
        <v>10.0</v>
      </c>
      <c r="AR44" s="134">
        <v>10.0</v>
      </c>
      <c r="AS44" s="134">
        <f t="shared" si="13"/>
        <v>37</v>
      </c>
      <c r="AT44" s="22">
        <v>8020.0</v>
      </c>
      <c r="AU44" s="161">
        <v>3240.0</v>
      </c>
      <c r="AV44" s="134">
        <v>4240.0</v>
      </c>
      <c r="AW44" s="134">
        <v>1665.0</v>
      </c>
      <c r="AX44" s="134">
        <v>4620.0</v>
      </c>
      <c r="AY44" s="134">
        <v>2045.0</v>
      </c>
      <c r="AZ44" s="22">
        <v>15720.0</v>
      </c>
      <c r="BA44" s="161">
        <v>6475.0</v>
      </c>
      <c r="BB44" s="220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8"/>
      <c r="BY44" s="8"/>
      <c r="BZ44" s="8"/>
      <c r="CA44" s="8"/>
      <c r="CB44" s="8"/>
      <c r="CC44" s="8"/>
      <c r="CD44" s="8"/>
      <c r="CE44" s="1"/>
    </row>
    <row r="45" ht="12.75" customHeight="1">
      <c r="A45" s="126">
        <f t="shared" si="2"/>
        <v>41</v>
      </c>
      <c r="B45" s="124"/>
      <c r="C45" s="124"/>
      <c r="D45" s="124"/>
      <c r="E45" s="213">
        <f t="shared" ref="E45:F45" si="100">E44+35</f>
        <v>1620</v>
      </c>
      <c r="F45" s="213">
        <f t="shared" si="100"/>
        <v>1445</v>
      </c>
      <c r="G45" s="8"/>
      <c r="H45" s="126">
        <f t="shared" si="4"/>
        <v>41</v>
      </c>
      <c r="I45" s="126"/>
      <c r="J45" s="124"/>
      <c r="K45" s="124"/>
      <c r="L45" s="213">
        <f t="shared" ref="L45:M45" si="101">L44+55</f>
        <v>2255</v>
      </c>
      <c r="M45" s="213">
        <f t="shared" si="101"/>
        <v>2255</v>
      </c>
      <c r="N45" s="1"/>
      <c r="O45" s="142"/>
      <c r="P45" s="143">
        <v>152.0</v>
      </c>
      <c r="Q45" s="152">
        <v>10.0</v>
      </c>
      <c r="R45" s="152">
        <v>6.0</v>
      </c>
      <c r="S45" s="152">
        <v>6.0</v>
      </c>
      <c r="T45" s="152">
        <v>19.0</v>
      </c>
      <c r="U45" s="152">
        <v>19.0</v>
      </c>
      <c r="V45" s="152">
        <v>10.0</v>
      </c>
      <c r="W45" s="152">
        <v>10.0</v>
      </c>
      <c r="X45" s="152">
        <v>38.0</v>
      </c>
      <c r="Y45" s="152">
        <v>9.5</v>
      </c>
      <c r="Z45" s="152">
        <v>3335.0</v>
      </c>
      <c r="AA45" s="152">
        <v>1805.0</v>
      </c>
      <c r="AB45" s="152">
        <f t="shared" ref="AB45:AC45" si="102">Z45-Z44</f>
        <v>90</v>
      </c>
      <c r="AC45" s="152">
        <f t="shared" si="102"/>
        <v>45</v>
      </c>
      <c r="AD45" s="152">
        <v>1715.0</v>
      </c>
      <c r="AE45" s="152">
        <v>905.0</v>
      </c>
      <c r="AF45" s="152">
        <v>1915.0</v>
      </c>
      <c r="AG45" s="152">
        <v>1105.0</v>
      </c>
      <c r="AH45" s="217">
        <v>6545.0</v>
      </c>
      <c r="AI45" s="217">
        <v>3610.0</v>
      </c>
      <c r="AJ45" s="134">
        <f t="shared" si="18"/>
        <v>340</v>
      </c>
      <c r="AK45" s="572">
        <f t="shared" si="31"/>
        <v>90</v>
      </c>
      <c r="AL45" s="576">
        <v>525.0</v>
      </c>
      <c r="AM45" s="572">
        <f t="shared" si="54"/>
        <v>21.94078947</v>
      </c>
      <c r="AN45" s="572" t="str">
        <f t="shared" si="28"/>
        <v>=152</v>
      </c>
      <c r="AO45" s="153">
        <f t="shared" si="12"/>
        <v>152</v>
      </c>
      <c r="AP45" s="22">
        <v>19.0</v>
      </c>
      <c r="AQ45" s="134">
        <v>10.0</v>
      </c>
      <c r="AR45" s="134">
        <v>10.0</v>
      </c>
      <c r="AS45" s="134">
        <f t="shared" si="13"/>
        <v>38</v>
      </c>
      <c r="AT45" s="22">
        <v>8160.0</v>
      </c>
      <c r="AU45" s="161">
        <v>3325.0</v>
      </c>
      <c r="AV45" s="160">
        <v>4240.0</v>
      </c>
      <c r="AW45" s="161">
        <v>1665.0</v>
      </c>
      <c r="AX45" s="134">
        <v>4620.0</v>
      </c>
      <c r="AY45" s="134">
        <v>2045.0</v>
      </c>
      <c r="AZ45" s="22">
        <v>16140.0</v>
      </c>
      <c r="BA45" s="161">
        <v>6650.0</v>
      </c>
      <c r="BB45" s="220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8"/>
      <c r="BY45" s="8"/>
      <c r="BZ45" s="8"/>
      <c r="CA45" s="8"/>
      <c r="CB45" s="8"/>
      <c r="CC45" s="8"/>
      <c r="CD45" s="8"/>
      <c r="CE45" s="1"/>
    </row>
    <row r="46" ht="12.75" hidden="1" customHeight="1">
      <c r="A46" s="126">
        <f t="shared" si="2"/>
        <v>42</v>
      </c>
      <c r="B46" s="124"/>
      <c r="C46" s="124"/>
      <c r="D46" s="124"/>
      <c r="E46" s="213">
        <f t="shared" ref="E46:F46" si="103">E45+35</f>
        <v>1655</v>
      </c>
      <c r="F46" s="213">
        <f t="shared" si="103"/>
        <v>1480</v>
      </c>
      <c r="G46" s="8"/>
      <c r="H46" s="126">
        <f t="shared" si="4"/>
        <v>42</v>
      </c>
      <c r="I46" s="126"/>
      <c r="J46" s="124"/>
      <c r="K46" s="124"/>
      <c r="L46" s="213">
        <f t="shared" ref="L46:M46" si="104">L45+55</f>
        <v>2310</v>
      </c>
      <c r="M46" s="213">
        <f t="shared" si="104"/>
        <v>2310</v>
      </c>
      <c r="N46" s="1"/>
      <c r="O46" s="142"/>
      <c r="P46" s="143">
        <v>156.0</v>
      </c>
      <c r="Q46" s="152">
        <v>11.0</v>
      </c>
      <c r="R46" s="152">
        <v>5.0</v>
      </c>
      <c r="S46" s="152">
        <v>5.0</v>
      </c>
      <c r="T46" s="152">
        <v>20.0</v>
      </c>
      <c r="U46" s="152">
        <v>20.0</v>
      </c>
      <c r="V46" s="152">
        <v>10.0</v>
      </c>
      <c r="W46" s="152">
        <v>10.0</v>
      </c>
      <c r="X46" s="152">
        <v>39.0</v>
      </c>
      <c r="Y46" s="152">
        <v>10.0</v>
      </c>
      <c r="Z46" s="152">
        <v>3415.0</v>
      </c>
      <c r="AA46" s="152">
        <v>1855.0</v>
      </c>
      <c r="AB46" s="152">
        <f t="shared" ref="AB46:AC46" si="105">Z46-Z45</f>
        <v>80</v>
      </c>
      <c r="AC46" s="152">
        <f t="shared" si="105"/>
        <v>50</v>
      </c>
      <c r="AD46" s="152">
        <v>1785.0</v>
      </c>
      <c r="AE46" s="152">
        <v>950.0</v>
      </c>
      <c r="AF46" s="152">
        <v>1985.0</v>
      </c>
      <c r="AG46" s="152">
        <v>1150.0</v>
      </c>
      <c r="AH46" s="217">
        <v>6735.0</v>
      </c>
      <c r="AI46" s="217">
        <v>3705.0</v>
      </c>
      <c r="AJ46" s="134">
        <f t="shared" si="18"/>
        <v>340</v>
      </c>
      <c r="AK46" s="572">
        <f t="shared" si="31"/>
        <v>80</v>
      </c>
      <c r="AL46" s="576">
        <v>525.0</v>
      </c>
      <c r="AM46" s="572">
        <f t="shared" si="54"/>
        <v>21.89102564</v>
      </c>
      <c r="AN46" s="572" t="str">
        <f t="shared" si="28"/>
        <v>=156</v>
      </c>
      <c r="AO46" s="153">
        <f t="shared" si="12"/>
        <v>156</v>
      </c>
      <c r="AP46" s="22">
        <v>20.0</v>
      </c>
      <c r="AQ46" s="134">
        <v>10.0</v>
      </c>
      <c r="AR46" s="134">
        <v>10.0</v>
      </c>
      <c r="AS46" s="134">
        <f t="shared" si="13"/>
        <v>39</v>
      </c>
      <c r="AT46" s="22">
        <v>8440.0</v>
      </c>
      <c r="AU46" s="161">
        <v>3415.0</v>
      </c>
      <c r="AV46" s="134">
        <v>4380.0</v>
      </c>
      <c r="AW46" s="134">
        <v>1750.0</v>
      </c>
      <c r="AX46" s="134">
        <v>4780.0</v>
      </c>
      <c r="AY46" s="134">
        <v>2150.0</v>
      </c>
      <c r="AZ46" s="22">
        <v>16560.0</v>
      </c>
      <c r="BA46" s="161">
        <v>6825.0</v>
      </c>
      <c r="BB46" s="220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8"/>
      <c r="BY46" s="8"/>
      <c r="BZ46" s="8"/>
      <c r="CA46" s="8"/>
      <c r="CB46" s="8"/>
      <c r="CC46" s="8"/>
      <c r="CD46" s="8"/>
      <c r="CE46" s="1"/>
    </row>
    <row r="47" ht="12.75" hidden="1" customHeight="1">
      <c r="A47" s="126">
        <f t="shared" si="2"/>
        <v>43</v>
      </c>
      <c r="B47" s="124"/>
      <c r="C47" s="124"/>
      <c r="D47" s="124"/>
      <c r="E47" s="213">
        <f t="shared" ref="E47:F47" si="106">E46+35</f>
        <v>1690</v>
      </c>
      <c r="F47" s="213">
        <f t="shared" si="106"/>
        <v>1515</v>
      </c>
      <c r="G47" s="8"/>
      <c r="H47" s="126">
        <f t="shared" si="4"/>
        <v>43</v>
      </c>
      <c r="I47" s="126"/>
      <c r="J47" s="124"/>
      <c r="K47" s="124"/>
      <c r="L47" s="213">
        <f t="shared" ref="L47:M47" si="107">L46+55</f>
        <v>2365</v>
      </c>
      <c r="M47" s="213">
        <f t="shared" si="107"/>
        <v>2365</v>
      </c>
      <c r="N47" s="1"/>
      <c r="O47" s="142"/>
      <c r="P47" s="143">
        <v>160.0</v>
      </c>
      <c r="Q47" s="152">
        <v>10.0</v>
      </c>
      <c r="R47" s="152">
        <v>5.0</v>
      </c>
      <c r="S47" s="152">
        <v>5.0</v>
      </c>
      <c r="T47" s="152">
        <v>20.0</v>
      </c>
      <c r="U47" s="152">
        <v>20.0</v>
      </c>
      <c r="V47" s="152">
        <v>10.0</v>
      </c>
      <c r="W47" s="152">
        <v>10.0</v>
      </c>
      <c r="X47" s="152">
        <v>40.0</v>
      </c>
      <c r="Y47" s="152">
        <v>10.0</v>
      </c>
      <c r="Z47" s="152">
        <v>3485.0</v>
      </c>
      <c r="AA47" s="152">
        <v>1900.0</v>
      </c>
      <c r="AB47" s="152">
        <f t="shared" ref="AB47:AC47" si="108">Z47-Z46</f>
        <v>70</v>
      </c>
      <c r="AC47" s="152">
        <f t="shared" si="108"/>
        <v>45</v>
      </c>
      <c r="AD47" s="152">
        <v>1785.0</v>
      </c>
      <c r="AE47" s="152">
        <v>950.0</v>
      </c>
      <c r="AF47" s="152">
        <v>1985.0</v>
      </c>
      <c r="AG47" s="152">
        <v>1150.0</v>
      </c>
      <c r="AH47" s="217">
        <v>6885.0</v>
      </c>
      <c r="AI47" s="217">
        <v>3800.0</v>
      </c>
      <c r="AJ47" s="134">
        <f t="shared" si="18"/>
        <v>340</v>
      </c>
      <c r="AK47" s="572">
        <f t="shared" si="31"/>
        <v>70</v>
      </c>
      <c r="AL47" s="576">
        <v>525.0</v>
      </c>
      <c r="AM47" s="572">
        <f t="shared" si="54"/>
        <v>21.78125</v>
      </c>
      <c r="AN47" s="572" t="str">
        <f t="shared" si="28"/>
        <v>=160</v>
      </c>
      <c r="AO47" s="153">
        <f t="shared" si="12"/>
        <v>160</v>
      </c>
      <c r="AP47" s="22">
        <v>20.0</v>
      </c>
      <c r="AQ47" s="134">
        <v>10.0</v>
      </c>
      <c r="AR47" s="134">
        <v>10.0</v>
      </c>
      <c r="AS47" s="134">
        <f t="shared" si="13"/>
        <v>40</v>
      </c>
      <c r="AT47" s="22">
        <v>8580.0</v>
      </c>
      <c r="AU47" s="161">
        <v>3500.0</v>
      </c>
      <c r="AV47" s="160">
        <v>4380.0</v>
      </c>
      <c r="AW47" s="161">
        <v>1750.0</v>
      </c>
      <c r="AX47" s="134">
        <v>4780.0</v>
      </c>
      <c r="AY47" s="134">
        <v>2150.0</v>
      </c>
      <c r="AZ47" s="22">
        <v>16980.0</v>
      </c>
      <c r="BA47" s="161">
        <v>7000.0</v>
      </c>
      <c r="BB47" s="220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8"/>
      <c r="BY47" s="8"/>
      <c r="BZ47" s="8"/>
      <c r="CA47" s="8"/>
      <c r="CB47" s="8"/>
      <c r="CC47" s="8"/>
      <c r="CD47" s="8"/>
      <c r="CE47" s="1"/>
    </row>
    <row r="48" ht="12.75" hidden="1" customHeight="1">
      <c r="A48" s="126">
        <f t="shared" si="2"/>
        <v>44</v>
      </c>
      <c r="B48" s="124"/>
      <c r="C48" s="124"/>
      <c r="D48" s="124"/>
      <c r="E48" s="213">
        <f t="shared" ref="E48:F48" si="109">E47+35</f>
        <v>1725</v>
      </c>
      <c r="F48" s="213">
        <f t="shared" si="109"/>
        <v>1550</v>
      </c>
      <c r="G48" s="8"/>
      <c r="H48" s="126">
        <f t="shared" si="4"/>
        <v>44</v>
      </c>
      <c r="I48" s="126"/>
      <c r="J48" s="124"/>
      <c r="K48" s="124"/>
      <c r="L48" s="213">
        <f t="shared" ref="L48:M48" si="110">L47+55</f>
        <v>2420</v>
      </c>
      <c r="M48" s="213">
        <f t="shared" si="110"/>
        <v>2420</v>
      </c>
      <c r="N48" s="1"/>
      <c r="O48" s="142"/>
      <c r="P48" s="143">
        <v>164.0</v>
      </c>
      <c r="Q48" s="152">
        <v>11.0</v>
      </c>
      <c r="R48" s="152">
        <v>6.0</v>
      </c>
      <c r="S48" s="152">
        <v>6.0</v>
      </c>
      <c r="T48" s="152">
        <v>21.0</v>
      </c>
      <c r="U48" s="152">
        <v>21.0</v>
      </c>
      <c r="V48" s="152">
        <v>11.0</v>
      </c>
      <c r="W48" s="152">
        <v>11.0</v>
      </c>
      <c r="X48" s="152">
        <v>41.0</v>
      </c>
      <c r="Y48" s="152">
        <v>10.25</v>
      </c>
      <c r="Z48" s="152">
        <v>3585.0</v>
      </c>
      <c r="AA48" s="152">
        <v>1950.0</v>
      </c>
      <c r="AB48" s="152">
        <f t="shared" ref="AB48:AC48" si="111">Z48-Z47</f>
        <v>100</v>
      </c>
      <c r="AC48" s="152">
        <f t="shared" si="111"/>
        <v>50</v>
      </c>
      <c r="AD48" s="152">
        <v>1885.0</v>
      </c>
      <c r="AE48" s="152">
        <v>100.0</v>
      </c>
      <c r="AF48" s="152">
        <v>2105.0</v>
      </c>
      <c r="AG48" s="152">
        <v>320.0</v>
      </c>
      <c r="AH48" s="217">
        <v>7075.0</v>
      </c>
      <c r="AI48" s="217">
        <v>3895.0</v>
      </c>
      <c r="AJ48" s="134">
        <f t="shared" si="18"/>
        <v>340</v>
      </c>
      <c r="AK48" s="572">
        <f t="shared" si="31"/>
        <v>100</v>
      </c>
      <c r="AL48" s="576">
        <v>525.0</v>
      </c>
      <c r="AM48" s="572">
        <f t="shared" si="54"/>
        <v>21.8597561</v>
      </c>
      <c r="AN48" s="572" t="str">
        <f t="shared" si="28"/>
        <v>=164</v>
      </c>
      <c r="AO48" s="153">
        <f t="shared" si="12"/>
        <v>164</v>
      </c>
      <c r="AP48" s="22">
        <v>21.0</v>
      </c>
      <c r="AQ48" s="134">
        <v>11.0</v>
      </c>
      <c r="AR48" s="134">
        <v>11.0</v>
      </c>
      <c r="AS48" s="134">
        <f t="shared" si="13"/>
        <v>41</v>
      </c>
      <c r="AT48" s="22">
        <v>8860.0</v>
      </c>
      <c r="AU48" s="161">
        <v>3590.0</v>
      </c>
      <c r="AV48" s="134">
        <v>4660.0</v>
      </c>
      <c r="AW48" s="134">
        <v>1840.0</v>
      </c>
      <c r="AX48" s="134">
        <v>5080.0</v>
      </c>
      <c r="AY48" s="134">
        <v>2260.0</v>
      </c>
      <c r="AZ48" s="22">
        <v>17400.0</v>
      </c>
      <c r="BA48" s="161">
        <v>7175.0</v>
      </c>
      <c r="BB48" s="220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8"/>
      <c r="BY48" s="8"/>
      <c r="BZ48" s="8"/>
      <c r="CA48" s="8"/>
      <c r="CB48" s="8"/>
      <c r="CC48" s="8"/>
      <c r="CD48" s="8"/>
      <c r="CE48" s="1"/>
    </row>
    <row r="49" ht="12.75" customHeight="1">
      <c r="A49" s="126">
        <f t="shared" si="2"/>
        <v>45</v>
      </c>
      <c r="B49" s="124"/>
      <c r="C49" s="124"/>
      <c r="D49" s="124"/>
      <c r="E49" s="213">
        <f t="shared" ref="E49:F49" si="112">E48+35</f>
        <v>1760</v>
      </c>
      <c r="F49" s="213">
        <f t="shared" si="112"/>
        <v>1585</v>
      </c>
      <c r="G49" s="8"/>
      <c r="H49" s="126">
        <f t="shared" si="4"/>
        <v>45</v>
      </c>
      <c r="I49" s="126"/>
      <c r="J49" s="124"/>
      <c r="K49" s="124"/>
      <c r="L49" s="213">
        <f t="shared" ref="L49:M49" si="113">L48+55</f>
        <v>2475</v>
      </c>
      <c r="M49" s="213">
        <f t="shared" si="113"/>
        <v>2475</v>
      </c>
      <c r="N49" s="1"/>
      <c r="O49" s="142"/>
      <c r="P49" s="143">
        <v>168.0</v>
      </c>
      <c r="Q49" s="152">
        <v>11.0</v>
      </c>
      <c r="R49" s="152">
        <v>6.0</v>
      </c>
      <c r="S49" s="152">
        <v>6.0</v>
      </c>
      <c r="T49" s="152">
        <v>21.0</v>
      </c>
      <c r="U49" s="152">
        <v>21.0</v>
      </c>
      <c r="V49" s="152">
        <v>11.0</v>
      </c>
      <c r="W49" s="152">
        <v>11.0</v>
      </c>
      <c r="X49" s="152">
        <v>42.0</v>
      </c>
      <c r="Y49" s="152">
        <v>10.5</v>
      </c>
      <c r="Z49" s="152">
        <v>3675.0</v>
      </c>
      <c r="AA49" s="152">
        <v>1995.0</v>
      </c>
      <c r="AB49" s="152">
        <f t="shared" ref="AB49:AC49" si="114">Z49-Z48</f>
        <v>90</v>
      </c>
      <c r="AC49" s="152">
        <f t="shared" si="114"/>
        <v>45</v>
      </c>
      <c r="AD49" s="152">
        <v>1885.0</v>
      </c>
      <c r="AE49" s="152">
        <v>100.0</v>
      </c>
      <c r="AF49" s="152">
        <v>2105.0</v>
      </c>
      <c r="AG49" s="152">
        <v>320.0</v>
      </c>
      <c r="AH49" s="217">
        <v>7225.0</v>
      </c>
      <c r="AI49" s="217">
        <v>3990.0</v>
      </c>
      <c r="AJ49" s="134">
        <f t="shared" si="18"/>
        <v>340</v>
      </c>
      <c r="AK49" s="572">
        <f t="shared" si="31"/>
        <v>90</v>
      </c>
      <c r="AL49" s="576">
        <v>525.0</v>
      </c>
      <c r="AM49" s="572">
        <f t="shared" si="54"/>
        <v>21.875</v>
      </c>
      <c r="AN49" s="572" t="str">
        <f t="shared" si="28"/>
        <v>=168</v>
      </c>
      <c r="AO49" s="153">
        <f t="shared" si="12"/>
        <v>168</v>
      </c>
      <c r="AP49" s="22">
        <v>21.0</v>
      </c>
      <c r="AQ49" s="134">
        <v>11.0</v>
      </c>
      <c r="AR49" s="134">
        <v>11.0</v>
      </c>
      <c r="AS49" s="134">
        <f t="shared" si="13"/>
        <v>42</v>
      </c>
      <c r="AT49" s="22">
        <v>9000.0</v>
      </c>
      <c r="AU49" s="161">
        <v>3675.0</v>
      </c>
      <c r="AV49" s="160">
        <v>4660.0</v>
      </c>
      <c r="AW49" s="161">
        <v>1840.0</v>
      </c>
      <c r="AX49" s="134">
        <v>5080.0</v>
      </c>
      <c r="AY49" s="134">
        <v>2260.0</v>
      </c>
      <c r="AZ49" s="22">
        <v>17820.0</v>
      </c>
      <c r="BA49" s="161">
        <v>7350.0</v>
      </c>
      <c r="BB49" s="220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8"/>
      <c r="BY49" s="8"/>
      <c r="BZ49" s="8"/>
      <c r="CA49" s="8"/>
      <c r="CB49" s="8"/>
      <c r="CC49" s="8"/>
      <c r="CD49" s="8"/>
      <c r="CE49" s="1"/>
    </row>
    <row r="50" ht="12.75" hidden="1" customHeight="1">
      <c r="A50" s="126">
        <f t="shared" si="2"/>
        <v>46</v>
      </c>
      <c r="B50" s="124"/>
      <c r="C50" s="124"/>
      <c r="D50" s="124"/>
      <c r="E50" s="213">
        <f t="shared" ref="E50:F50" si="115">E49+35</f>
        <v>1795</v>
      </c>
      <c r="F50" s="213">
        <f t="shared" si="115"/>
        <v>1620</v>
      </c>
      <c r="G50" s="8"/>
      <c r="H50" s="126">
        <f t="shared" si="4"/>
        <v>46</v>
      </c>
      <c r="I50" s="126"/>
      <c r="J50" s="124"/>
      <c r="K50" s="124"/>
      <c r="L50" s="213">
        <f t="shared" ref="L50:M50" si="116">L49+55</f>
        <v>2530</v>
      </c>
      <c r="M50" s="213">
        <f t="shared" si="116"/>
        <v>2530</v>
      </c>
      <c r="N50" s="1"/>
      <c r="O50" s="142"/>
      <c r="P50" s="143">
        <v>172.0</v>
      </c>
      <c r="Q50" s="152">
        <v>12.0</v>
      </c>
      <c r="R50" s="152">
        <v>6.0</v>
      </c>
      <c r="S50" s="152">
        <v>6.0</v>
      </c>
      <c r="T50" s="152">
        <v>22.0</v>
      </c>
      <c r="U50" s="152">
        <v>22.0</v>
      </c>
      <c r="V50" s="152">
        <v>11.0</v>
      </c>
      <c r="W50" s="152">
        <v>11.0</v>
      </c>
      <c r="X50" s="152">
        <v>43.0</v>
      </c>
      <c r="Y50" s="152">
        <v>11.0</v>
      </c>
      <c r="Z50" s="152">
        <v>3755.0</v>
      </c>
      <c r="AA50" s="152">
        <v>2045.0</v>
      </c>
      <c r="AB50" s="152">
        <f t="shared" ref="AB50:AC50" si="117">Z50-Z49</f>
        <v>80</v>
      </c>
      <c r="AC50" s="152">
        <f t="shared" si="117"/>
        <v>50</v>
      </c>
      <c r="AD50" s="152">
        <v>1975.0</v>
      </c>
      <c r="AE50" s="152">
        <v>1045.0</v>
      </c>
      <c r="AF50" s="152">
        <v>2195.0</v>
      </c>
      <c r="AG50" s="152">
        <v>1265.0</v>
      </c>
      <c r="AH50" s="217">
        <v>7415.0</v>
      </c>
      <c r="AI50" s="217">
        <v>4085.0</v>
      </c>
      <c r="AJ50" s="134">
        <f t="shared" si="18"/>
        <v>340</v>
      </c>
      <c r="AK50" s="572">
        <f t="shared" si="31"/>
        <v>80</v>
      </c>
      <c r="AL50" s="576">
        <v>525.0</v>
      </c>
      <c r="AM50" s="572">
        <f t="shared" si="54"/>
        <v>21.83139535</v>
      </c>
      <c r="AN50" s="572" t="str">
        <f t="shared" si="28"/>
        <v>=172</v>
      </c>
      <c r="AO50" s="153">
        <f t="shared" si="12"/>
        <v>172</v>
      </c>
      <c r="AP50" s="22">
        <v>22.0</v>
      </c>
      <c r="AQ50" s="134">
        <v>11.0</v>
      </c>
      <c r="AR50" s="134">
        <v>11.0</v>
      </c>
      <c r="AS50" s="134">
        <f t="shared" si="13"/>
        <v>43</v>
      </c>
      <c r="AT50" s="22">
        <v>9280.0</v>
      </c>
      <c r="AU50" s="161">
        <v>3765.0</v>
      </c>
      <c r="AV50" s="134">
        <v>4800.0</v>
      </c>
      <c r="AW50" s="134">
        <v>1925.0</v>
      </c>
      <c r="AX50" s="134">
        <v>5240.0</v>
      </c>
      <c r="AY50" s="134">
        <v>2365.0</v>
      </c>
      <c r="AZ50" s="22">
        <v>18240.0</v>
      </c>
      <c r="BA50" s="161">
        <v>7525.0</v>
      </c>
      <c r="BB50" s="220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8"/>
      <c r="BY50" s="8"/>
      <c r="BZ50" s="8"/>
      <c r="CA50" s="8"/>
      <c r="CB50" s="8"/>
      <c r="CC50" s="8"/>
      <c r="CD50" s="8"/>
      <c r="CE50" s="1"/>
    </row>
    <row r="51" ht="12.75" hidden="1" customHeight="1">
      <c r="A51" s="126">
        <f t="shared" si="2"/>
        <v>47</v>
      </c>
      <c r="B51" s="124"/>
      <c r="C51" s="124"/>
      <c r="D51" s="124"/>
      <c r="E51" s="213">
        <f t="shared" ref="E51:F51" si="118">E50+35</f>
        <v>1830</v>
      </c>
      <c r="F51" s="213">
        <f t="shared" si="118"/>
        <v>1655</v>
      </c>
      <c r="G51" s="8"/>
      <c r="H51" s="126">
        <f t="shared" si="4"/>
        <v>47</v>
      </c>
      <c r="I51" s="126"/>
      <c r="J51" s="124"/>
      <c r="K51" s="124"/>
      <c r="L51" s="213">
        <f t="shared" ref="L51:M51" si="119">L50+55</f>
        <v>2585</v>
      </c>
      <c r="M51" s="213">
        <f t="shared" si="119"/>
        <v>2585</v>
      </c>
      <c r="N51" s="1"/>
      <c r="O51" s="142"/>
      <c r="P51" s="143">
        <v>176.0</v>
      </c>
      <c r="Q51" s="152">
        <v>11.0</v>
      </c>
      <c r="R51" s="152">
        <v>6.0</v>
      </c>
      <c r="S51" s="152">
        <v>6.0</v>
      </c>
      <c r="T51" s="152">
        <v>22.0</v>
      </c>
      <c r="U51" s="152">
        <v>22.0</v>
      </c>
      <c r="V51" s="152">
        <v>11.0</v>
      </c>
      <c r="W51" s="152">
        <v>11.0</v>
      </c>
      <c r="X51" s="152">
        <v>44.0</v>
      </c>
      <c r="Y51" s="152">
        <v>11.0</v>
      </c>
      <c r="Z51" s="152">
        <v>3825.0</v>
      </c>
      <c r="AA51" s="152">
        <v>2090.0</v>
      </c>
      <c r="AB51" s="152">
        <f t="shared" ref="AB51:AC51" si="120">Z51-Z50</f>
        <v>70</v>
      </c>
      <c r="AC51" s="152">
        <f t="shared" si="120"/>
        <v>45</v>
      </c>
      <c r="AD51" s="152">
        <v>1975.0</v>
      </c>
      <c r="AE51" s="152">
        <v>1045.0</v>
      </c>
      <c r="AF51" s="152">
        <v>2195.0</v>
      </c>
      <c r="AG51" s="152">
        <v>1265.0</v>
      </c>
      <c r="AH51" s="217">
        <v>7565.0</v>
      </c>
      <c r="AI51" s="217">
        <v>4180.0</v>
      </c>
      <c r="AJ51" s="134">
        <f t="shared" si="18"/>
        <v>340</v>
      </c>
      <c r="AK51" s="572">
        <f t="shared" si="31"/>
        <v>70</v>
      </c>
      <c r="AL51" s="576">
        <v>525.0</v>
      </c>
      <c r="AM51" s="572">
        <f t="shared" si="54"/>
        <v>21.73295455</v>
      </c>
      <c r="AN51" s="572" t="str">
        <f t="shared" si="28"/>
        <v>=176</v>
      </c>
      <c r="AO51" s="153">
        <f t="shared" si="12"/>
        <v>176</v>
      </c>
      <c r="AP51" s="22">
        <v>22.0</v>
      </c>
      <c r="AQ51" s="134">
        <v>11.0</v>
      </c>
      <c r="AR51" s="134">
        <v>11.0</v>
      </c>
      <c r="AS51" s="134">
        <f t="shared" si="13"/>
        <v>44</v>
      </c>
      <c r="AT51" s="22">
        <v>9420.0</v>
      </c>
      <c r="AU51" s="161">
        <v>3850.0</v>
      </c>
      <c r="AV51" s="160">
        <v>4800.0</v>
      </c>
      <c r="AW51" s="161">
        <v>1925.0</v>
      </c>
      <c r="AX51" s="134">
        <v>5240.0</v>
      </c>
      <c r="AY51" s="134">
        <v>2365.0</v>
      </c>
      <c r="AZ51" s="22">
        <v>18660.0</v>
      </c>
      <c r="BA51" s="161">
        <v>7700.0</v>
      </c>
      <c r="BB51" s="220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8"/>
      <c r="BY51" s="8"/>
      <c r="BZ51" s="8"/>
      <c r="CA51" s="8"/>
      <c r="CB51" s="8"/>
      <c r="CC51" s="8"/>
      <c r="CD51" s="8"/>
      <c r="CE51" s="1"/>
    </row>
    <row r="52" ht="12.75" hidden="1" customHeight="1">
      <c r="A52" s="126">
        <f t="shared" si="2"/>
        <v>48</v>
      </c>
      <c r="B52" s="124"/>
      <c r="C52" s="124"/>
      <c r="D52" s="124"/>
      <c r="E52" s="213">
        <f t="shared" ref="E52:F52" si="121">E51+35</f>
        <v>1865</v>
      </c>
      <c r="F52" s="213">
        <f t="shared" si="121"/>
        <v>1690</v>
      </c>
      <c r="G52" s="8"/>
      <c r="H52" s="126">
        <f t="shared" si="4"/>
        <v>48</v>
      </c>
      <c r="I52" s="126"/>
      <c r="J52" s="124"/>
      <c r="K52" s="124"/>
      <c r="L52" s="213">
        <f t="shared" ref="L52:M52" si="122">L51+55</f>
        <v>2640</v>
      </c>
      <c r="M52" s="213">
        <f t="shared" si="122"/>
        <v>2640</v>
      </c>
      <c r="N52" s="1"/>
      <c r="O52" s="142"/>
      <c r="P52" s="143">
        <v>180.0</v>
      </c>
      <c r="Q52" s="152">
        <v>12.0</v>
      </c>
      <c r="R52" s="152">
        <v>7.0</v>
      </c>
      <c r="S52" s="152">
        <v>7.0</v>
      </c>
      <c r="T52" s="152">
        <v>23.0</v>
      </c>
      <c r="U52" s="152">
        <v>23.0</v>
      </c>
      <c r="V52" s="152">
        <v>12.0</v>
      </c>
      <c r="W52" s="152">
        <v>12.0</v>
      </c>
      <c r="X52" s="152">
        <v>45.0</v>
      </c>
      <c r="Y52" s="152">
        <v>11.25</v>
      </c>
      <c r="Z52" s="152">
        <v>3925.0</v>
      </c>
      <c r="AA52" s="152">
        <v>2140.0</v>
      </c>
      <c r="AB52" s="152">
        <f t="shared" ref="AB52:AC52" si="123">Z52-Z51</f>
        <v>100</v>
      </c>
      <c r="AC52" s="152">
        <f t="shared" si="123"/>
        <v>50</v>
      </c>
      <c r="AD52" s="152">
        <v>2055.0</v>
      </c>
      <c r="AE52" s="152">
        <v>1095.0</v>
      </c>
      <c r="AF52" s="152">
        <v>2295.0</v>
      </c>
      <c r="AG52" s="152">
        <v>1335.0</v>
      </c>
      <c r="AH52" s="217">
        <v>7755.0</v>
      </c>
      <c r="AI52" s="217">
        <v>4275.0</v>
      </c>
      <c r="AJ52" s="134">
        <f t="shared" si="18"/>
        <v>340</v>
      </c>
      <c r="AK52" s="572">
        <f t="shared" si="31"/>
        <v>100</v>
      </c>
      <c r="AL52" s="576">
        <v>525.0</v>
      </c>
      <c r="AM52" s="572">
        <f t="shared" si="54"/>
        <v>21.80555556</v>
      </c>
      <c r="AN52" s="572" t="str">
        <f t="shared" si="28"/>
        <v>=180</v>
      </c>
      <c r="AO52" s="153">
        <f t="shared" si="12"/>
        <v>180</v>
      </c>
      <c r="AP52" s="22">
        <v>23.0</v>
      </c>
      <c r="AQ52" s="134">
        <v>12.0</v>
      </c>
      <c r="AR52" s="134">
        <v>12.0</v>
      </c>
      <c r="AS52" s="134">
        <f t="shared" si="13"/>
        <v>45</v>
      </c>
      <c r="AT52" s="22">
        <v>9700.0</v>
      </c>
      <c r="AU52" s="161">
        <v>3940.0</v>
      </c>
      <c r="AV52" s="134">
        <v>5080.0</v>
      </c>
      <c r="AW52" s="134">
        <v>2015.0</v>
      </c>
      <c r="AX52" s="134">
        <v>5540.0</v>
      </c>
      <c r="AY52" s="134">
        <v>2475.0</v>
      </c>
      <c r="AZ52" s="22">
        <v>19080.0</v>
      </c>
      <c r="BA52" s="161">
        <v>7875.0</v>
      </c>
      <c r="BB52" s="220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8"/>
      <c r="BY52" s="8"/>
      <c r="BZ52" s="8"/>
      <c r="CA52" s="8"/>
      <c r="CB52" s="8"/>
      <c r="CC52" s="8"/>
      <c r="CD52" s="8"/>
      <c r="CE52" s="1"/>
    </row>
    <row r="53" ht="12.75" customHeight="1">
      <c r="A53" s="126">
        <f t="shared" si="2"/>
        <v>49</v>
      </c>
      <c r="B53" s="124"/>
      <c r="C53" s="124"/>
      <c r="D53" s="124"/>
      <c r="E53" s="213">
        <f t="shared" ref="E53:F53" si="124">E52+35</f>
        <v>1900</v>
      </c>
      <c r="F53" s="213">
        <f t="shared" si="124"/>
        <v>1725</v>
      </c>
      <c r="G53" s="8"/>
      <c r="H53" s="126">
        <f t="shared" si="4"/>
        <v>49</v>
      </c>
      <c r="I53" s="126"/>
      <c r="J53" s="124"/>
      <c r="K53" s="124"/>
      <c r="L53" s="213">
        <f t="shared" ref="L53:M53" si="125">L52+55</f>
        <v>2695</v>
      </c>
      <c r="M53" s="213">
        <f t="shared" si="125"/>
        <v>2695</v>
      </c>
      <c r="N53" s="1"/>
      <c r="O53" s="142"/>
      <c r="P53" s="143">
        <v>184.0</v>
      </c>
      <c r="Q53" s="152">
        <v>12.0</v>
      </c>
      <c r="R53" s="152">
        <v>7.0</v>
      </c>
      <c r="S53" s="152">
        <v>7.0</v>
      </c>
      <c r="T53" s="152">
        <v>23.0</v>
      </c>
      <c r="U53" s="152">
        <v>23.0</v>
      </c>
      <c r="V53" s="152">
        <v>12.0</v>
      </c>
      <c r="W53" s="152">
        <v>12.0</v>
      </c>
      <c r="X53" s="152">
        <v>46.0</v>
      </c>
      <c r="Y53" s="152">
        <v>11.5</v>
      </c>
      <c r="Z53" s="152">
        <v>4015.0</v>
      </c>
      <c r="AA53" s="152">
        <v>2185.0</v>
      </c>
      <c r="AB53" s="152">
        <f t="shared" ref="AB53:AC53" si="126">Z53-Z52</f>
        <v>90</v>
      </c>
      <c r="AC53" s="152">
        <f t="shared" si="126"/>
        <v>45</v>
      </c>
      <c r="AD53" s="152">
        <v>2055.0</v>
      </c>
      <c r="AE53" s="152">
        <v>1095.0</v>
      </c>
      <c r="AF53" s="152">
        <v>2295.0</v>
      </c>
      <c r="AG53" s="152">
        <v>1335.0</v>
      </c>
      <c r="AH53" s="217">
        <v>7905.0</v>
      </c>
      <c r="AI53" s="217">
        <v>4370.0</v>
      </c>
      <c r="AJ53" s="134">
        <f t="shared" si="18"/>
        <v>340</v>
      </c>
      <c r="AK53" s="572">
        <f t="shared" si="31"/>
        <v>90</v>
      </c>
      <c r="AL53" s="576">
        <v>525.0</v>
      </c>
      <c r="AM53" s="572">
        <f t="shared" si="54"/>
        <v>21.82065217</v>
      </c>
      <c r="AN53" s="572" t="str">
        <f t="shared" si="28"/>
        <v>=184</v>
      </c>
      <c r="AO53" s="153">
        <f t="shared" si="12"/>
        <v>184</v>
      </c>
      <c r="AP53" s="22">
        <v>23.0</v>
      </c>
      <c r="AQ53" s="134">
        <v>12.0</v>
      </c>
      <c r="AR53" s="134">
        <v>12.0</v>
      </c>
      <c r="AS53" s="134">
        <f t="shared" si="13"/>
        <v>46</v>
      </c>
      <c r="AT53" s="22">
        <v>9840.0</v>
      </c>
      <c r="AU53" s="161">
        <v>4025.0</v>
      </c>
      <c r="AV53" s="160">
        <v>5080.0</v>
      </c>
      <c r="AW53" s="161">
        <v>2015.0</v>
      </c>
      <c r="AX53" s="134">
        <v>5540.0</v>
      </c>
      <c r="AY53" s="134">
        <v>2475.0</v>
      </c>
      <c r="AZ53" s="22">
        <v>19500.0</v>
      </c>
      <c r="BA53" s="161">
        <v>8050.0</v>
      </c>
      <c r="BB53" s="220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8"/>
      <c r="BY53" s="8"/>
      <c r="BZ53" s="8"/>
      <c r="CA53" s="8"/>
      <c r="CB53" s="8"/>
      <c r="CC53" s="8"/>
      <c r="CD53" s="8"/>
      <c r="CE53" s="1"/>
    </row>
    <row r="54" ht="14.25" hidden="1" customHeight="1">
      <c r="A54" s="126">
        <f t="shared" si="2"/>
        <v>50</v>
      </c>
      <c r="B54" s="124"/>
      <c r="C54" s="124"/>
      <c r="D54" s="124"/>
      <c r="E54" s="213">
        <f t="shared" ref="E54:F54" si="127">E53+35</f>
        <v>1935</v>
      </c>
      <c r="F54" s="213">
        <f t="shared" si="127"/>
        <v>1760</v>
      </c>
      <c r="G54" s="8"/>
      <c r="H54" s="126">
        <f t="shared" si="4"/>
        <v>50</v>
      </c>
      <c r="I54" s="126"/>
      <c r="J54" s="124"/>
      <c r="K54" s="124"/>
      <c r="L54" s="213">
        <f t="shared" ref="L54:M54" si="128">L53+55</f>
        <v>2750</v>
      </c>
      <c r="M54" s="213">
        <f t="shared" si="128"/>
        <v>2750</v>
      </c>
      <c r="N54" s="1"/>
      <c r="O54" s="142"/>
      <c r="P54" s="143">
        <v>188.0</v>
      </c>
      <c r="Q54" s="152">
        <v>13.0</v>
      </c>
      <c r="R54" s="152">
        <v>6.0</v>
      </c>
      <c r="S54" s="152">
        <v>6.0</v>
      </c>
      <c r="T54" s="152">
        <v>24.0</v>
      </c>
      <c r="U54" s="152">
        <v>24.0</v>
      </c>
      <c r="V54" s="152">
        <v>12.0</v>
      </c>
      <c r="W54" s="152">
        <v>12.0</v>
      </c>
      <c r="X54" s="152">
        <v>47.0</v>
      </c>
      <c r="Y54" s="152">
        <v>12.0</v>
      </c>
      <c r="Z54" s="152">
        <v>4095.0</v>
      </c>
      <c r="AA54" s="152">
        <v>2235.0</v>
      </c>
      <c r="AB54" s="152">
        <f t="shared" ref="AB54:AC54" si="129">Z54-Z53</f>
        <v>80</v>
      </c>
      <c r="AC54" s="152">
        <f t="shared" si="129"/>
        <v>50</v>
      </c>
      <c r="AD54" s="152">
        <v>2125.0</v>
      </c>
      <c r="AE54" s="152">
        <v>1140.0</v>
      </c>
      <c r="AF54" s="152">
        <v>2365.0</v>
      </c>
      <c r="AG54" s="152">
        <v>1380.0</v>
      </c>
      <c r="AH54" s="217">
        <v>8095.0</v>
      </c>
      <c r="AI54" s="217">
        <v>4465.0</v>
      </c>
      <c r="AJ54" s="134">
        <f t="shared" si="18"/>
        <v>340</v>
      </c>
      <c r="AK54" s="572">
        <f t="shared" si="31"/>
        <v>80</v>
      </c>
      <c r="AL54" s="576">
        <v>525.0</v>
      </c>
      <c r="AM54" s="572">
        <f t="shared" si="54"/>
        <v>21.78191489</v>
      </c>
      <c r="AN54" s="572" t="str">
        <f t="shared" si="28"/>
        <v>=188</v>
      </c>
      <c r="AO54" s="221">
        <f t="shared" si="12"/>
        <v>188</v>
      </c>
      <c r="AP54" s="222">
        <v>24.0</v>
      </c>
      <c r="AQ54" s="223">
        <v>12.0</v>
      </c>
      <c r="AR54" s="223">
        <v>12.0</v>
      </c>
      <c r="AS54" s="223">
        <f t="shared" si="13"/>
        <v>47</v>
      </c>
      <c r="AT54" s="222">
        <v>10120.0</v>
      </c>
      <c r="AU54" s="224">
        <v>4115.0</v>
      </c>
      <c r="AV54" s="223">
        <v>5220.0</v>
      </c>
      <c r="AW54" s="223">
        <v>2100.0</v>
      </c>
      <c r="AX54" s="223">
        <v>5700.0</v>
      </c>
      <c r="AY54" s="223">
        <v>2580.0</v>
      </c>
      <c r="AZ54" s="222">
        <v>19920.0</v>
      </c>
      <c r="BA54" s="161">
        <v>8225.0</v>
      </c>
      <c r="BB54" s="220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8"/>
      <c r="BY54" s="8"/>
      <c r="BZ54" s="8"/>
      <c r="CA54" s="8"/>
      <c r="CB54" s="8"/>
      <c r="CC54" s="8"/>
      <c r="CD54" s="8"/>
      <c r="CE54" s="1"/>
    </row>
    <row r="55" ht="12.75" hidden="1" customHeight="1">
      <c r="A55" s="126">
        <f t="shared" si="2"/>
        <v>51</v>
      </c>
      <c r="B55" s="124"/>
      <c r="C55" s="124"/>
      <c r="D55" s="124"/>
      <c r="E55" s="213">
        <f t="shared" ref="E55:F55" si="130">E54+35</f>
        <v>1970</v>
      </c>
      <c r="F55" s="213">
        <f t="shared" si="130"/>
        <v>1795</v>
      </c>
      <c r="G55" s="8"/>
      <c r="H55" s="126">
        <f t="shared" si="4"/>
        <v>51</v>
      </c>
      <c r="I55" s="126"/>
      <c r="J55" s="124"/>
      <c r="K55" s="124"/>
      <c r="L55" s="213">
        <f t="shared" ref="L55:M55" si="131">L54+55</f>
        <v>2805</v>
      </c>
      <c r="M55" s="213">
        <f t="shared" si="131"/>
        <v>2805</v>
      </c>
      <c r="N55" s="8"/>
      <c r="O55" s="142"/>
      <c r="P55" s="143">
        <v>192.0</v>
      </c>
      <c r="Q55" s="152">
        <v>12.0</v>
      </c>
      <c r="R55" s="152">
        <v>6.0</v>
      </c>
      <c r="S55" s="152">
        <v>6.0</v>
      </c>
      <c r="T55" s="152">
        <v>24.0</v>
      </c>
      <c r="U55" s="152">
        <v>24.0</v>
      </c>
      <c r="V55" s="152">
        <v>12.0</v>
      </c>
      <c r="W55" s="152">
        <v>12.0</v>
      </c>
      <c r="X55" s="152">
        <v>48.0</v>
      </c>
      <c r="Y55" s="152">
        <v>12.0</v>
      </c>
      <c r="Z55" s="152">
        <v>4165.0</v>
      </c>
      <c r="AA55" s="152">
        <v>2280.0</v>
      </c>
      <c r="AB55" s="152">
        <f t="shared" ref="AB55:AC55" si="132">Z55-Z54</f>
        <v>70</v>
      </c>
      <c r="AC55" s="152">
        <f t="shared" si="132"/>
        <v>45</v>
      </c>
      <c r="AD55" s="152">
        <v>2125.0</v>
      </c>
      <c r="AE55" s="152">
        <v>1140.0</v>
      </c>
      <c r="AF55" s="152">
        <v>2365.0</v>
      </c>
      <c r="AG55" s="152">
        <v>1380.0</v>
      </c>
      <c r="AH55" s="217">
        <v>8245.0</v>
      </c>
      <c r="AI55" s="217">
        <v>4560.0</v>
      </c>
      <c r="AJ55" s="134">
        <f t="shared" si="18"/>
        <v>340</v>
      </c>
      <c r="AK55" s="572">
        <f t="shared" si="31"/>
        <v>70</v>
      </c>
      <c r="AL55" s="576">
        <v>525.0</v>
      </c>
      <c r="AM55" s="572">
        <f t="shared" si="54"/>
        <v>21.69270833</v>
      </c>
      <c r="AN55" s="572" t="str">
        <f t="shared" si="28"/>
        <v>=192</v>
      </c>
      <c r="AO55" s="221">
        <f t="shared" si="12"/>
        <v>192</v>
      </c>
      <c r="AP55" s="222">
        <v>24.0</v>
      </c>
      <c r="AQ55" s="223">
        <v>12.0</v>
      </c>
      <c r="AR55" s="223">
        <v>12.0</v>
      </c>
      <c r="AS55" s="223">
        <f t="shared" si="13"/>
        <v>48</v>
      </c>
      <c r="AT55" s="222">
        <v>10260.0</v>
      </c>
      <c r="AU55" s="224">
        <v>4200.0</v>
      </c>
      <c r="AV55" s="225">
        <v>5220.0</v>
      </c>
      <c r="AW55" s="224">
        <v>2100.0</v>
      </c>
      <c r="AX55" s="223">
        <v>5700.0</v>
      </c>
      <c r="AY55" s="223">
        <v>2580.0</v>
      </c>
      <c r="AZ55" s="222">
        <v>20340.0</v>
      </c>
      <c r="BA55" s="161">
        <v>8400.0</v>
      </c>
      <c r="BB55" s="220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</row>
    <row r="56" ht="12.75" hidden="1" customHeight="1">
      <c r="A56" s="126">
        <f t="shared" si="2"/>
        <v>52</v>
      </c>
      <c r="B56" s="124"/>
      <c r="C56" s="124"/>
      <c r="D56" s="124"/>
      <c r="E56" s="213">
        <f t="shared" ref="E56:F56" si="133">E55+35</f>
        <v>2005</v>
      </c>
      <c r="F56" s="213">
        <f t="shared" si="133"/>
        <v>1830</v>
      </c>
      <c r="G56" s="8"/>
      <c r="H56" s="126">
        <f t="shared" si="4"/>
        <v>52</v>
      </c>
      <c r="I56" s="126"/>
      <c r="J56" s="124"/>
      <c r="K56" s="124"/>
      <c r="L56" s="213">
        <f t="shared" ref="L56:M56" si="134">L55+55</f>
        <v>2860</v>
      </c>
      <c r="M56" s="213">
        <f t="shared" si="134"/>
        <v>2860</v>
      </c>
      <c r="N56" s="8"/>
      <c r="O56" s="142"/>
      <c r="P56" s="143">
        <v>196.0</v>
      </c>
      <c r="Q56" s="152">
        <v>13.0</v>
      </c>
      <c r="R56" s="152">
        <v>7.0</v>
      </c>
      <c r="S56" s="152">
        <v>7.0</v>
      </c>
      <c r="T56" s="152">
        <v>25.0</v>
      </c>
      <c r="U56" s="152">
        <v>25.0</v>
      </c>
      <c r="V56" s="152">
        <v>13.0</v>
      </c>
      <c r="W56" s="152">
        <v>13.0</v>
      </c>
      <c r="X56" s="152">
        <v>49.0</v>
      </c>
      <c r="Y56" s="152">
        <v>12.25</v>
      </c>
      <c r="Z56" s="152">
        <v>4265.0</v>
      </c>
      <c r="AA56" s="152">
        <v>2330.0</v>
      </c>
      <c r="AB56" s="152">
        <f t="shared" ref="AB56:AC56" si="135">Z56-Z55</f>
        <v>100</v>
      </c>
      <c r="AC56" s="152">
        <f t="shared" si="135"/>
        <v>50</v>
      </c>
      <c r="AD56" s="152">
        <v>2225.0</v>
      </c>
      <c r="AE56" s="152">
        <v>1190.0</v>
      </c>
      <c r="AF56" s="152">
        <v>2485.0</v>
      </c>
      <c r="AG56" s="152">
        <v>1450.0</v>
      </c>
      <c r="AH56" s="217">
        <v>8435.0</v>
      </c>
      <c r="AI56" s="217">
        <v>4655.0</v>
      </c>
      <c r="AJ56" s="134">
        <f t="shared" si="18"/>
        <v>340</v>
      </c>
      <c r="AK56" s="572">
        <f t="shared" si="31"/>
        <v>100</v>
      </c>
      <c r="AL56" s="576">
        <v>525.0</v>
      </c>
      <c r="AM56" s="572">
        <f t="shared" si="54"/>
        <v>21.76020408</v>
      </c>
      <c r="AN56" s="572" t="str">
        <f t="shared" si="28"/>
        <v>=196</v>
      </c>
      <c r="AO56" s="153">
        <f t="shared" si="12"/>
        <v>196</v>
      </c>
      <c r="AP56" s="22">
        <v>25.0</v>
      </c>
      <c r="AQ56" s="134">
        <v>13.0</v>
      </c>
      <c r="AR56" s="134">
        <v>13.0</v>
      </c>
      <c r="AS56" s="134">
        <f t="shared" si="13"/>
        <v>49</v>
      </c>
      <c r="AT56" s="22">
        <v>10540.0</v>
      </c>
      <c r="AU56" s="161">
        <v>4290.0</v>
      </c>
      <c r="AV56" s="134">
        <v>5500.0</v>
      </c>
      <c r="AW56" s="134">
        <v>2190.0</v>
      </c>
      <c r="AX56" s="134">
        <v>6000.0</v>
      </c>
      <c r="AY56" s="134">
        <v>2690.0</v>
      </c>
      <c r="AZ56" s="22">
        <v>20760.0</v>
      </c>
      <c r="BA56" s="161">
        <v>8575.0</v>
      </c>
      <c r="BB56" s="220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</row>
    <row r="57" ht="13.5" customHeight="1">
      <c r="A57" s="126">
        <f t="shared" si="2"/>
        <v>53</v>
      </c>
      <c r="B57" s="124"/>
      <c r="C57" s="124"/>
      <c r="D57" s="124"/>
      <c r="E57" s="213">
        <f t="shared" ref="E57:F57" si="136">E56+35</f>
        <v>2040</v>
      </c>
      <c r="F57" s="213">
        <f t="shared" si="136"/>
        <v>1865</v>
      </c>
      <c r="G57" s="8"/>
      <c r="H57" s="126">
        <f t="shared" si="4"/>
        <v>53</v>
      </c>
      <c r="I57" s="126"/>
      <c r="J57" s="124"/>
      <c r="K57" s="124"/>
      <c r="L57" s="213">
        <f t="shared" ref="L57:M57" si="137">L56+55</f>
        <v>2915</v>
      </c>
      <c r="M57" s="213">
        <f t="shared" si="137"/>
        <v>2915</v>
      </c>
      <c r="N57" s="8"/>
      <c r="O57" s="142"/>
      <c r="P57" s="143">
        <v>200.0</v>
      </c>
      <c r="Q57" s="152">
        <v>13.0</v>
      </c>
      <c r="R57" s="152">
        <v>7.0</v>
      </c>
      <c r="S57" s="152">
        <v>7.0</v>
      </c>
      <c r="T57" s="152">
        <v>25.0</v>
      </c>
      <c r="U57" s="152">
        <v>25.0</v>
      </c>
      <c r="V57" s="152">
        <v>13.0</v>
      </c>
      <c r="W57" s="152">
        <v>13.0</v>
      </c>
      <c r="X57" s="152">
        <v>50.0</v>
      </c>
      <c r="Y57" s="152">
        <v>12.5</v>
      </c>
      <c r="Z57" s="152">
        <v>4355.0</v>
      </c>
      <c r="AA57" s="152">
        <v>2375.0</v>
      </c>
      <c r="AB57" s="152">
        <f t="shared" ref="AB57:AC57" si="138">Z57-Z56</f>
        <v>90</v>
      </c>
      <c r="AC57" s="152">
        <f t="shared" si="138"/>
        <v>45</v>
      </c>
      <c r="AD57" s="152">
        <v>2225.0</v>
      </c>
      <c r="AE57" s="152">
        <v>1190.0</v>
      </c>
      <c r="AF57" s="152">
        <v>2485.0</v>
      </c>
      <c r="AG57" s="152">
        <v>1450.0</v>
      </c>
      <c r="AH57" s="217">
        <v>8585.0</v>
      </c>
      <c r="AI57" s="217">
        <v>4750.0</v>
      </c>
      <c r="AJ57" s="134">
        <f t="shared" si="18"/>
        <v>340</v>
      </c>
      <c r="AK57" s="572">
        <f t="shared" si="31"/>
        <v>90</v>
      </c>
      <c r="AL57" s="576">
        <v>525.0</v>
      </c>
      <c r="AM57" s="572">
        <f t="shared" si="54"/>
        <v>21.775</v>
      </c>
      <c r="AN57" s="572" t="str">
        <f t="shared" si="28"/>
        <v>=200</v>
      </c>
      <c r="AO57" s="153">
        <f t="shared" si="12"/>
        <v>200</v>
      </c>
      <c r="AP57" s="22">
        <v>25.0</v>
      </c>
      <c r="AQ57" s="134">
        <v>13.0</v>
      </c>
      <c r="AR57" s="134">
        <v>13.0</v>
      </c>
      <c r="AS57" s="134">
        <f t="shared" si="13"/>
        <v>50</v>
      </c>
      <c r="AT57" s="22">
        <v>10680.0</v>
      </c>
      <c r="AU57" s="161">
        <v>4375.0</v>
      </c>
      <c r="AV57" s="160">
        <v>5500.0</v>
      </c>
      <c r="AW57" s="161">
        <v>2190.0</v>
      </c>
      <c r="AX57" s="134">
        <v>6000.0</v>
      </c>
      <c r="AY57" s="134">
        <v>2690.0</v>
      </c>
      <c r="AZ57" s="22">
        <v>21180.0</v>
      </c>
      <c r="BA57" s="161">
        <v>8750.0</v>
      </c>
      <c r="BB57" s="220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</row>
    <row r="58" ht="12.75" hidden="1" customHeight="1">
      <c r="A58" s="126">
        <f t="shared" si="2"/>
        <v>54</v>
      </c>
      <c r="B58" s="124"/>
      <c r="C58" s="124"/>
      <c r="D58" s="124"/>
      <c r="E58" s="213">
        <f t="shared" ref="E58:F58" si="139">E57+35</f>
        <v>2075</v>
      </c>
      <c r="F58" s="213">
        <f t="shared" si="139"/>
        <v>1900</v>
      </c>
      <c r="G58" s="8"/>
      <c r="H58" s="126">
        <f t="shared" si="4"/>
        <v>54</v>
      </c>
      <c r="I58" s="126"/>
      <c r="J58" s="124"/>
      <c r="K58" s="124"/>
      <c r="L58" s="213">
        <f t="shared" ref="L58:M58" si="140">L57+55</f>
        <v>2970</v>
      </c>
      <c r="M58" s="213">
        <f t="shared" si="140"/>
        <v>2970</v>
      </c>
      <c r="N58" s="8"/>
      <c r="O58" s="142"/>
      <c r="P58" s="143">
        <v>204.0</v>
      </c>
      <c r="Q58" s="152">
        <v>14.0</v>
      </c>
      <c r="R58" s="152">
        <v>7.0</v>
      </c>
      <c r="S58" s="152">
        <v>7.0</v>
      </c>
      <c r="T58" s="152">
        <v>26.0</v>
      </c>
      <c r="U58" s="152">
        <v>26.0</v>
      </c>
      <c r="V58" s="152">
        <v>13.0</v>
      </c>
      <c r="W58" s="152">
        <v>13.0</v>
      </c>
      <c r="X58" s="152">
        <v>51.0</v>
      </c>
      <c r="Y58" s="217">
        <v>13.0</v>
      </c>
      <c r="Z58" s="217">
        <v>4435.0</v>
      </c>
      <c r="AA58" s="217">
        <v>2425.0</v>
      </c>
      <c r="AB58" s="152">
        <f t="shared" ref="AB58:AC58" si="141">Z58-Z57</f>
        <v>80</v>
      </c>
      <c r="AC58" s="152">
        <f t="shared" si="141"/>
        <v>50</v>
      </c>
      <c r="AD58" s="152">
        <v>2315.0</v>
      </c>
      <c r="AE58" s="152">
        <v>1235.0</v>
      </c>
      <c r="AF58" s="152">
        <v>2575.0</v>
      </c>
      <c r="AG58" s="152">
        <v>1495.0</v>
      </c>
      <c r="AH58" s="134"/>
      <c r="AI58" s="134"/>
      <c r="AJ58" s="134"/>
      <c r="AK58" s="572"/>
      <c r="AL58" s="572"/>
      <c r="AM58" s="572">
        <f t="shared" si="54"/>
        <v>21.74019608</v>
      </c>
      <c r="AN58" s="572" t="str">
        <f t="shared" si="28"/>
        <v>=204</v>
      </c>
      <c r="AO58" s="153">
        <f t="shared" si="12"/>
        <v>204</v>
      </c>
      <c r="AP58" s="22">
        <v>26.0</v>
      </c>
      <c r="AQ58" s="134">
        <v>13.0</v>
      </c>
      <c r="AR58" s="134">
        <v>13.0</v>
      </c>
      <c r="AS58" s="134">
        <f t="shared" si="13"/>
        <v>51</v>
      </c>
      <c r="AT58" s="22">
        <v>10960.0</v>
      </c>
      <c r="AU58" s="161">
        <v>4465.0</v>
      </c>
      <c r="AV58" s="134">
        <v>5640.0</v>
      </c>
      <c r="AW58" s="134">
        <v>2275.0</v>
      </c>
      <c r="AX58" s="134">
        <v>6160.0</v>
      </c>
      <c r="AY58" s="134">
        <v>2795.0</v>
      </c>
      <c r="AZ58" s="22">
        <v>21600.0</v>
      </c>
      <c r="BA58" s="161">
        <v>8925.0</v>
      </c>
      <c r="BB58" s="220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 t="str">
        <f t="shared" ref="BW58:BW60" si="145">IF(#REF!&gt;1000,IF(#REF!&lt;2000,#REF!,((#REF!/1000)-1)*#REF!),0)</f>
        <v>#REF!</v>
      </c>
      <c r="BX58" s="8"/>
      <c r="BY58" s="8"/>
      <c r="BZ58" s="8"/>
      <c r="CA58" s="8"/>
      <c r="CB58" s="8"/>
      <c r="CC58" s="8"/>
      <c r="CD58" s="8"/>
      <c r="CE58" s="8"/>
    </row>
    <row r="59" ht="12.75" hidden="1" customHeight="1">
      <c r="A59" s="126">
        <f t="shared" si="2"/>
        <v>55</v>
      </c>
      <c r="B59" s="124"/>
      <c r="C59" s="124"/>
      <c r="D59" s="124"/>
      <c r="E59" s="213">
        <f t="shared" ref="E59:F59" si="142">E58+35</f>
        <v>2110</v>
      </c>
      <c r="F59" s="213">
        <f t="shared" si="142"/>
        <v>1935</v>
      </c>
      <c r="G59" s="8"/>
      <c r="H59" s="126">
        <f t="shared" si="4"/>
        <v>55</v>
      </c>
      <c r="I59" s="126"/>
      <c r="J59" s="124"/>
      <c r="K59" s="124"/>
      <c r="L59" s="213">
        <f t="shared" ref="L59:M59" si="143">L58+55</f>
        <v>3025</v>
      </c>
      <c r="M59" s="213">
        <f t="shared" si="143"/>
        <v>3025</v>
      </c>
      <c r="N59" s="8"/>
      <c r="O59" s="142"/>
      <c r="P59" s="143">
        <v>208.0</v>
      </c>
      <c r="Q59" s="152">
        <v>13.0</v>
      </c>
      <c r="R59" s="152">
        <v>7.0</v>
      </c>
      <c r="S59" s="152">
        <v>7.0</v>
      </c>
      <c r="T59" s="152">
        <v>26.0</v>
      </c>
      <c r="U59" s="152">
        <v>26.0</v>
      </c>
      <c r="V59" s="152">
        <v>13.0</v>
      </c>
      <c r="W59" s="152">
        <v>13.0</v>
      </c>
      <c r="X59" s="152">
        <v>52.0</v>
      </c>
      <c r="Y59" s="217">
        <v>13.0</v>
      </c>
      <c r="Z59" s="217">
        <v>4505.0</v>
      </c>
      <c r="AA59" s="217">
        <v>2470.0</v>
      </c>
      <c r="AB59" s="152">
        <f t="shared" ref="AB59:AC59" si="144">Z59-Z58</f>
        <v>70</v>
      </c>
      <c r="AC59" s="152">
        <f t="shared" si="144"/>
        <v>45</v>
      </c>
      <c r="AD59" s="152">
        <v>2315.0</v>
      </c>
      <c r="AE59" s="152">
        <v>1235.0</v>
      </c>
      <c r="AF59" s="152">
        <v>2575.0</v>
      </c>
      <c r="AG59" s="152">
        <v>1495.0</v>
      </c>
      <c r="AH59" s="134"/>
      <c r="AI59" s="134"/>
      <c r="AJ59" s="134"/>
      <c r="AK59" s="572"/>
      <c r="AL59" s="572"/>
      <c r="AM59" s="572">
        <f t="shared" si="54"/>
        <v>21.65865385</v>
      </c>
      <c r="AN59" s="572"/>
      <c r="AO59" s="153">
        <f t="shared" si="12"/>
        <v>208</v>
      </c>
      <c r="AP59" s="22">
        <v>26.0</v>
      </c>
      <c r="AQ59" s="134">
        <v>13.0</v>
      </c>
      <c r="AR59" s="134">
        <v>13.0</v>
      </c>
      <c r="AS59" s="134">
        <f t="shared" si="13"/>
        <v>52</v>
      </c>
      <c r="AT59" s="22">
        <v>11100.0</v>
      </c>
      <c r="AU59" s="161">
        <v>4550.0</v>
      </c>
      <c r="AV59" s="182">
        <v>5640.0</v>
      </c>
      <c r="AW59" s="226">
        <v>2275.0</v>
      </c>
      <c r="AX59" s="134">
        <v>6160.0</v>
      </c>
      <c r="AY59" s="134">
        <v>2795.0</v>
      </c>
      <c r="AZ59" s="22">
        <v>22020.0</v>
      </c>
      <c r="BA59" s="161">
        <v>9100.0</v>
      </c>
      <c r="BB59" s="220"/>
      <c r="BC59" s="227"/>
      <c r="BD59" s="227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 t="str">
        <f t="shared" si="145"/>
        <v>#REF!</v>
      </c>
      <c r="BX59" s="8"/>
      <c r="BY59" s="8"/>
      <c r="BZ59" s="8"/>
      <c r="CA59" s="8"/>
      <c r="CB59" s="8"/>
      <c r="CC59" s="8"/>
      <c r="CD59" s="8"/>
      <c r="CE59" s="8"/>
    </row>
    <row r="60" ht="12.75" hidden="1" customHeight="1">
      <c r="A60" s="126">
        <f t="shared" si="2"/>
        <v>56</v>
      </c>
      <c r="B60" s="124"/>
      <c r="C60" s="124"/>
      <c r="D60" s="124"/>
      <c r="E60" s="213">
        <f t="shared" ref="E60:F60" si="146">E59+35</f>
        <v>2145</v>
      </c>
      <c r="F60" s="213">
        <f t="shared" si="146"/>
        <v>1970</v>
      </c>
      <c r="G60" s="8"/>
      <c r="H60" s="126">
        <f t="shared" si="4"/>
        <v>56</v>
      </c>
      <c r="I60" s="126"/>
      <c r="J60" s="124"/>
      <c r="K60" s="124"/>
      <c r="L60" s="213">
        <f t="shared" ref="L60:M60" si="147">L59+55</f>
        <v>3080</v>
      </c>
      <c r="M60" s="213">
        <f t="shared" si="147"/>
        <v>3080</v>
      </c>
      <c r="N60" s="8"/>
      <c r="O60" s="142"/>
      <c r="P60" s="143">
        <v>212.0</v>
      </c>
      <c r="Q60" s="152">
        <v>14.0</v>
      </c>
      <c r="R60" s="152">
        <v>8.0</v>
      </c>
      <c r="S60" s="152">
        <v>8.0</v>
      </c>
      <c r="T60" s="152">
        <v>27.0</v>
      </c>
      <c r="U60" s="152">
        <v>27.0</v>
      </c>
      <c r="V60" s="152">
        <v>14.0</v>
      </c>
      <c r="W60" s="152">
        <v>14.0</v>
      </c>
      <c r="X60" s="152">
        <v>53.0</v>
      </c>
      <c r="Y60" s="217">
        <v>13.25</v>
      </c>
      <c r="Z60" s="217">
        <v>4605.0</v>
      </c>
      <c r="AA60" s="217">
        <v>2520.0</v>
      </c>
      <c r="AB60" s="152">
        <f t="shared" ref="AB60:AC60" si="148">Z60-Z59</f>
        <v>100</v>
      </c>
      <c r="AC60" s="152">
        <f t="shared" si="148"/>
        <v>50</v>
      </c>
      <c r="AD60" s="152">
        <v>2395.0</v>
      </c>
      <c r="AE60" s="152">
        <v>1285.0</v>
      </c>
      <c r="AF60" s="152">
        <v>2675.0</v>
      </c>
      <c r="AG60" s="152">
        <v>1565.0</v>
      </c>
      <c r="AH60" s="134"/>
      <c r="AI60" s="134"/>
      <c r="AJ60" s="134"/>
      <c r="AK60" s="572"/>
      <c r="AL60" s="572"/>
      <c r="AM60" s="572">
        <f t="shared" si="54"/>
        <v>21.72169811</v>
      </c>
      <c r="AN60" s="572"/>
      <c r="AO60" s="153">
        <f t="shared" si="12"/>
        <v>212</v>
      </c>
      <c r="AP60" s="22">
        <v>27.0</v>
      </c>
      <c r="AQ60" s="134">
        <v>14.0</v>
      </c>
      <c r="AR60" s="134">
        <v>14.0</v>
      </c>
      <c r="AS60" s="134">
        <f t="shared" si="13"/>
        <v>53</v>
      </c>
      <c r="AT60" s="22">
        <v>11380.0</v>
      </c>
      <c r="AU60" s="161">
        <v>4640.0</v>
      </c>
      <c r="AV60" s="134">
        <v>5920.0</v>
      </c>
      <c r="AW60" s="134">
        <v>2365.0</v>
      </c>
      <c r="AX60" s="134">
        <v>6460.0</v>
      </c>
      <c r="AY60" s="134">
        <v>2905.0</v>
      </c>
      <c r="AZ60" s="22">
        <v>22440.0</v>
      </c>
      <c r="BA60" s="161">
        <v>9275.0</v>
      </c>
      <c r="BB60" s="220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 t="str">
        <f t="shared" si="145"/>
        <v>#REF!</v>
      </c>
      <c r="BX60" s="8"/>
      <c r="BY60" s="8"/>
      <c r="BZ60" s="8"/>
      <c r="CA60" s="8"/>
      <c r="CB60" s="8"/>
      <c r="CC60" s="8"/>
      <c r="CD60" s="8"/>
      <c r="CE60" s="8"/>
    </row>
    <row r="61" ht="12.75" customHeight="1">
      <c r="A61" s="126">
        <f t="shared" si="2"/>
        <v>57</v>
      </c>
      <c r="B61" s="124"/>
      <c r="C61" s="124"/>
      <c r="D61" s="124"/>
      <c r="E61" s="213">
        <f t="shared" ref="E61:F61" si="149">E60+35</f>
        <v>2180</v>
      </c>
      <c r="F61" s="213">
        <f t="shared" si="149"/>
        <v>2005</v>
      </c>
      <c r="G61" s="8"/>
      <c r="H61" s="126">
        <f t="shared" si="4"/>
        <v>57</v>
      </c>
      <c r="I61" s="126"/>
      <c r="J61" s="124"/>
      <c r="K61" s="124"/>
      <c r="L61" s="213">
        <f t="shared" ref="L61:M61" si="150">L60+55</f>
        <v>3135</v>
      </c>
      <c r="M61" s="213">
        <f t="shared" si="150"/>
        <v>3135</v>
      </c>
      <c r="N61" s="8"/>
      <c r="O61" s="142"/>
      <c r="P61" s="143">
        <v>216.0</v>
      </c>
      <c r="Q61" s="152">
        <v>14.0</v>
      </c>
      <c r="R61" s="152">
        <v>8.0</v>
      </c>
      <c r="S61" s="152">
        <v>8.0</v>
      </c>
      <c r="T61" s="152">
        <v>27.0</v>
      </c>
      <c r="U61" s="152">
        <v>27.0</v>
      </c>
      <c r="V61" s="152">
        <v>14.0</v>
      </c>
      <c r="W61" s="152">
        <v>14.0</v>
      </c>
      <c r="X61" s="152">
        <v>54.0</v>
      </c>
      <c r="Y61" s="217">
        <v>13.5</v>
      </c>
      <c r="Z61" s="217">
        <v>4695.0</v>
      </c>
      <c r="AA61" s="217">
        <v>2565.0</v>
      </c>
      <c r="AB61" s="152">
        <f t="shared" ref="AB61:AC61" si="151">Z61-Z60</f>
        <v>90</v>
      </c>
      <c r="AC61" s="152">
        <f t="shared" si="151"/>
        <v>45</v>
      </c>
      <c r="AD61" s="152">
        <v>2395.0</v>
      </c>
      <c r="AE61" s="152">
        <v>1285.0</v>
      </c>
      <c r="AF61" s="152">
        <v>2675.0</v>
      </c>
      <c r="AG61" s="152">
        <v>1565.0</v>
      </c>
      <c r="AH61" s="134"/>
      <c r="AI61" s="134"/>
      <c r="AJ61" s="134"/>
      <c r="AK61" s="572"/>
      <c r="AL61" s="572"/>
      <c r="AM61" s="572">
        <f t="shared" si="54"/>
        <v>21.73611111</v>
      </c>
      <c r="AN61" s="572"/>
      <c r="AO61" s="153">
        <f t="shared" si="12"/>
        <v>216</v>
      </c>
      <c r="AP61" s="22">
        <v>27.0</v>
      </c>
      <c r="AQ61" s="134">
        <v>14.0</v>
      </c>
      <c r="AR61" s="134">
        <v>14.0</v>
      </c>
      <c r="AS61" s="134">
        <f t="shared" si="13"/>
        <v>54</v>
      </c>
      <c r="AT61" s="22">
        <v>11520.0</v>
      </c>
      <c r="AU61" s="161">
        <v>4725.0</v>
      </c>
      <c r="AV61" s="22">
        <v>5920.0</v>
      </c>
      <c r="AW61" s="22">
        <v>2365.0</v>
      </c>
      <c r="AX61" s="134">
        <v>6460.0</v>
      </c>
      <c r="AY61" s="134">
        <v>2905.0</v>
      </c>
      <c r="AZ61" s="22">
        <v>22860.0</v>
      </c>
      <c r="BA61" s="161">
        <v>9450.0</v>
      </c>
      <c r="BB61" s="220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</row>
    <row r="62" ht="12.75" hidden="1" customHeight="1">
      <c r="A62" s="126">
        <f t="shared" si="2"/>
        <v>58</v>
      </c>
      <c r="B62" s="124"/>
      <c r="C62" s="124"/>
      <c r="D62" s="124"/>
      <c r="E62" s="213">
        <f t="shared" ref="E62:F62" si="152">E61+35</f>
        <v>2215</v>
      </c>
      <c r="F62" s="213">
        <f t="shared" si="152"/>
        <v>2040</v>
      </c>
      <c r="G62" s="8"/>
      <c r="H62" s="126">
        <f t="shared" si="4"/>
        <v>58</v>
      </c>
      <c r="I62" s="126"/>
      <c r="J62" s="124"/>
      <c r="K62" s="124"/>
      <c r="L62" s="213">
        <f t="shared" ref="L62:M62" si="153">L61+55</f>
        <v>3190</v>
      </c>
      <c r="M62" s="213">
        <f t="shared" si="153"/>
        <v>3190</v>
      </c>
      <c r="N62" s="8"/>
      <c r="O62" s="142"/>
      <c r="P62" s="143">
        <v>220.0</v>
      </c>
      <c r="Q62" s="152">
        <v>15.0</v>
      </c>
      <c r="R62" s="152">
        <v>7.0</v>
      </c>
      <c r="S62" s="152">
        <v>7.0</v>
      </c>
      <c r="T62" s="152">
        <v>28.0</v>
      </c>
      <c r="U62" s="152">
        <v>28.0</v>
      </c>
      <c r="V62" s="152">
        <v>14.0</v>
      </c>
      <c r="W62" s="152">
        <v>14.0</v>
      </c>
      <c r="X62" s="152">
        <v>55.0</v>
      </c>
      <c r="Y62" s="217">
        <v>14.0</v>
      </c>
      <c r="Z62" s="217">
        <v>4775.0</v>
      </c>
      <c r="AA62" s="217">
        <v>2615.0</v>
      </c>
      <c r="AB62" s="152">
        <f t="shared" ref="AB62:AC62" si="154">Z62-Z61</f>
        <v>80</v>
      </c>
      <c r="AC62" s="152">
        <f t="shared" si="154"/>
        <v>50</v>
      </c>
      <c r="AD62" s="152">
        <v>2465.0</v>
      </c>
      <c r="AE62" s="152">
        <v>1330.0</v>
      </c>
      <c r="AF62" s="152">
        <v>2745.0</v>
      </c>
      <c r="AG62" s="152">
        <v>1610.0</v>
      </c>
      <c r="AH62" s="134"/>
      <c r="AI62" s="134"/>
      <c r="AJ62" s="134"/>
      <c r="AK62" s="572"/>
      <c r="AL62" s="572"/>
      <c r="AM62" s="572">
        <f t="shared" si="54"/>
        <v>21.70454545</v>
      </c>
      <c r="AN62" s="572"/>
      <c r="AO62" s="153">
        <f t="shared" si="12"/>
        <v>220</v>
      </c>
      <c r="AP62" s="22">
        <v>28.0</v>
      </c>
      <c r="AQ62" s="134">
        <v>14.0</v>
      </c>
      <c r="AR62" s="134">
        <v>14.0</v>
      </c>
      <c r="AS62" s="134">
        <f t="shared" si="13"/>
        <v>55</v>
      </c>
      <c r="AT62" s="22">
        <v>11800.0</v>
      </c>
      <c r="AU62" s="161">
        <v>4815.0</v>
      </c>
      <c r="AV62" s="134">
        <v>6060.0</v>
      </c>
      <c r="AW62" s="134">
        <v>2450.0</v>
      </c>
      <c r="AX62" s="134">
        <v>6620.0</v>
      </c>
      <c r="AY62" s="134">
        <v>3010.0</v>
      </c>
      <c r="AZ62" s="22">
        <v>23280.0</v>
      </c>
      <c r="BA62" s="161">
        <v>9625.0</v>
      </c>
      <c r="BB62" s="220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</row>
    <row r="63" ht="12.75" hidden="1" customHeight="1">
      <c r="A63" s="126">
        <f t="shared" si="2"/>
        <v>59</v>
      </c>
      <c r="B63" s="124"/>
      <c r="C63" s="124"/>
      <c r="D63" s="124"/>
      <c r="E63" s="213">
        <f t="shared" ref="E63:F63" si="155">E62+35</f>
        <v>2250</v>
      </c>
      <c r="F63" s="213">
        <f t="shared" si="155"/>
        <v>2075</v>
      </c>
      <c r="G63" s="8"/>
      <c r="H63" s="126">
        <f t="shared" si="4"/>
        <v>59</v>
      </c>
      <c r="I63" s="126"/>
      <c r="J63" s="124"/>
      <c r="K63" s="124"/>
      <c r="L63" s="213">
        <f t="shared" ref="L63:M63" si="156">L62+55</f>
        <v>3245</v>
      </c>
      <c r="M63" s="213">
        <f t="shared" si="156"/>
        <v>3245</v>
      </c>
      <c r="N63" s="8"/>
      <c r="O63" s="142"/>
      <c r="P63" s="143">
        <v>224.0</v>
      </c>
      <c r="Q63" s="152">
        <v>14.0</v>
      </c>
      <c r="R63" s="152">
        <v>7.0</v>
      </c>
      <c r="S63" s="152">
        <v>7.0</v>
      </c>
      <c r="T63" s="152">
        <v>28.0</v>
      </c>
      <c r="U63" s="152">
        <v>28.0</v>
      </c>
      <c r="V63" s="152">
        <v>14.0</v>
      </c>
      <c r="W63" s="152">
        <v>14.0</v>
      </c>
      <c r="X63" s="152">
        <v>56.0</v>
      </c>
      <c r="Y63" s="217">
        <v>14.0</v>
      </c>
      <c r="Z63" s="217">
        <v>4845.0</v>
      </c>
      <c r="AA63" s="217">
        <v>2660.0</v>
      </c>
      <c r="AB63" s="152">
        <f t="shared" ref="AB63:AC63" si="157">Z63-Z62</f>
        <v>70</v>
      </c>
      <c r="AC63" s="152">
        <f t="shared" si="157"/>
        <v>45</v>
      </c>
      <c r="AD63" s="152">
        <v>2465.0</v>
      </c>
      <c r="AE63" s="152">
        <v>1330.0</v>
      </c>
      <c r="AF63" s="152">
        <v>2745.0</v>
      </c>
      <c r="AG63" s="152">
        <v>1610.0</v>
      </c>
      <c r="AH63" s="134"/>
      <c r="AI63" s="134"/>
      <c r="AJ63" s="134"/>
      <c r="AK63" s="572"/>
      <c r="AL63" s="572"/>
      <c r="AM63" s="572">
        <f t="shared" si="54"/>
        <v>21.62946429</v>
      </c>
      <c r="AN63" s="572"/>
      <c r="AO63" s="153">
        <f t="shared" si="12"/>
        <v>224</v>
      </c>
      <c r="AP63" s="22">
        <v>28.0</v>
      </c>
      <c r="AQ63" s="134">
        <v>14.0</v>
      </c>
      <c r="AR63" s="134">
        <v>14.0</v>
      </c>
      <c r="AS63" s="134">
        <f t="shared" si="13"/>
        <v>56</v>
      </c>
      <c r="AT63" s="22">
        <v>11940.0</v>
      </c>
      <c r="AU63" s="161">
        <v>4900.0</v>
      </c>
      <c r="AV63" s="22">
        <v>6060.0</v>
      </c>
      <c r="AW63" s="226">
        <v>2450.0</v>
      </c>
      <c r="AX63" s="134">
        <v>6620.0</v>
      </c>
      <c r="AY63" s="134">
        <v>3010.0</v>
      </c>
      <c r="AZ63" s="22">
        <v>23700.0</v>
      </c>
      <c r="BA63" s="161">
        <v>9800.0</v>
      </c>
      <c r="BB63" s="220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</row>
    <row r="64" ht="12.75" hidden="1" customHeight="1">
      <c r="A64" s="126">
        <f t="shared" si="2"/>
        <v>60</v>
      </c>
      <c r="B64" s="124"/>
      <c r="C64" s="124"/>
      <c r="D64" s="124"/>
      <c r="E64" s="213">
        <f t="shared" ref="E64:F64" si="158">E63+35</f>
        <v>2285</v>
      </c>
      <c r="F64" s="213">
        <f t="shared" si="158"/>
        <v>2110</v>
      </c>
      <c r="G64" s="8"/>
      <c r="H64" s="126">
        <f t="shared" si="4"/>
        <v>60</v>
      </c>
      <c r="I64" s="126"/>
      <c r="J64" s="124"/>
      <c r="K64" s="124"/>
      <c r="L64" s="213">
        <f t="shared" ref="L64:M64" si="159">L63+55</f>
        <v>3300</v>
      </c>
      <c r="M64" s="213">
        <f t="shared" si="159"/>
        <v>3300</v>
      </c>
      <c r="N64" s="8"/>
      <c r="O64" s="142"/>
      <c r="P64" s="143">
        <v>228.0</v>
      </c>
      <c r="Q64" s="152">
        <v>15.0</v>
      </c>
      <c r="R64" s="152">
        <v>8.0</v>
      </c>
      <c r="S64" s="152">
        <v>8.0</v>
      </c>
      <c r="T64" s="152">
        <v>29.0</v>
      </c>
      <c r="U64" s="152">
        <v>29.0</v>
      </c>
      <c r="V64" s="152">
        <v>15.0</v>
      </c>
      <c r="W64" s="152">
        <v>15.0</v>
      </c>
      <c r="X64" s="152">
        <v>57.0</v>
      </c>
      <c r="Y64" s="217">
        <v>14.25</v>
      </c>
      <c r="Z64" s="217">
        <v>4945.0</v>
      </c>
      <c r="AA64" s="217">
        <v>2710.0</v>
      </c>
      <c r="AB64" s="152">
        <f t="shared" ref="AB64:AC64" si="160">Z64-Z63</f>
        <v>100</v>
      </c>
      <c r="AC64" s="152">
        <f t="shared" si="160"/>
        <v>50</v>
      </c>
      <c r="AD64" s="152">
        <v>2565.0</v>
      </c>
      <c r="AE64" s="152">
        <v>1380.0</v>
      </c>
      <c r="AF64" s="152">
        <v>2865.0</v>
      </c>
      <c r="AG64" s="152">
        <v>1680.0</v>
      </c>
      <c r="AH64" s="134"/>
      <c r="AI64" s="134"/>
      <c r="AJ64" s="134"/>
      <c r="AK64" s="572"/>
      <c r="AL64" s="572"/>
      <c r="AM64" s="572">
        <f t="shared" si="54"/>
        <v>21.68859649</v>
      </c>
      <c r="AN64" s="572"/>
      <c r="AO64" s="153">
        <f t="shared" si="12"/>
        <v>228</v>
      </c>
      <c r="AP64" s="22">
        <v>29.0</v>
      </c>
      <c r="AQ64" s="134">
        <v>15.0</v>
      </c>
      <c r="AR64" s="134">
        <v>15.0</v>
      </c>
      <c r="AS64" s="134">
        <f t="shared" si="13"/>
        <v>57</v>
      </c>
      <c r="AT64" s="22">
        <v>12220.0</v>
      </c>
      <c r="AU64" s="161">
        <v>4990.0</v>
      </c>
      <c r="AV64" s="134">
        <v>6340.0</v>
      </c>
      <c r="AW64" s="134">
        <v>2540.0</v>
      </c>
      <c r="AX64" s="134">
        <v>6920.0</v>
      </c>
      <c r="AY64" s="134">
        <v>3120.0</v>
      </c>
      <c r="AZ64" s="22">
        <v>24120.0</v>
      </c>
      <c r="BA64" s="161">
        <v>9975.0</v>
      </c>
      <c r="BB64" s="220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</row>
    <row r="65" ht="12.75" customHeight="1">
      <c r="A65" s="126">
        <f t="shared" si="2"/>
        <v>61</v>
      </c>
      <c r="B65" s="124"/>
      <c r="C65" s="124"/>
      <c r="D65" s="124"/>
      <c r="E65" s="213">
        <f t="shared" ref="E65:F65" si="161">E64+35</f>
        <v>2320</v>
      </c>
      <c r="F65" s="213">
        <f t="shared" si="161"/>
        <v>2145</v>
      </c>
      <c r="G65" s="8"/>
      <c r="H65" s="126">
        <f t="shared" si="4"/>
        <v>61</v>
      </c>
      <c r="I65" s="126"/>
      <c r="J65" s="124"/>
      <c r="K65" s="124"/>
      <c r="L65" s="213">
        <f t="shared" ref="L65:M65" si="162">L64+55</f>
        <v>3355</v>
      </c>
      <c r="M65" s="213">
        <f t="shared" si="162"/>
        <v>3355</v>
      </c>
      <c r="N65" s="8"/>
      <c r="O65" s="142"/>
      <c r="P65" s="143">
        <v>232.0</v>
      </c>
      <c r="Q65" s="152">
        <v>15.0</v>
      </c>
      <c r="R65" s="152">
        <v>8.0</v>
      </c>
      <c r="S65" s="152">
        <v>8.0</v>
      </c>
      <c r="T65" s="152">
        <v>29.0</v>
      </c>
      <c r="U65" s="152">
        <v>29.0</v>
      </c>
      <c r="V65" s="152">
        <v>15.0</v>
      </c>
      <c r="W65" s="152">
        <v>15.0</v>
      </c>
      <c r="X65" s="152">
        <v>58.0</v>
      </c>
      <c r="Y65" s="217">
        <v>14.5</v>
      </c>
      <c r="Z65" s="217">
        <v>5035.0</v>
      </c>
      <c r="AA65" s="217">
        <v>2755.0</v>
      </c>
      <c r="AB65" s="152">
        <f t="shared" ref="AB65:AC65" si="163">Z65-Z64</f>
        <v>90</v>
      </c>
      <c r="AC65" s="152">
        <f t="shared" si="163"/>
        <v>45</v>
      </c>
      <c r="AD65" s="152">
        <v>2565.0</v>
      </c>
      <c r="AE65" s="152">
        <v>1380.0</v>
      </c>
      <c r="AF65" s="152">
        <v>2865.0</v>
      </c>
      <c r="AG65" s="152">
        <v>1680.0</v>
      </c>
      <c r="AH65" s="134"/>
      <c r="AI65" s="134"/>
      <c r="AJ65" s="134"/>
      <c r="AK65" s="572"/>
      <c r="AL65" s="572"/>
      <c r="AM65" s="572">
        <f t="shared" si="54"/>
        <v>21.70258621</v>
      </c>
      <c r="AN65" s="572"/>
      <c r="AO65" s="153">
        <f t="shared" si="12"/>
        <v>232</v>
      </c>
      <c r="AP65" s="22">
        <v>29.0</v>
      </c>
      <c r="AQ65" s="134">
        <v>15.0</v>
      </c>
      <c r="AR65" s="134">
        <v>15.0</v>
      </c>
      <c r="AS65" s="134">
        <f t="shared" si="13"/>
        <v>58</v>
      </c>
      <c r="AT65" s="22">
        <v>12360.0</v>
      </c>
      <c r="AU65" s="161">
        <v>5075.0</v>
      </c>
      <c r="AV65" s="22">
        <v>6340.0</v>
      </c>
      <c r="AW65" s="22">
        <v>2540.0</v>
      </c>
      <c r="AX65" s="134">
        <v>6920.0</v>
      </c>
      <c r="AY65" s="134">
        <v>3120.0</v>
      </c>
      <c r="AZ65" s="22">
        <v>24540.0</v>
      </c>
      <c r="BA65" s="161">
        <v>10150.0</v>
      </c>
      <c r="BB65" s="220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</row>
    <row r="66" ht="12.75" hidden="1" customHeight="1">
      <c r="A66" s="126">
        <f t="shared" si="2"/>
        <v>62</v>
      </c>
      <c r="B66" s="124"/>
      <c r="C66" s="124"/>
      <c r="D66" s="124"/>
      <c r="E66" s="213">
        <f t="shared" ref="E66:F66" si="164">E65+35</f>
        <v>2355</v>
      </c>
      <c r="F66" s="213">
        <f t="shared" si="164"/>
        <v>2180</v>
      </c>
      <c r="G66" s="8"/>
      <c r="H66" s="126">
        <f t="shared" si="4"/>
        <v>62</v>
      </c>
      <c r="I66" s="126"/>
      <c r="J66" s="124"/>
      <c r="K66" s="124"/>
      <c r="L66" s="213">
        <f t="shared" ref="L66:M66" si="165">L65+55</f>
        <v>3410</v>
      </c>
      <c r="M66" s="213">
        <f t="shared" si="165"/>
        <v>3410</v>
      </c>
      <c r="N66" s="8"/>
      <c r="O66" s="142"/>
      <c r="P66" s="143">
        <v>236.0</v>
      </c>
      <c r="Q66" s="152">
        <v>16.0</v>
      </c>
      <c r="R66" s="152">
        <v>8.0</v>
      </c>
      <c r="S66" s="152">
        <v>8.0</v>
      </c>
      <c r="T66" s="152">
        <v>30.0</v>
      </c>
      <c r="U66" s="152">
        <v>30.0</v>
      </c>
      <c r="V66" s="152">
        <v>15.0</v>
      </c>
      <c r="W66" s="152">
        <v>15.0</v>
      </c>
      <c r="X66" s="152">
        <v>59.0</v>
      </c>
      <c r="Y66" s="217">
        <v>15.0</v>
      </c>
      <c r="Z66" s="217">
        <v>5115.0</v>
      </c>
      <c r="AA66" s="217">
        <v>2805.0</v>
      </c>
      <c r="AB66" s="152">
        <f t="shared" ref="AB66:AC66" si="166">Z66-Z65</f>
        <v>80</v>
      </c>
      <c r="AC66" s="152">
        <f t="shared" si="166"/>
        <v>50</v>
      </c>
      <c r="AD66" s="152">
        <v>2655.0</v>
      </c>
      <c r="AE66" s="152">
        <v>1425.0</v>
      </c>
      <c r="AF66" s="152">
        <v>2955.0</v>
      </c>
      <c r="AG66" s="152">
        <v>1725.0</v>
      </c>
      <c r="AH66" s="134"/>
      <c r="AI66" s="134"/>
      <c r="AJ66" s="134"/>
      <c r="AK66" s="572"/>
      <c r="AL66" s="572"/>
      <c r="AM66" s="572">
        <f t="shared" si="54"/>
        <v>21.67372881</v>
      </c>
      <c r="AN66" s="572"/>
      <c r="AO66" s="153">
        <f t="shared" si="12"/>
        <v>236</v>
      </c>
      <c r="AP66" s="22">
        <v>30.0</v>
      </c>
      <c r="AQ66" s="134">
        <v>15.0</v>
      </c>
      <c r="AR66" s="134">
        <v>15.0</v>
      </c>
      <c r="AS66" s="134">
        <f t="shared" si="13"/>
        <v>59</v>
      </c>
      <c r="AT66" s="22">
        <v>12640.0</v>
      </c>
      <c r="AU66" s="161">
        <v>5165.0</v>
      </c>
      <c r="AV66" s="134">
        <v>6480.0</v>
      </c>
      <c r="AW66" s="134">
        <v>2625.0</v>
      </c>
      <c r="AX66" s="134">
        <v>7080.0</v>
      </c>
      <c r="AY66" s="134">
        <v>3225.0</v>
      </c>
      <c r="AZ66" s="22">
        <v>24960.0</v>
      </c>
      <c r="BA66" s="161">
        <v>10325.0</v>
      </c>
      <c r="BB66" s="220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</row>
    <row r="67" ht="12.75" hidden="1" customHeight="1">
      <c r="A67" s="126">
        <f t="shared" si="2"/>
        <v>63</v>
      </c>
      <c r="B67" s="124"/>
      <c r="C67" s="124"/>
      <c r="D67" s="124"/>
      <c r="E67" s="213">
        <f t="shared" ref="E67:F67" si="167">E66+35</f>
        <v>2390</v>
      </c>
      <c r="F67" s="213">
        <f t="shared" si="167"/>
        <v>2215</v>
      </c>
      <c r="G67" s="8"/>
      <c r="H67" s="126">
        <f t="shared" si="4"/>
        <v>63</v>
      </c>
      <c r="I67" s="126"/>
      <c r="J67" s="124"/>
      <c r="K67" s="124"/>
      <c r="L67" s="213">
        <f t="shared" ref="L67:M67" si="168">L66+55</f>
        <v>3465</v>
      </c>
      <c r="M67" s="213">
        <f t="shared" si="168"/>
        <v>3465</v>
      </c>
      <c r="N67" s="8"/>
      <c r="O67" s="142"/>
      <c r="P67" s="143">
        <v>240.0</v>
      </c>
      <c r="Q67" s="152">
        <v>15.0</v>
      </c>
      <c r="R67" s="152">
        <v>8.0</v>
      </c>
      <c r="S67" s="152">
        <v>8.0</v>
      </c>
      <c r="T67" s="152">
        <v>30.0</v>
      </c>
      <c r="U67" s="152">
        <v>30.0</v>
      </c>
      <c r="V67" s="152">
        <v>15.0</v>
      </c>
      <c r="W67" s="152">
        <v>15.0</v>
      </c>
      <c r="X67" s="152">
        <v>60.0</v>
      </c>
      <c r="Y67" s="217">
        <v>15.0</v>
      </c>
      <c r="Z67" s="217">
        <v>5185.0</v>
      </c>
      <c r="AA67" s="217">
        <v>2850.0</v>
      </c>
      <c r="AB67" s="152">
        <f t="shared" ref="AB67:AC67" si="169">Z67-Z66</f>
        <v>70</v>
      </c>
      <c r="AC67" s="152">
        <f t="shared" si="169"/>
        <v>45</v>
      </c>
      <c r="AD67" s="152">
        <v>2655.0</v>
      </c>
      <c r="AE67" s="152">
        <v>1425.0</v>
      </c>
      <c r="AF67" s="152">
        <v>2955.0</v>
      </c>
      <c r="AG67" s="152">
        <v>1725.0</v>
      </c>
      <c r="AH67" s="134"/>
      <c r="AI67" s="134"/>
      <c r="AJ67" s="134"/>
      <c r="AK67" s="572"/>
      <c r="AL67" s="572"/>
      <c r="AM67" s="572">
        <f t="shared" si="54"/>
        <v>21.60416667</v>
      </c>
      <c r="AN67" s="572"/>
      <c r="AO67" s="153">
        <f t="shared" si="12"/>
        <v>240</v>
      </c>
      <c r="AP67" s="22">
        <v>30.0</v>
      </c>
      <c r="AQ67" s="134">
        <v>15.0</v>
      </c>
      <c r="AR67" s="134">
        <v>15.0</v>
      </c>
      <c r="AS67" s="134">
        <f t="shared" si="13"/>
        <v>60</v>
      </c>
      <c r="AT67" s="22">
        <v>12780.0</v>
      </c>
      <c r="AU67" s="161">
        <v>5250.0</v>
      </c>
      <c r="AV67" s="22">
        <v>6480.0</v>
      </c>
      <c r="AW67" s="226">
        <v>2625.0</v>
      </c>
      <c r="AX67" s="134">
        <v>7080.0</v>
      </c>
      <c r="AY67" s="134">
        <v>3225.0</v>
      </c>
      <c r="AZ67" s="22">
        <v>25380.0</v>
      </c>
      <c r="BA67" s="161">
        <v>10500.0</v>
      </c>
      <c r="BB67" s="90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</row>
    <row r="68" ht="12.75" hidden="1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8"/>
      <c r="O68" s="142"/>
      <c r="P68" s="143">
        <v>244.0</v>
      </c>
      <c r="Q68" s="152">
        <v>16.0</v>
      </c>
      <c r="R68" s="152">
        <v>9.0</v>
      </c>
      <c r="S68" s="152">
        <v>9.0</v>
      </c>
      <c r="T68" s="152">
        <v>31.0</v>
      </c>
      <c r="U68" s="152">
        <v>31.0</v>
      </c>
      <c r="V68" s="152">
        <v>16.0</v>
      </c>
      <c r="W68" s="152">
        <v>16.0</v>
      </c>
      <c r="X68" s="152">
        <v>61.0</v>
      </c>
      <c r="Y68" s="217">
        <v>15.25</v>
      </c>
      <c r="Z68" s="217">
        <v>5285.0</v>
      </c>
      <c r="AA68" s="217">
        <v>2900.0</v>
      </c>
      <c r="AB68" s="152">
        <f t="shared" ref="AB68:AC68" si="170">Z68-Z67</f>
        <v>100</v>
      </c>
      <c r="AC68" s="152">
        <f t="shared" si="170"/>
        <v>50</v>
      </c>
      <c r="AD68" s="152">
        <v>2735.0</v>
      </c>
      <c r="AE68" s="152">
        <v>1475.0</v>
      </c>
      <c r="AF68" s="152">
        <v>3055.0</v>
      </c>
      <c r="AG68" s="152">
        <v>1795.0</v>
      </c>
      <c r="AH68" s="134"/>
      <c r="AI68" s="134"/>
      <c r="AJ68" s="22"/>
      <c r="AK68" s="572"/>
      <c r="AL68" s="572"/>
      <c r="AM68" s="572">
        <f t="shared" si="54"/>
        <v>21.65983607</v>
      </c>
      <c r="AN68" s="572"/>
      <c r="AO68" s="153">
        <f t="shared" si="12"/>
        <v>244</v>
      </c>
      <c r="AP68" s="22">
        <v>31.0</v>
      </c>
      <c r="AQ68" s="134">
        <v>16.0</v>
      </c>
      <c r="AR68" s="134">
        <v>16.0</v>
      </c>
      <c r="AS68" s="134">
        <f t="shared" si="13"/>
        <v>61</v>
      </c>
      <c r="AT68" s="22">
        <v>13060.0</v>
      </c>
      <c r="AU68" s="161">
        <v>5340.0</v>
      </c>
      <c r="AV68" s="134">
        <v>6760.0</v>
      </c>
      <c r="AW68" s="134">
        <v>2715.0</v>
      </c>
      <c r="AX68" s="134">
        <v>7380.0</v>
      </c>
      <c r="AY68" s="134">
        <v>3335.0</v>
      </c>
      <c r="AZ68" s="22">
        <v>25800.0</v>
      </c>
      <c r="BA68" s="161">
        <v>10675.0</v>
      </c>
      <c r="BB68" s="90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</row>
    <row r="69" ht="12.75" customHeight="1">
      <c r="A69" s="1"/>
      <c r="B69" s="228" t="s">
        <v>149</v>
      </c>
      <c r="C69" s="229"/>
      <c r="D69" s="229"/>
      <c r="E69" s="230"/>
      <c r="F69" s="8" t="s">
        <v>150</v>
      </c>
      <c r="G69" s="1"/>
      <c r="H69" s="1"/>
      <c r="I69" s="1"/>
      <c r="J69" s="1"/>
      <c r="K69" s="1"/>
      <c r="L69" s="1"/>
      <c r="M69" s="1"/>
      <c r="N69" s="8"/>
      <c r="O69" s="142"/>
      <c r="P69" s="143">
        <v>248.0</v>
      </c>
      <c r="Q69" s="152">
        <v>16.0</v>
      </c>
      <c r="R69" s="152">
        <v>9.0</v>
      </c>
      <c r="S69" s="152">
        <v>9.0</v>
      </c>
      <c r="T69" s="152">
        <v>31.0</v>
      </c>
      <c r="U69" s="152">
        <v>31.0</v>
      </c>
      <c r="V69" s="152">
        <v>16.0</v>
      </c>
      <c r="W69" s="152">
        <v>16.0</v>
      </c>
      <c r="X69" s="152">
        <v>62.0</v>
      </c>
      <c r="Y69" s="217">
        <v>15.5</v>
      </c>
      <c r="Z69" s="217">
        <v>5375.0</v>
      </c>
      <c r="AA69" s="217">
        <v>2945.0</v>
      </c>
      <c r="AB69" s="152">
        <f t="shared" ref="AB69:AC69" si="171">Z69-Z68</f>
        <v>90</v>
      </c>
      <c r="AC69" s="152">
        <f t="shared" si="171"/>
        <v>45</v>
      </c>
      <c r="AD69" s="152">
        <v>2735.0</v>
      </c>
      <c r="AE69" s="152">
        <v>1475.0</v>
      </c>
      <c r="AF69" s="152">
        <v>3055.0</v>
      </c>
      <c r="AG69" s="152">
        <v>1795.0</v>
      </c>
      <c r="AH69" s="134"/>
      <c r="AI69" s="134"/>
      <c r="AJ69" s="134"/>
      <c r="AK69" s="572"/>
      <c r="AL69" s="572"/>
      <c r="AM69" s="572">
        <f t="shared" si="54"/>
        <v>21.6733871</v>
      </c>
      <c r="AN69" s="572"/>
      <c r="AO69" s="153">
        <f t="shared" si="12"/>
        <v>248</v>
      </c>
      <c r="AP69" s="22">
        <v>31.0</v>
      </c>
      <c r="AQ69" s="134">
        <v>16.0</v>
      </c>
      <c r="AR69" s="134">
        <v>16.0</v>
      </c>
      <c r="AS69" s="134">
        <f t="shared" si="13"/>
        <v>62</v>
      </c>
      <c r="AT69" s="22">
        <v>13200.0</v>
      </c>
      <c r="AU69" s="161">
        <v>5425.0</v>
      </c>
      <c r="AV69" s="22">
        <v>6760.0</v>
      </c>
      <c r="AW69" s="22">
        <v>2715.0</v>
      </c>
      <c r="AX69" s="134">
        <v>7380.0</v>
      </c>
      <c r="AY69" s="134">
        <v>3335.0</v>
      </c>
      <c r="AZ69" s="22">
        <v>26220.0</v>
      </c>
      <c r="BA69" s="161">
        <v>10850.0</v>
      </c>
      <c r="BB69" s="90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</row>
    <row r="70" ht="12.75" hidden="1" customHeight="1">
      <c r="A70" s="1"/>
      <c r="B70" s="3" t="s">
        <v>151</v>
      </c>
      <c r="C70" s="5"/>
      <c r="D70" s="3" t="s">
        <v>152</v>
      </c>
      <c r="E70" s="5"/>
      <c r="F70" s="8" t="s">
        <v>151</v>
      </c>
      <c r="G70" s="1"/>
      <c r="H70" s="8" t="s">
        <v>152</v>
      </c>
      <c r="I70" s="8" t="s">
        <v>153</v>
      </c>
      <c r="J70" s="8" t="s">
        <v>154</v>
      </c>
      <c r="K70" s="1"/>
      <c r="L70" s="1"/>
      <c r="M70" s="1"/>
      <c r="N70" s="8"/>
      <c r="O70" s="142"/>
      <c r="P70" s="143">
        <v>252.0</v>
      </c>
      <c r="Q70" s="152">
        <v>17.0</v>
      </c>
      <c r="R70" s="152">
        <v>8.0</v>
      </c>
      <c r="S70" s="152">
        <v>8.0</v>
      </c>
      <c r="T70" s="152">
        <v>32.0</v>
      </c>
      <c r="U70" s="152">
        <v>32.0</v>
      </c>
      <c r="V70" s="152">
        <v>16.0</v>
      </c>
      <c r="W70" s="152">
        <v>16.0</v>
      </c>
      <c r="X70" s="152">
        <v>63.0</v>
      </c>
      <c r="Y70" s="217">
        <v>16.0</v>
      </c>
      <c r="Z70" s="217">
        <v>5455.0</v>
      </c>
      <c r="AA70" s="217">
        <v>2995.0</v>
      </c>
      <c r="AB70" s="152">
        <f t="shared" ref="AB70:AC70" si="172">Z70-Z69</f>
        <v>80</v>
      </c>
      <c r="AC70" s="152">
        <f t="shared" si="172"/>
        <v>50</v>
      </c>
      <c r="AD70" s="152">
        <v>2805.0</v>
      </c>
      <c r="AE70" s="152">
        <v>1520.0</v>
      </c>
      <c r="AF70" s="152">
        <v>3125.0</v>
      </c>
      <c r="AG70" s="152">
        <v>1840.0</v>
      </c>
      <c r="AH70" s="134"/>
      <c r="AI70" s="134"/>
      <c r="AJ70" s="134"/>
      <c r="AK70" s="572"/>
      <c r="AL70" s="572"/>
      <c r="AM70" s="572">
        <f t="shared" si="54"/>
        <v>21.6468254</v>
      </c>
      <c r="AN70" s="572"/>
      <c r="AO70" s="153">
        <f t="shared" si="12"/>
        <v>252</v>
      </c>
      <c r="AP70" s="22">
        <v>32.0</v>
      </c>
      <c r="AQ70" s="134">
        <v>16.0</v>
      </c>
      <c r="AR70" s="134">
        <v>16.0</v>
      </c>
      <c r="AS70" s="134">
        <f t="shared" si="13"/>
        <v>63</v>
      </c>
      <c r="AT70" s="22">
        <v>13480.0</v>
      </c>
      <c r="AU70" s="161">
        <v>5515.0</v>
      </c>
      <c r="AV70" s="134">
        <v>6900.0</v>
      </c>
      <c r="AW70" s="134">
        <v>2800.0</v>
      </c>
      <c r="AX70" s="134">
        <v>7540.0</v>
      </c>
      <c r="AY70" s="134">
        <v>3440.0</v>
      </c>
      <c r="AZ70" s="134"/>
      <c r="BA70" s="134"/>
      <c r="BB70" s="90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</row>
    <row r="71" ht="12.75" hidden="1" customHeight="1">
      <c r="A71" s="8" t="s">
        <v>155</v>
      </c>
      <c r="B71" s="19" t="s">
        <v>40</v>
      </c>
      <c r="C71" s="19" t="s">
        <v>156</v>
      </c>
      <c r="D71" s="19" t="s">
        <v>40</v>
      </c>
      <c r="E71" s="19" t="s">
        <v>156</v>
      </c>
      <c r="F71" s="9" t="s">
        <v>102</v>
      </c>
      <c r="G71" s="9" t="s">
        <v>157</v>
      </c>
      <c r="H71" s="1"/>
      <c r="I71" s="1"/>
      <c r="J71" s="8" t="s">
        <v>40</v>
      </c>
      <c r="K71" s="8" t="s">
        <v>5</v>
      </c>
      <c r="L71" s="1"/>
      <c r="M71" s="1"/>
      <c r="N71" s="8"/>
      <c r="O71" s="142"/>
      <c r="P71" s="143">
        <v>256.0</v>
      </c>
      <c r="Q71" s="152">
        <v>16.0</v>
      </c>
      <c r="R71" s="152">
        <v>8.0</v>
      </c>
      <c r="S71" s="152">
        <v>8.0</v>
      </c>
      <c r="T71" s="152">
        <v>32.0</v>
      </c>
      <c r="U71" s="152">
        <v>32.0</v>
      </c>
      <c r="V71" s="152">
        <v>16.0</v>
      </c>
      <c r="W71" s="152">
        <v>16.0</v>
      </c>
      <c r="X71" s="152">
        <v>64.0</v>
      </c>
      <c r="Y71" s="217">
        <v>16.0</v>
      </c>
      <c r="Z71" s="217">
        <v>5525.0</v>
      </c>
      <c r="AA71" s="217">
        <v>3040.0</v>
      </c>
      <c r="AB71" s="152">
        <f t="shared" ref="AB71:AC71" si="173">Z71-Z70</f>
        <v>70</v>
      </c>
      <c r="AC71" s="152">
        <f t="shared" si="173"/>
        <v>45</v>
      </c>
      <c r="AD71" s="152">
        <v>2805.0</v>
      </c>
      <c r="AE71" s="152">
        <v>1520.0</v>
      </c>
      <c r="AF71" s="152">
        <v>3125.0</v>
      </c>
      <c r="AG71" s="152">
        <v>1840.0</v>
      </c>
      <c r="AH71" s="134"/>
      <c r="AI71" s="134"/>
      <c r="AJ71" s="134"/>
      <c r="AK71" s="572"/>
      <c r="AL71" s="572"/>
      <c r="AM71" s="572">
        <f t="shared" si="54"/>
        <v>21.58203125</v>
      </c>
      <c r="AN71" s="572"/>
      <c r="AO71" s="153">
        <f t="shared" si="12"/>
        <v>256</v>
      </c>
      <c r="AP71" s="22">
        <v>32.0</v>
      </c>
      <c r="AQ71" s="134">
        <v>16.0</v>
      </c>
      <c r="AR71" s="134">
        <v>16.0</v>
      </c>
      <c r="AS71" s="134">
        <f t="shared" si="13"/>
        <v>64</v>
      </c>
      <c r="AT71" s="22">
        <v>13620.0</v>
      </c>
      <c r="AU71" s="161">
        <v>5600.0</v>
      </c>
      <c r="AV71" s="22">
        <v>6900.0</v>
      </c>
      <c r="AW71" s="226">
        <v>2800.0</v>
      </c>
      <c r="AX71" s="134">
        <v>7540.0</v>
      </c>
      <c r="AY71" s="134">
        <v>3440.0</v>
      </c>
      <c r="AZ71" s="134"/>
      <c r="BA71" s="134"/>
      <c r="BB71" s="90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227"/>
      <c r="BQ71" s="227"/>
      <c r="BR71" s="227"/>
      <c r="BS71" s="227"/>
      <c r="BT71" s="227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</row>
    <row r="72" ht="12.75" hidden="1" customHeight="1">
      <c r="A72" s="8" t="s">
        <v>105</v>
      </c>
      <c r="B72" s="19">
        <v>13.0</v>
      </c>
      <c r="C72" s="19">
        <v>14.0</v>
      </c>
      <c r="D72" s="19">
        <v>8.0</v>
      </c>
      <c r="E72" s="19">
        <v>9.0</v>
      </c>
      <c r="F72" s="9">
        <v>3.0</v>
      </c>
      <c r="G72" s="9">
        <v>7.0</v>
      </c>
      <c r="H72" s="9">
        <v>3.0</v>
      </c>
      <c r="I72" s="9">
        <v>3.0</v>
      </c>
      <c r="J72" s="9">
        <v>5.0</v>
      </c>
      <c r="K72" s="9">
        <v>6.0</v>
      </c>
      <c r="L72" s="1"/>
      <c r="M72" s="1"/>
      <c r="N72" s="8"/>
      <c r="O72" s="142"/>
      <c r="P72" s="143">
        <v>260.0</v>
      </c>
      <c r="Q72" s="152">
        <v>17.0</v>
      </c>
      <c r="R72" s="152">
        <v>9.0</v>
      </c>
      <c r="S72" s="152">
        <v>9.0</v>
      </c>
      <c r="T72" s="152">
        <v>33.0</v>
      </c>
      <c r="U72" s="152">
        <v>33.0</v>
      </c>
      <c r="V72" s="152">
        <v>17.0</v>
      </c>
      <c r="W72" s="152">
        <v>17.0</v>
      </c>
      <c r="X72" s="152">
        <v>65.0</v>
      </c>
      <c r="Y72" s="217">
        <v>16.25</v>
      </c>
      <c r="Z72" s="217">
        <v>5625.0</v>
      </c>
      <c r="AA72" s="217">
        <v>3090.0</v>
      </c>
      <c r="AB72" s="152">
        <f t="shared" ref="AB72:AC72" si="174">Z72-Z71</f>
        <v>100</v>
      </c>
      <c r="AC72" s="152">
        <f t="shared" si="174"/>
        <v>50</v>
      </c>
      <c r="AD72" s="152">
        <v>2905.0</v>
      </c>
      <c r="AE72" s="152">
        <v>1570.0</v>
      </c>
      <c r="AF72" s="152">
        <v>3245.0</v>
      </c>
      <c r="AG72" s="152">
        <v>1910.0</v>
      </c>
      <c r="AH72" s="134"/>
      <c r="AI72" s="134"/>
      <c r="AJ72" s="134"/>
      <c r="AK72" s="572"/>
      <c r="AL72" s="572"/>
      <c r="AM72" s="572">
        <f t="shared" si="54"/>
        <v>21.63461538</v>
      </c>
      <c r="AN72" s="572"/>
      <c r="AO72" s="153">
        <f t="shared" si="12"/>
        <v>260</v>
      </c>
      <c r="AP72" s="22">
        <v>33.0</v>
      </c>
      <c r="AQ72" s="134">
        <v>17.0</v>
      </c>
      <c r="AR72" s="134">
        <v>17.0</v>
      </c>
      <c r="AS72" s="134">
        <f t="shared" si="13"/>
        <v>65</v>
      </c>
      <c r="AT72" s="22">
        <v>13900.0</v>
      </c>
      <c r="AU72" s="161">
        <v>5690.0</v>
      </c>
      <c r="AV72" s="134">
        <v>7180.0</v>
      </c>
      <c r="AW72" s="134">
        <v>2890.0</v>
      </c>
      <c r="AX72" s="134">
        <v>7840.0</v>
      </c>
      <c r="AY72" s="134">
        <v>3550.0</v>
      </c>
      <c r="AZ72" s="134"/>
      <c r="BA72" s="134"/>
      <c r="BB72" s="90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</row>
    <row r="73" ht="12.75" customHeight="1">
      <c r="A73" s="8" t="s">
        <v>106</v>
      </c>
      <c r="B73" s="19">
        <v>15.0</v>
      </c>
      <c r="C73" s="19">
        <v>16.0</v>
      </c>
      <c r="D73" s="19">
        <v>10.0</v>
      </c>
      <c r="E73" s="19">
        <v>11.0</v>
      </c>
      <c r="F73" s="9">
        <v>4.0</v>
      </c>
      <c r="G73" s="9">
        <v>8.0</v>
      </c>
      <c r="H73" s="9">
        <v>4.0</v>
      </c>
      <c r="I73" s="9">
        <v>3.0</v>
      </c>
      <c r="J73" s="9">
        <v>5.0</v>
      </c>
      <c r="K73" s="9">
        <v>6.0</v>
      </c>
      <c r="L73" s="1"/>
      <c r="M73" s="1"/>
      <c r="N73" s="8"/>
      <c r="O73" s="142"/>
      <c r="P73" s="143">
        <v>264.0</v>
      </c>
      <c r="Q73" s="152">
        <v>17.0</v>
      </c>
      <c r="R73" s="152">
        <v>9.0</v>
      </c>
      <c r="S73" s="152">
        <v>9.0</v>
      </c>
      <c r="T73" s="152">
        <v>33.0</v>
      </c>
      <c r="U73" s="152">
        <v>33.0</v>
      </c>
      <c r="V73" s="152">
        <v>17.0</v>
      </c>
      <c r="W73" s="152">
        <v>17.0</v>
      </c>
      <c r="X73" s="152">
        <v>66.0</v>
      </c>
      <c r="Y73" s="217">
        <v>16.5</v>
      </c>
      <c r="Z73" s="217">
        <v>5715.0</v>
      </c>
      <c r="AA73" s="217">
        <v>3135.0</v>
      </c>
      <c r="AB73" s="152">
        <f t="shared" ref="AB73:AC73" si="175">Z73-Z72</f>
        <v>90</v>
      </c>
      <c r="AC73" s="152">
        <f t="shared" si="175"/>
        <v>45</v>
      </c>
      <c r="AD73" s="152">
        <v>2905.0</v>
      </c>
      <c r="AE73" s="152">
        <v>1570.0</v>
      </c>
      <c r="AF73" s="152">
        <v>3245.0</v>
      </c>
      <c r="AG73" s="152">
        <v>1910.0</v>
      </c>
      <c r="AH73" s="134"/>
      <c r="AI73" s="134"/>
      <c r="AJ73" s="134"/>
      <c r="AK73" s="572"/>
      <c r="AL73" s="572"/>
      <c r="AM73" s="572">
        <f t="shared" si="54"/>
        <v>21.64772727</v>
      </c>
      <c r="AN73" s="572"/>
      <c r="AO73" s="153">
        <f t="shared" si="12"/>
        <v>264</v>
      </c>
      <c r="AP73" s="22">
        <v>33.0</v>
      </c>
      <c r="AQ73" s="134">
        <v>17.0</v>
      </c>
      <c r="AR73" s="134">
        <v>17.0</v>
      </c>
      <c r="AS73" s="134">
        <f t="shared" si="13"/>
        <v>66</v>
      </c>
      <c r="AT73" s="22">
        <v>14040.0</v>
      </c>
      <c r="AU73" s="161">
        <v>5775.0</v>
      </c>
      <c r="AV73" s="22">
        <v>7180.0</v>
      </c>
      <c r="AW73" s="22">
        <v>2890.0</v>
      </c>
      <c r="AX73" s="134">
        <v>7840.0</v>
      </c>
      <c r="AY73" s="134">
        <v>3550.0</v>
      </c>
      <c r="AZ73" s="134"/>
      <c r="BA73" s="134"/>
      <c r="BB73" s="90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</row>
    <row r="74" ht="12.75" hidden="1" customHeight="1">
      <c r="A74" s="1" t="s">
        <v>74</v>
      </c>
      <c r="B74" s="19">
        <v>11.0</v>
      </c>
      <c r="C74" s="19">
        <v>12.0</v>
      </c>
      <c r="D74" s="19">
        <v>6.0</v>
      </c>
      <c r="E74" s="19">
        <v>7.0</v>
      </c>
      <c r="F74" s="9">
        <v>2.0</v>
      </c>
      <c r="G74" s="9">
        <v>6.0</v>
      </c>
      <c r="H74" s="9">
        <v>2.0</v>
      </c>
      <c r="I74" s="9">
        <v>3.0</v>
      </c>
      <c r="J74" s="9">
        <v>5.0</v>
      </c>
      <c r="K74" s="9">
        <v>6.0</v>
      </c>
      <c r="L74" s="1"/>
      <c r="M74" s="1"/>
      <c r="N74" s="8"/>
      <c r="O74" s="142"/>
      <c r="P74" s="143">
        <v>268.0</v>
      </c>
      <c r="Q74" s="152">
        <v>18.0</v>
      </c>
      <c r="R74" s="152">
        <v>9.0</v>
      </c>
      <c r="S74" s="152">
        <v>9.0</v>
      </c>
      <c r="T74" s="152">
        <v>34.0</v>
      </c>
      <c r="U74" s="152">
        <v>34.0</v>
      </c>
      <c r="V74" s="152">
        <v>17.0</v>
      </c>
      <c r="W74" s="152">
        <v>17.0</v>
      </c>
      <c r="X74" s="152">
        <v>67.0</v>
      </c>
      <c r="Y74" s="217">
        <v>17.0</v>
      </c>
      <c r="Z74" s="217">
        <v>5795.0</v>
      </c>
      <c r="AA74" s="217">
        <v>3185.0</v>
      </c>
      <c r="AB74" s="152">
        <f t="shared" ref="AB74:AC74" si="176">Z74-Z73</f>
        <v>80</v>
      </c>
      <c r="AC74" s="152">
        <f t="shared" si="176"/>
        <v>50</v>
      </c>
      <c r="AD74" s="152">
        <v>2995.0</v>
      </c>
      <c r="AE74" s="152">
        <v>1615.0</v>
      </c>
      <c r="AF74" s="152">
        <v>3335.0</v>
      </c>
      <c r="AG74" s="152">
        <v>1955.0</v>
      </c>
      <c r="AH74" s="134"/>
      <c r="AI74" s="134"/>
      <c r="AJ74" s="134"/>
      <c r="AK74" s="572"/>
      <c r="AL74" s="572"/>
      <c r="AM74" s="572">
        <f t="shared" si="54"/>
        <v>21.62313433</v>
      </c>
      <c r="AN74" s="572"/>
      <c r="AO74" s="153">
        <f t="shared" si="12"/>
        <v>268</v>
      </c>
      <c r="AP74" s="22">
        <v>34.0</v>
      </c>
      <c r="AQ74" s="134">
        <v>17.0</v>
      </c>
      <c r="AR74" s="134">
        <v>17.0</v>
      </c>
      <c r="AS74" s="134">
        <f t="shared" si="13"/>
        <v>67</v>
      </c>
      <c r="AT74" s="22">
        <v>14320.0</v>
      </c>
      <c r="AU74" s="161">
        <v>5865.0</v>
      </c>
      <c r="AV74" s="134">
        <v>7320.0</v>
      </c>
      <c r="AW74" s="134">
        <v>2975.0</v>
      </c>
      <c r="AX74" s="134">
        <v>8000.0</v>
      </c>
      <c r="AY74" s="134">
        <v>3655.0</v>
      </c>
      <c r="AZ74" s="134"/>
      <c r="BA74" s="134"/>
      <c r="BB74" s="90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</row>
    <row r="75" ht="12.75" hidden="1" customHeight="1">
      <c r="A75" s="1" t="s">
        <v>87</v>
      </c>
      <c r="B75" s="7">
        <v>17.0</v>
      </c>
      <c r="C75" s="9">
        <v>18.0</v>
      </c>
      <c r="D75" s="7">
        <v>12.0</v>
      </c>
      <c r="E75" s="9">
        <v>13.0</v>
      </c>
      <c r="F75" s="8">
        <v>5.0</v>
      </c>
      <c r="G75" s="8">
        <v>9.0</v>
      </c>
      <c r="H75" s="8">
        <v>5.0</v>
      </c>
      <c r="I75" s="8">
        <v>4.0</v>
      </c>
      <c r="J75" s="8">
        <v>8.0</v>
      </c>
      <c r="K75" s="8">
        <v>9.0</v>
      </c>
      <c r="L75" s="1"/>
      <c r="M75" s="1"/>
      <c r="N75" s="8"/>
      <c r="O75" s="142"/>
      <c r="P75" s="143">
        <v>272.0</v>
      </c>
      <c r="Q75" s="152">
        <v>17.0</v>
      </c>
      <c r="R75" s="152">
        <v>9.0</v>
      </c>
      <c r="S75" s="152">
        <v>9.0</v>
      </c>
      <c r="T75" s="152">
        <v>34.0</v>
      </c>
      <c r="U75" s="152">
        <v>34.0</v>
      </c>
      <c r="V75" s="152">
        <v>17.0</v>
      </c>
      <c r="W75" s="152">
        <v>17.0</v>
      </c>
      <c r="X75" s="152">
        <v>68.0</v>
      </c>
      <c r="Y75" s="217">
        <v>17.0</v>
      </c>
      <c r="Z75" s="217">
        <v>5865.0</v>
      </c>
      <c r="AA75" s="217">
        <v>3230.0</v>
      </c>
      <c r="AB75" s="152">
        <f t="shared" ref="AB75:AC75" si="177">Z75-Z74</f>
        <v>70</v>
      </c>
      <c r="AC75" s="152">
        <f t="shared" si="177"/>
        <v>45</v>
      </c>
      <c r="AD75" s="152">
        <v>2995.0</v>
      </c>
      <c r="AE75" s="152">
        <v>1615.0</v>
      </c>
      <c r="AF75" s="152">
        <v>3335.0</v>
      </c>
      <c r="AG75" s="152">
        <v>1955.0</v>
      </c>
      <c r="AH75" s="134"/>
      <c r="AI75" s="134"/>
      <c r="AJ75" s="134"/>
      <c r="AK75" s="572"/>
      <c r="AL75" s="572"/>
      <c r="AM75" s="572">
        <f t="shared" si="54"/>
        <v>21.5625</v>
      </c>
      <c r="AN75" s="572"/>
      <c r="AO75" s="153">
        <f t="shared" si="12"/>
        <v>272</v>
      </c>
      <c r="AP75" s="22">
        <v>34.0</v>
      </c>
      <c r="AQ75" s="134">
        <v>17.0</v>
      </c>
      <c r="AR75" s="134">
        <v>17.0</v>
      </c>
      <c r="AS75" s="134">
        <f t="shared" si="13"/>
        <v>68</v>
      </c>
      <c r="AT75" s="22">
        <v>14460.0</v>
      </c>
      <c r="AU75" s="161">
        <v>5950.0</v>
      </c>
      <c r="AV75" s="22">
        <v>7320.0</v>
      </c>
      <c r="AW75" s="226">
        <v>2975.0</v>
      </c>
      <c r="AX75" s="134">
        <v>8000.0</v>
      </c>
      <c r="AY75" s="134">
        <v>3655.0</v>
      </c>
      <c r="AZ75" s="134"/>
      <c r="BA75" s="134"/>
      <c r="BB75" s="90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</row>
    <row r="76" ht="12.75" hidden="1" customHeight="1">
      <c r="A76" s="1" t="s">
        <v>88</v>
      </c>
      <c r="B76" s="1"/>
      <c r="C76" s="1"/>
      <c r="D76" s="8"/>
      <c r="E76" s="1"/>
      <c r="F76" s="1"/>
      <c r="G76" s="1"/>
      <c r="H76" s="1"/>
      <c r="I76" s="1"/>
      <c r="J76" s="1"/>
      <c r="K76" s="1"/>
      <c r="L76" s="1"/>
      <c r="M76" s="1"/>
      <c r="N76" s="8"/>
      <c r="O76" s="142"/>
      <c r="P76" s="143">
        <v>276.0</v>
      </c>
      <c r="Q76" s="152">
        <v>18.0</v>
      </c>
      <c r="R76" s="152">
        <v>10.0</v>
      </c>
      <c r="S76" s="152">
        <v>10.0</v>
      </c>
      <c r="T76" s="152">
        <v>35.0</v>
      </c>
      <c r="U76" s="152">
        <v>35.0</v>
      </c>
      <c r="V76" s="152">
        <v>18.0</v>
      </c>
      <c r="W76" s="152">
        <v>18.0</v>
      </c>
      <c r="X76" s="152">
        <v>69.0</v>
      </c>
      <c r="Y76" s="217">
        <v>17.25</v>
      </c>
      <c r="Z76" s="217">
        <v>5965.0</v>
      </c>
      <c r="AA76" s="217">
        <v>3280.0</v>
      </c>
      <c r="AB76" s="152">
        <f t="shared" ref="AB76:AC76" si="178">Z76-Z75</f>
        <v>100</v>
      </c>
      <c r="AC76" s="152">
        <f t="shared" si="178"/>
        <v>50</v>
      </c>
      <c r="AD76" s="152">
        <v>3075.0</v>
      </c>
      <c r="AE76" s="152">
        <v>1665.0</v>
      </c>
      <c r="AF76" s="152">
        <v>3435.0</v>
      </c>
      <c r="AG76" s="152">
        <v>2025.0</v>
      </c>
      <c r="AH76" s="134"/>
      <c r="AI76" s="134"/>
      <c r="AJ76" s="22"/>
      <c r="AK76" s="572"/>
      <c r="AL76" s="572"/>
      <c r="AM76" s="572">
        <f t="shared" si="54"/>
        <v>21.61231884</v>
      </c>
      <c r="AN76" s="572"/>
      <c r="AO76" s="153">
        <f t="shared" si="12"/>
        <v>276</v>
      </c>
      <c r="AP76" s="22">
        <v>35.0</v>
      </c>
      <c r="AQ76" s="134">
        <v>18.0</v>
      </c>
      <c r="AR76" s="134">
        <v>18.0</v>
      </c>
      <c r="AS76" s="134">
        <f t="shared" si="13"/>
        <v>69</v>
      </c>
      <c r="AT76" s="22">
        <v>14740.0</v>
      </c>
      <c r="AU76" s="161">
        <v>6040.0</v>
      </c>
      <c r="AV76" s="134">
        <v>7600.0</v>
      </c>
      <c r="AW76" s="134">
        <v>3065.0</v>
      </c>
      <c r="AX76" s="134">
        <v>8300.0</v>
      </c>
      <c r="AY76" s="134">
        <v>3765.0</v>
      </c>
      <c r="AZ76" s="134"/>
      <c r="BA76" s="134"/>
      <c r="BB76" s="90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</row>
    <row r="77" ht="12.75" customHeight="1">
      <c r="A77" s="1" t="s">
        <v>143</v>
      </c>
      <c r="B77" s="1"/>
      <c r="C77" s="1"/>
      <c r="D77" s="8"/>
      <c r="E77" s="1"/>
      <c r="F77" s="1"/>
      <c r="G77" s="1"/>
      <c r="H77" s="1"/>
      <c r="I77" s="1"/>
      <c r="J77" s="1"/>
      <c r="K77" s="1"/>
      <c r="L77" s="1"/>
      <c r="M77" s="1"/>
      <c r="N77" s="8"/>
      <c r="O77" s="142"/>
      <c r="P77" s="143">
        <v>280.0</v>
      </c>
      <c r="Q77" s="152">
        <v>18.0</v>
      </c>
      <c r="R77" s="152">
        <v>10.0</v>
      </c>
      <c r="S77" s="152">
        <v>10.0</v>
      </c>
      <c r="T77" s="152">
        <v>35.0</v>
      </c>
      <c r="U77" s="152">
        <v>35.0</v>
      </c>
      <c r="V77" s="152">
        <v>18.0</v>
      </c>
      <c r="W77" s="152">
        <v>18.0</v>
      </c>
      <c r="X77" s="152">
        <v>70.0</v>
      </c>
      <c r="Y77" s="217">
        <v>17.5</v>
      </c>
      <c r="Z77" s="217">
        <v>6055.0</v>
      </c>
      <c r="AA77" s="217">
        <v>3325.0</v>
      </c>
      <c r="AB77" s="152">
        <f t="shared" ref="AB77:AC77" si="179">Z77-Z76</f>
        <v>90</v>
      </c>
      <c r="AC77" s="152">
        <f t="shared" si="179"/>
        <v>45</v>
      </c>
      <c r="AD77" s="152">
        <v>3075.0</v>
      </c>
      <c r="AE77" s="152">
        <v>1665.0</v>
      </c>
      <c r="AF77" s="152">
        <v>3435.0</v>
      </c>
      <c r="AG77" s="152">
        <v>2025.0</v>
      </c>
      <c r="AH77" s="134"/>
      <c r="AI77" s="134"/>
      <c r="AJ77" s="134"/>
      <c r="AK77" s="572"/>
      <c r="AL77" s="572"/>
      <c r="AM77" s="572">
        <f t="shared" si="54"/>
        <v>21.625</v>
      </c>
      <c r="AN77" s="572"/>
      <c r="AO77" s="153">
        <f t="shared" si="12"/>
        <v>280</v>
      </c>
      <c r="AP77" s="22">
        <v>35.0</v>
      </c>
      <c r="AQ77" s="134">
        <v>18.0</v>
      </c>
      <c r="AR77" s="134">
        <v>18.0</v>
      </c>
      <c r="AS77" s="134">
        <f t="shared" si="13"/>
        <v>70</v>
      </c>
      <c r="AT77" s="22">
        <v>14880.0</v>
      </c>
      <c r="AU77" s="161">
        <v>6125.0</v>
      </c>
      <c r="AV77" s="22">
        <v>7600.0</v>
      </c>
      <c r="AW77" s="22">
        <v>3065.0</v>
      </c>
      <c r="AX77" s="134">
        <v>8300.0</v>
      </c>
      <c r="AY77" s="134">
        <v>3765.0</v>
      </c>
      <c r="AZ77" s="134"/>
      <c r="BA77" s="134"/>
      <c r="BB77" s="90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</row>
    <row r="78" ht="12.75" hidden="1" customHeight="1">
      <c r="A78" s="1"/>
      <c r="B78" s="1"/>
      <c r="C78" s="1"/>
      <c r="D78" s="8"/>
      <c r="E78" s="1"/>
      <c r="F78" s="1"/>
      <c r="G78" s="1"/>
      <c r="H78" s="1"/>
      <c r="I78" s="1"/>
      <c r="J78" s="1"/>
      <c r="K78" s="1"/>
      <c r="L78" s="1"/>
      <c r="M78" s="1"/>
      <c r="N78" s="8"/>
      <c r="O78" s="142"/>
      <c r="P78" s="143">
        <v>284.0</v>
      </c>
      <c r="Q78" s="152">
        <v>19.0</v>
      </c>
      <c r="R78" s="152">
        <v>9.0</v>
      </c>
      <c r="S78" s="152">
        <v>9.0</v>
      </c>
      <c r="T78" s="152">
        <v>36.0</v>
      </c>
      <c r="U78" s="152">
        <v>36.0</v>
      </c>
      <c r="V78" s="152">
        <v>18.0</v>
      </c>
      <c r="W78" s="152">
        <v>18.0</v>
      </c>
      <c r="X78" s="152">
        <v>71.0</v>
      </c>
      <c r="Y78" s="217">
        <v>18.0</v>
      </c>
      <c r="Z78" s="217">
        <v>6135.0</v>
      </c>
      <c r="AA78" s="217">
        <v>3375.0</v>
      </c>
      <c r="AB78" s="152">
        <f t="shared" ref="AB78:AC78" si="180">Z78-Z77</f>
        <v>80</v>
      </c>
      <c r="AC78" s="152">
        <f t="shared" si="180"/>
        <v>50</v>
      </c>
      <c r="AD78" s="152">
        <v>3145.0</v>
      </c>
      <c r="AE78" s="152">
        <v>1710.0</v>
      </c>
      <c r="AF78" s="152">
        <v>3505.0</v>
      </c>
      <c r="AG78" s="152">
        <v>2070.0</v>
      </c>
      <c r="AH78" s="134"/>
      <c r="AI78" s="134"/>
      <c r="AJ78" s="134"/>
      <c r="AK78" s="572"/>
      <c r="AL78" s="572"/>
      <c r="AM78" s="572">
        <f t="shared" si="54"/>
        <v>21.60211268</v>
      </c>
      <c r="AN78" s="572"/>
      <c r="AO78" s="153">
        <f t="shared" si="12"/>
        <v>284</v>
      </c>
      <c r="AP78" s="22">
        <v>36.0</v>
      </c>
      <c r="AQ78" s="134">
        <v>18.0</v>
      </c>
      <c r="AR78" s="134">
        <v>18.0</v>
      </c>
      <c r="AS78" s="134">
        <f t="shared" si="13"/>
        <v>71</v>
      </c>
      <c r="AT78" s="22">
        <v>15160.0</v>
      </c>
      <c r="AU78" s="161">
        <v>6215.0</v>
      </c>
      <c r="AV78" s="134">
        <v>7740.0</v>
      </c>
      <c r="AW78" s="134">
        <v>3150.0</v>
      </c>
      <c r="AX78" s="134">
        <v>8460.0</v>
      </c>
      <c r="AY78" s="134">
        <v>3870.0</v>
      </c>
      <c r="AZ78" s="134"/>
      <c r="BA78" s="134"/>
      <c r="BB78" s="90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</row>
    <row r="79" ht="12.75" hidden="1" customHeight="1">
      <c r="A79" s="1"/>
      <c r="B79" s="1"/>
      <c r="C79" s="1"/>
      <c r="D79" s="8"/>
      <c r="E79" s="1"/>
      <c r="F79" s="1"/>
      <c r="G79" s="1"/>
      <c r="H79" s="1"/>
      <c r="I79" s="1"/>
      <c r="J79" s="1"/>
      <c r="K79" s="1"/>
      <c r="L79" s="1"/>
      <c r="M79" s="1"/>
      <c r="N79" s="8"/>
      <c r="O79" s="142"/>
      <c r="P79" s="143">
        <v>288.0</v>
      </c>
      <c r="Q79" s="152">
        <v>18.0</v>
      </c>
      <c r="R79" s="152">
        <v>9.0</v>
      </c>
      <c r="S79" s="152">
        <v>9.0</v>
      </c>
      <c r="T79" s="152">
        <v>36.0</v>
      </c>
      <c r="U79" s="152">
        <v>36.0</v>
      </c>
      <c r="V79" s="152">
        <v>18.0</v>
      </c>
      <c r="W79" s="152">
        <v>18.0</v>
      </c>
      <c r="X79" s="152">
        <v>72.0</v>
      </c>
      <c r="Y79" s="217">
        <v>18.0</v>
      </c>
      <c r="Z79" s="217">
        <v>6205.0</v>
      </c>
      <c r="AA79" s="217">
        <v>3420.0</v>
      </c>
      <c r="AB79" s="152">
        <f t="shared" ref="AB79:AC79" si="181">Z79-Z78</f>
        <v>70</v>
      </c>
      <c r="AC79" s="152">
        <f t="shared" si="181"/>
        <v>45</v>
      </c>
      <c r="AD79" s="152">
        <v>3145.0</v>
      </c>
      <c r="AE79" s="152">
        <v>1710.0</v>
      </c>
      <c r="AF79" s="152">
        <v>3505.0</v>
      </c>
      <c r="AG79" s="152">
        <v>2070.0</v>
      </c>
      <c r="AH79" s="134"/>
      <c r="AI79" s="134"/>
      <c r="AJ79" s="134"/>
      <c r="AK79" s="572"/>
      <c r="AL79" s="572"/>
      <c r="AM79" s="572">
        <f t="shared" si="54"/>
        <v>21.54513889</v>
      </c>
      <c r="AN79" s="572"/>
      <c r="AO79" s="153">
        <f t="shared" si="12"/>
        <v>288</v>
      </c>
      <c r="AP79" s="22">
        <v>36.0</v>
      </c>
      <c r="AQ79" s="134">
        <v>18.0</v>
      </c>
      <c r="AR79" s="134">
        <v>18.0</v>
      </c>
      <c r="AS79" s="134">
        <f t="shared" si="13"/>
        <v>72</v>
      </c>
      <c r="AT79" s="22">
        <v>15300.0</v>
      </c>
      <c r="AU79" s="161">
        <v>6300.0</v>
      </c>
      <c r="AV79" s="22">
        <v>7740.0</v>
      </c>
      <c r="AW79" s="226">
        <v>3150.0</v>
      </c>
      <c r="AX79" s="134">
        <v>8460.0</v>
      </c>
      <c r="AY79" s="134">
        <v>3870.0</v>
      </c>
      <c r="AZ79" s="134"/>
      <c r="BA79" s="134"/>
      <c r="BB79" s="90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</row>
    <row r="80" ht="12.75" hidden="1" customHeight="1">
      <c r="A80" s="1"/>
      <c r="B80" s="1"/>
      <c r="C80" s="1"/>
      <c r="D80" s="8"/>
      <c r="E80" s="1"/>
      <c r="F80" s="1"/>
      <c r="G80" s="1"/>
      <c r="H80" s="1"/>
      <c r="I80" s="1"/>
      <c r="J80" s="1"/>
      <c r="K80" s="1"/>
      <c r="L80" s="1"/>
      <c r="M80" s="1"/>
      <c r="N80" s="8"/>
      <c r="O80" s="142"/>
      <c r="P80" s="143">
        <v>292.0</v>
      </c>
      <c r="Q80" s="152">
        <v>19.0</v>
      </c>
      <c r="R80" s="152">
        <v>10.0</v>
      </c>
      <c r="S80" s="152">
        <v>10.0</v>
      </c>
      <c r="T80" s="152">
        <v>37.0</v>
      </c>
      <c r="U80" s="152">
        <v>37.0</v>
      </c>
      <c r="V80" s="152">
        <v>19.0</v>
      </c>
      <c r="W80" s="152">
        <v>19.0</v>
      </c>
      <c r="X80" s="152">
        <v>73.0</v>
      </c>
      <c r="Y80" s="217">
        <v>18.25</v>
      </c>
      <c r="Z80" s="217">
        <v>6305.0</v>
      </c>
      <c r="AA80" s="217">
        <v>3470.0</v>
      </c>
      <c r="AB80" s="152">
        <f t="shared" ref="AB80:AC80" si="182">Z80-Z79</f>
        <v>100</v>
      </c>
      <c r="AC80" s="152">
        <f t="shared" si="182"/>
        <v>50</v>
      </c>
      <c r="AD80" s="152">
        <v>3245.0</v>
      </c>
      <c r="AE80" s="152">
        <v>1760.0</v>
      </c>
      <c r="AF80" s="152">
        <v>3625.0</v>
      </c>
      <c r="AG80" s="152">
        <v>2140.0</v>
      </c>
      <c r="AH80" s="134"/>
      <c r="AI80" s="134"/>
      <c r="AJ80" s="134"/>
      <c r="AK80" s="572"/>
      <c r="AL80" s="572"/>
      <c r="AM80" s="572">
        <f t="shared" si="54"/>
        <v>21.59246575</v>
      </c>
      <c r="AN80" s="572"/>
      <c r="AO80" s="153">
        <f t="shared" si="12"/>
        <v>292</v>
      </c>
      <c r="AP80" s="22">
        <v>37.0</v>
      </c>
      <c r="AQ80" s="134">
        <v>19.0</v>
      </c>
      <c r="AR80" s="134">
        <v>19.0</v>
      </c>
      <c r="AS80" s="134">
        <f t="shared" si="13"/>
        <v>73</v>
      </c>
      <c r="AT80" s="22">
        <v>15580.0</v>
      </c>
      <c r="AU80" s="161">
        <v>6390.0</v>
      </c>
      <c r="AV80" s="134">
        <v>8020.0</v>
      </c>
      <c r="AW80" s="134">
        <v>3240.0</v>
      </c>
      <c r="AX80" s="134">
        <v>8760.0</v>
      </c>
      <c r="AY80" s="134">
        <v>3980.0</v>
      </c>
      <c r="AZ80" s="134"/>
      <c r="BA80" s="134"/>
      <c r="BB80" s="90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</row>
    <row r="81" ht="12.75" customHeight="1">
      <c r="A81" s="8" t="s">
        <v>158</v>
      </c>
      <c r="B81" s="1"/>
      <c r="C81" s="1"/>
      <c r="D81" s="8"/>
      <c r="E81" s="1"/>
      <c r="F81" s="103"/>
      <c r="G81" s="103"/>
      <c r="H81" s="104"/>
      <c r="I81" s="1"/>
      <c r="J81" s="1"/>
      <c r="K81" s="1"/>
      <c r="L81" s="1"/>
      <c r="M81" s="1"/>
      <c r="N81" s="8"/>
      <c r="O81" s="142"/>
      <c r="P81" s="143">
        <v>296.0</v>
      </c>
      <c r="Q81" s="152">
        <v>19.0</v>
      </c>
      <c r="R81" s="152">
        <v>10.0</v>
      </c>
      <c r="S81" s="152">
        <v>10.0</v>
      </c>
      <c r="T81" s="152">
        <v>37.0</v>
      </c>
      <c r="U81" s="152">
        <v>37.0</v>
      </c>
      <c r="V81" s="152">
        <v>19.0</v>
      </c>
      <c r="W81" s="152">
        <v>19.0</v>
      </c>
      <c r="X81" s="152">
        <v>74.0</v>
      </c>
      <c r="Y81" s="217">
        <v>18.5</v>
      </c>
      <c r="Z81" s="217">
        <v>6395.0</v>
      </c>
      <c r="AA81" s="217">
        <v>3515.0</v>
      </c>
      <c r="AB81" s="152">
        <f t="shared" ref="AB81:AC81" si="183">Z81-Z80</f>
        <v>90</v>
      </c>
      <c r="AC81" s="152">
        <f t="shared" si="183"/>
        <v>45</v>
      </c>
      <c r="AD81" s="152">
        <v>3245.0</v>
      </c>
      <c r="AE81" s="152">
        <v>1760.0</v>
      </c>
      <c r="AF81" s="152">
        <v>3625.0</v>
      </c>
      <c r="AG81" s="152">
        <v>2140.0</v>
      </c>
      <c r="AH81" s="134"/>
      <c r="AI81" s="134"/>
      <c r="AJ81" s="134"/>
      <c r="AK81" s="572"/>
      <c r="AL81" s="572"/>
      <c r="AM81" s="572">
        <f t="shared" si="54"/>
        <v>21.60472973</v>
      </c>
      <c r="AN81" s="572"/>
      <c r="AO81" s="153">
        <f t="shared" si="12"/>
        <v>296</v>
      </c>
      <c r="AP81" s="22">
        <v>37.0</v>
      </c>
      <c r="AQ81" s="134">
        <v>19.0</v>
      </c>
      <c r="AR81" s="134">
        <v>19.0</v>
      </c>
      <c r="AS81" s="134">
        <f t="shared" si="13"/>
        <v>74</v>
      </c>
      <c r="AT81" s="22">
        <v>15720.0</v>
      </c>
      <c r="AU81" s="161">
        <v>6475.0</v>
      </c>
      <c r="AV81" s="22">
        <v>8020.0</v>
      </c>
      <c r="AW81" s="22">
        <v>3240.0</v>
      </c>
      <c r="AX81" s="134">
        <v>8760.0</v>
      </c>
      <c r="AY81" s="134">
        <v>3980.0</v>
      </c>
      <c r="AZ81" s="134"/>
      <c r="BA81" s="134"/>
      <c r="BB81" s="90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</row>
    <row r="82" ht="12.75" hidden="1" customHeight="1">
      <c r="A82" s="8" t="s">
        <v>159</v>
      </c>
      <c r="B82" s="1"/>
      <c r="C82" s="1"/>
      <c r="D82" s="8"/>
      <c r="E82" s="1"/>
      <c r="F82" s="1"/>
      <c r="G82" s="1"/>
      <c r="H82" s="1"/>
      <c r="I82" s="1"/>
      <c r="J82" s="1"/>
      <c r="K82" s="1"/>
      <c r="L82" s="1"/>
      <c r="M82" s="1"/>
      <c r="N82" s="8"/>
      <c r="O82" s="142"/>
      <c r="P82" s="143">
        <v>300.0</v>
      </c>
      <c r="Q82" s="152">
        <v>20.0</v>
      </c>
      <c r="R82" s="152">
        <v>10.0</v>
      </c>
      <c r="S82" s="152">
        <v>10.0</v>
      </c>
      <c r="T82" s="152">
        <v>38.0</v>
      </c>
      <c r="U82" s="152">
        <v>38.0</v>
      </c>
      <c r="V82" s="152">
        <v>19.0</v>
      </c>
      <c r="W82" s="152">
        <v>19.0</v>
      </c>
      <c r="X82" s="152">
        <v>75.0</v>
      </c>
      <c r="Y82" s="217">
        <v>19.0</v>
      </c>
      <c r="Z82" s="217">
        <v>6475.0</v>
      </c>
      <c r="AA82" s="217">
        <v>3565.0</v>
      </c>
      <c r="AB82" s="152">
        <f t="shared" ref="AB82:AC82" si="184">Z82-Z81</f>
        <v>80</v>
      </c>
      <c r="AC82" s="152">
        <f t="shared" si="184"/>
        <v>50</v>
      </c>
      <c r="AD82" s="152">
        <v>3335.0</v>
      </c>
      <c r="AE82" s="152">
        <v>1805.0</v>
      </c>
      <c r="AF82" s="152">
        <v>3715.0</v>
      </c>
      <c r="AG82" s="152">
        <v>2185.0</v>
      </c>
      <c r="AH82" s="134"/>
      <c r="AI82" s="134"/>
      <c r="AJ82" s="134"/>
      <c r="AK82" s="572"/>
      <c r="AL82" s="572"/>
      <c r="AM82" s="572">
        <f t="shared" si="54"/>
        <v>21.58333333</v>
      </c>
      <c r="AN82" s="572"/>
      <c r="AO82" s="153">
        <f t="shared" si="12"/>
        <v>300</v>
      </c>
      <c r="AP82" s="22">
        <v>38.0</v>
      </c>
      <c r="AQ82" s="134">
        <v>19.0</v>
      </c>
      <c r="AR82" s="134">
        <v>19.0</v>
      </c>
      <c r="AS82" s="134">
        <f t="shared" si="13"/>
        <v>75</v>
      </c>
      <c r="AT82" s="22">
        <v>16000.0</v>
      </c>
      <c r="AU82" s="161">
        <v>6565.0</v>
      </c>
      <c r="AV82" s="134">
        <v>8160.0</v>
      </c>
      <c r="AW82" s="134">
        <v>3325.0</v>
      </c>
      <c r="AX82" s="134">
        <v>8920.0</v>
      </c>
      <c r="AY82" s="134">
        <v>4085.0</v>
      </c>
      <c r="AZ82" s="134"/>
      <c r="BA82" s="134"/>
      <c r="BB82" s="90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</row>
    <row r="83" ht="12.75" hidden="1" customHeight="1">
      <c r="A83" s="1"/>
      <c r="B83" s="1"/>
      <c r="C83" s="1"/>
      <c r="D83" s="8"/>
      <c r="E83" s="1"/>
      <c r="F83" s="1"/>
      <c r="G83" s="1"/>
      <c r="H83" s="1"/>
      <c r="I83" s="1"/>
      <c r="J83" s="1"/>
      <c r="K83" s="1"/>
      <c r="L83" s="1"/>
      <c r="M83" s="1"/>
      <c r="N83" s="8"/>
      <c r="O83" s="142"/>
      <c r="P83" s="143">
        <v>304.0</v>
      </c>
      <c r="Q83" s="152">
        <v>19.0</v>
      </c>
      <c r="R83" s="152">
        <v>10.0</v>
      </c>
      <c r="S83" s="152">
        <v>10.0</v>
      </c>
      <c r="T83" s="152">
        <v>38.0</v>
      </c>
      <c r="U83" s="152">
        <v>38.0</v>
      </c>
      <c r="V83" s="152">
        <v>19.0</v>
      </c>
      <c r="W83" s="152">
        <v>19.0</v>
      </c>
      <c r="X83" s="152">
        <v>76.0</v>
      </c>
      <c r="Y83" s="217">
        <v>19.0</v>
      </c>
      <c r="Z83" s="217">
        <v>6545.0</v>
      </c>
      <c r="AA83" s="217">
        <v>3610.0</v>
      </c>
      <c r="AB83" s="152">
        <f t="shared" ref="AB83:AC83" si="185">Z83-Z82</f>
        <v>70</v>
      </c>
      <c r="AC83" s="152">
        <f t="shared" si="185"/>
        <v>45</v>
      </c>
      <c r="AD83" s="152">
        <v>3335.0</v>
      </c>
      <c r="AE83" s="152">
        <v>1805.0</v>
      </c>
      <c r="AF83" s="152">
        <v>3715.0</v>
      </c>
      <c r="AG83" s="152">
        <v>2185.0</v>
      </c>
      <c r="AH83" s="134"/>
      <c r="AI83" s="134"/>
      <c r="AJ83" s="134"/>
      <c r="AK83" s="572"/>
      <c r="AL83" s="572"/>
      <c r="AM83" s="572">
        <f t="shared" si="54"/>
        <v>21.52960526</v>
      </c>
      <c r="AN83" s="572"/>
      <c r="AO83" s="153">
        <f t="shared" si="12"/>
        <v>304</v>
      </c>
      <c r="AP83" s="22">
        <v>38.0</v>
      </c>
      <c r="AQ83" s="134">
        <v>19.0</v>
      </c>
      <c r="AR83" s="134">
        <v>19.0</v>
      </c>
      <c r="AS83" s="134">
        <f t="shared" si="13"/>
        <v>76</v>
      </c>
      <c r="AT83" s="22">
        <v>16140.0</v>
      </c>
      <c r="AU83" s="161">
        <v>6650.0</v>
      </c>
      <c r="AV83" s="22">
        <v>8160.0</v>
      </c>
      <c r="AW83" s="226">
        <v>3325.0</v>
      </c>
      <c r="AX83" s="134">
        <v>8920.0</v>
      </c>
      <c r="AY83" s="134">
        <v>4085.0</v>
      </c>
      <c r="AZ83" s="134"/>
      <c r="BA83" s="134"/>
      <c r="BB83" s="90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</row>
    <row r="84" ht="12.75" hidden="1" customHeight="1">
      <c r="A84" s="8" t="s">
        <v>160</v>
      </c>
      <c r="B84" s="1"/>
      <c r="C84" s="1"/>
      <c r="D84" s="8"/>
      <c r="E84" s="1"/>
      <c r="F84" s="1"/>
      <c r="G84" s="1"/>
      <c r="H84" s="1"/>
      <c r="I84" s="1"/>
      <c r="J84" s="1"/>
      <c r="K84" s="1"/>
      <c r="L84" s="1"/>
      <c r="M84" s="1"/>
      <c r="N84" s="8"/>
      <c r="O84" s="142"/>
      <c r="P84" s="143">
        <v>308.0</v>
      </c>
      <c r="Q84" s="152">
        <v>20.0</v>
      </c>
      <c r="R84" s="152">
        <v>11.0</v>
      </c>
      <c r="S84" s="152">
        <v>11.0</v>
      </c>
      <c r="T84" s="152">
        <v>39.0</v>
      </c>
      <c r="U84" s="152">
        <v>39.0</v>
      </c>
      <c r="V84" s="152">
        <v>20.0</v>
      </c>
      <c r="W84" s="152">
        <v>20.0</v>
      </c>
      <c r="X84" s="152">
        <v>77.0</v>
      </c>
      <c r="Y84" s="217">
        <v>19.25</v>
      </c>
      <c r="Z84" s="217">
        <v>6645.0</v>
      </c>
      <c r="AA84" s="217">
        <v>3660.0</v>
      </c>
      <c r="AB84" s="152">
        <f t="shared" ref="AB84:AC84" si="186">Z84-Z83</f>
        <v>100</v>
      </c>
      <c r="AC84" s="152">
        <f t="shared" si="186"/>
        <v>50</v>
      </c>
      <c r="AD84" s="152">
        <v>3415.0</v>
      </c>
      <c r="AE84" s="152">
        <v>1855.0</v>
      </c>
      <c r="AF84" s="152">
        <v>3815.0</v>
      </c>
      <c r="AG84" s="152">
        <v>2255.0</v>
      </c>
      <c r="AH84" s="134"/>
      <c r="AI84" s="134"/>
      <c r="AJ84" s="134"/>
      <c r="AK84" s="572"/>
      <c r="AL84" s="572"/>
      <c r="AM84" s="572">
        <f t="shared" si="54"/>
        <v>21.57467532</v>
      </c>
      <c r="AN84" s="572"/>
      <c r="AO84" s="153">
        <f t="shared" si="12"/>
        <v>308</v>
      </c>
      <c r="AP84" s="22">
        <v>39.0</v>
      </c>
      <c r="AQ84" s="134">
        <v>20.0</v>
      </c>
      <c r="AR84" s="134">
        <v>20.0</v>
      </c>
      <c r="AS84" s="134">
        <f t="shared" si="13"/>
        <v>77</v>
      </c>
      <c r="AT84" s="22">
        <v>16420.0</v>
      </c>
      <c r="AU84" s="161">
        <v>6740.0</v>
      </c>
      <c r="AV84" s="134">
        <v>8440.0</v>
      </c>
      <c r="AW84" s="134">
        <v>3415.0</v>
      </c>
      <c r="AX84" s="134">
        <v>9220.0</v>
      </c>
      <c r="AY84" s="134">
        <v>4195.0</v>
      </c>
      <c r="AZ84" s="134"/>
      <c r="BA84" s="134"/>
      <c r="BB84" s="90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</row>
    <row r="85" ht="12.75" customHeight="1">
      <c r="A85" s="8" t="s">
        <v>161</v>
      </c>
      <c r="B85" s="1"/>
      <c r="C85" s="1"/>
      <c r="D85" s="8"/>
      <c r="E85" s="1"/>
      <c r="F85" s="1"/>
      <c r="G85" s="1"/>
      <c r="H85" s="1"/>
      <c r="I85" s="1"/>
      <c r="J85" s="1"/>
      <c r="K85" s="1"/>
      <c r="L85" s="1"/>
      <c r="M85" s="1"/>
      <c r="N85" s="8"/>
      <c r="O85" s="142"/>
      <c r="P85" s="143">
        <v>312.0</v>
      </c>
      <c r="Q85" s="152">
        <v>20.0</v>
      </c>
      <c r="R85" s="152">
        <v>11.0</v>
      </c>
      <c r="S85" s="152">
        <v>11.0</v>
      </c>
      <c r="T85" s="152">
        <v>39.0</v>
      </c>
      <c r="U85" s="152">
        <v>39.0</v>
      </c>
      <c r="V85" s="152">
        <v>20.0</v>
      </c>
      <c r="W85" s="152">
        <v>20.0</v>
      </c>
      <c r="X85" s="152">
        <v>78.0</v>
      </c>
      <c r="Y85" s="217">
        <v>19.5</v>
      </c>
      <c r="Z85" s="217">
        <v>6735.0</v>
      </c>
      <c r="AA85" s="217">
        <v>3705.0</v>
      </c>
      <c r="AB85" s="152">
        <f t="shared" ref="AB85:AC85" si="187">Z85-Z84</f>
        <v>90</v>
      </c>
      <c r="AC85" s="152">
        <f t="shared" si="187"/>
        <v>45</v>
      </c>
      <c r="AD85" s="152">
        <v>3415.0</v>
      </c>
      <c r="AE85" s="152">
        <v>1855.0</v>
      </c>
      <c r="AF85" s="152">
        <v>3815.0</v>
      </c>
      <c r="AG85" s="152">
        <v>2255.0</v>
      </c>
      <c r="AH85" s="134"/>
      <c r="AI85" s="134"/>
      <c r="AJ85" s="134"/>
      <c r="AK85" s="572"/>
      <c r="AL85" s="572"/>
      <c r="AM85" s="572">
        <f t="shared" si="54"/>
        <v>21.58653846</v>
      </c>
      <c r="AN85" s="572"/>
      <c r="AO85" s="153">
        <f t="shared" si="12"/>
        <v>312</v>
      </c>
      <c r="AP85" s="22">
        <v>39.0</v>
      </c>
      <c r="AQ85" s="134">
        <v>20.0</v>
      </c>
      <c r="AR85" s="134">
        <v>20.0</v>
      </c>
      <c r="AS85" s="134">
        <f t="shared" si="13"/>
        <v>78</v>
      </c>
      <c r="AT85" s="22">
        <v>16560.0</v>
      </c>
      <c r="AU85" s="161">
        <v>6825.0</v>
      </c>
      <c r="AV85" s="22">
        <v>8440.0</v>
      </c>
      <c r="AW85" s="22">
        <v>3415.0</v>
      </c>
      <c r="AX85" s="134">
        <v>9220.0</v>
      </c>
      <c r="AY85" s="134">
        <v>4195.0</v>
      </c>
      <c r="AZ85" s="134"/>
      <c r="BA85" s="134"/>
      <c r="BB85" s="90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</row>
    <row r="86" ht="12.75" hidden="1" customHeight="1">
      <c r="A86" s="1"/>
      <c r="B86" s="1"/>
      <c r="C86" s="1"/>
      <c r="D86" s="8"/>
      <c r="E86" s="1"/>
      <c r="F86" s="1"/>
      <c r="G86" s="1"/>
      <c r="H86" s="1"/>
      <c r="I86" s="1"/>
      <c r="J86" s="1"/>
      <c r="K86" s="1"/>
      <c r="L86" s="1"/>
      <c r="M86" s="8"/>
      <c r="N86" s="8"/>
      <c r="O86" s="142"/>
      <c r="P86" s="143">
        <v>316.0</v>
      </c>
      <c r="Q86" s="152">
        <v>21.0</v>
      </c>
      <c r="R86" s="152">
        <v>10.0</v>
      </c>
      <c r="S86" s="152">
        <v>10.0</v>
      </c>
      <c r="T86" s="152">
        <v>40.0</v>
      </c>
      <c r="U86" s="152">
        <v>40.0</v>
      </c>
      <c r="V86" s="152">
        <v>20.0</v>
      </c>
      <c r="W86" s="152">
        <v>20.0</v>
      </c>
      <c r="X86" s="152">
        <v>79.0</v>
      </c>
      <c r="Y86" s="217">
        <v>20.0</v>
      </c>
      <c r="Z86" s="217">
        <v>6815.0</v>
      </c>
      <c r="AA86" s="217">
        <v>3755.0</v>
      </c>
      <c r="AB86" s="152">
        <f t="shared" ref="AB86:AC86" si="188">Z86-Z85</f>
        <v>80</v>
      </c>
      <c r="AC86" s="152">
        <f t="shared" si="188"/>
        <v>50</v>
      </c>
      <c r="AD86" s="152">
        <v>3485.0</v>
      </c>
      <c r="AE86" s="152">
        <v>1900.0</v>
      </c>
      <c r="AF86" s="152">
        <v>3885.0</v>
      </c>
      <c r="AG86" s="152">
        <v>2300.0</v>
      </c>
      <c r="AH86" s="134"/>
      <c r="AI86" s="134"/>
      <c r="AJ86" s="134"/>
      <c r="AK86" s="572"/>
      <c r="AL86" s="572"/>
      <c r="AM86" s="572">
        <f t="shared" si="54"/>
        <v>21.5664557</v>
      </c>
      <c r="AN86" s="572"/>
      <c r="AO86" s="153">
        <f t="shared" si="12"/>
        <v>316</v>
      </c>
      <c r="AP86" s="22">
        <v>40.0</v>
      </c>
      <c r="AQ86" s="134">
        <v>20.0</v>
      </c>
      <c r="AR86" s="134">
        <v>20.0</v>
      </c>
      <c r="AS86" s="134">
        <f t="shared" si="13"/>
        <v>79</v>
      </c>
      <c r="AT86" s="22">
        <v>16840.0</v>
      </c>
      <c r="AU86" s="161">
        <v>6915.0</v>
      </c>
      <c r="AV86" s="134">
        <v>8580.0</v>
      </c>
      <c r="AW86" s="134">
        <v>3500.0</v>
      </c>
      <c r="AX86" s="134">
        <v>9380.0</v>
      </c>
      <c r="AY86" s="134">
        <v>4300.0</v>
      </c>
      <c r="AZ86" s="134"/>
      <c r="BA86" s="134"/>
      <c r="BB86" s="90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</row>
    <row r="87" ht="12.75" hidden="1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8"/>
      <c r="N87" s="8"/>
      <c r="O87" s="142"/>
      <c r="P87" s="143">
        <v>320.0</v>
      </c>
      <c r="Q87" s="152">
        <v>20.0</v>
      </c>
      <c r="R87" s="152">
        <v>10.0</v>
      </c>
      <c r="S87" s="152">
        <v>10.0</v>
      </c>
      <c r="T87" s="152">
        <v>40.0</v>
      </c>
      <c r="U87" s="152">
        <v>40.0</v>
      </c>
      <c r="V87" s="152">
        <v>20.0</v>
      </c>
      <c r="W87" s="152">
        <v>20.0</v>
      </c>
      <c r="X87" s="152">
        <v>80.0</v>
      </c>
      <c r="Y87" s="217">
        <v>20.0</v>
      </c>
      <c r="Z87" s="217">
        <v>6885.0</v>
      </c>
      <c r="AA87" s="217">
        <v>3800.0</v>
      </c>
      <c r="AB87" s="152">
        <f t="shared" ref="AB87:AC87" si="189">Z87-Z86</f>
        <v>70</v>
      </c>
      <c r="AC87" s="152">
        <f t="shared" si="189"/>
        <v>45</v>
      </c>
      <c r="AD87" s="152">
        <v>3485.0</v>
      </c>
      <c r="AE87" s="152">
        <v>1900.0</v>
      </c>
      <c r="AF87" s="152">
        <v>3885.0</v>
      </c>
      <c r="AG87" s="152">
        <v>2300.0</v>
      </c>
      <c r="AH87" s="134"/>
      <c r="AI87" s="134"/>
      <c r="AJ87" s="134"/>
      <c r="AK87" s="572"/>
      <c r="AL87" s="572"/>
      <c r="AM87" s="572">
        <f t="shared" si="54"/>
        <v>21.515625</v>
      </c>
      <c r="AN87" s="572"/>
      <c r="AO87" s="153">
        <f t="shared" si="12"/>
        <v>320</v>
      </c>
      <c r="AP87" s="22">
        <v>40.0</v>
      </c>
      <c r="AQ87" s="134">
        <v>20.0</v>
      </c>
      <c r="AR87" s="134">
        <v>20.0</v>
      </c>
      <c r="AS87" s="134">
        <f t="shared" si="13"/>
        <v>80</v>
      </c>
      <c r="AT87" s="22">
        <v>16980.0</v>
      </c>
      <c r="AU87" s="161">
        <v>7000.0</v>
      </c>
      <c r="AV87" s="22">
        <v>8580.0</v>
      </c>
      <c r="AW87" s="226">
        <v>3500.0</v>
      </c>
      <c r="AX87" s="134">
        <v>9380.0</v>
      </c>
      <c r="AY87" s="134">
        <v>4300.0</v>
      </c>
      <c r="AZ87" s="134"/>
      <c r="BA87" s="134"/>
      <c r="BB87" s="90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</row>
    <row r="88" ht="12.75" hidden="1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8"/>
      <c r="N88" s="8"/>
      <c r="O88" s="142"/>
      <c r="P88" s="143">
        <v>324.0</v>
      </c>
      <c r="Q88" s="152">
        <v>21.0</v>
      </c>
      <c r="R88" s="152">
        <v>11.0</v>
      </c>
      <c r="S88" s="152">
        <v>11.0</v>
      </c>
      <c r="T88" s="152">
        <v>41.0</v>
      </c>
      <c r="U88" s="152">
        <v>41.0</v>
      </c>
      <c r="V88" s="152">
        <v>21.0</v>
      </c>
      <c r="W88" s="152">
        <v>21.0</v>
      </c>
      <c r="X88" s="152">
        <v>81.0</v>
      </c>
      <c r="Y88" s="217">
        <v>20.25</v>
      </c>
      <c r="Z88" s="217">
        <v>6985.0</v>
      </c>
      <c r="AA88" s="217">
        <v>3850.0</v>
      </c>
      <c r="AB88" s="152">
        <f t="shared" ref="AB88:AC88" si="190">Z88-Z87</f>
        <v>100</v>
      </c>
      <c r="AC88" s="152">
        <f t="shared" si="190"/>
        <v>50</v>
      </c>
      <c r="AD88" s="152">
        <v>3585.0</v>
      </c>
      <c r="AE88" s="152">
        <v>1950.0</v>
      </c>
      <c r="AF88" s="152">
        <v>4005.0</v>
      </c>
      <c r="AG88" s="152">
        <v>2370.0</v>
      </c>
      <c r="AH88" s="134"/>
      <c r="AI88" s="134"/>
      <c r="AJ88" s="134"/>
      <c r="AK88" s="572"/>
      <c r="AL88" s="572"/>
      <c r="AM88" s="572">
        <f t="shared" si="54"/>
        <v>21.55864198</v>
      </c>
      <c r="AN88" s="572"/>
      <c r="AO88" s="153">
        <f t="shared" si="12"/>
        <v>324</v>
      </c>
      <c r="AP88" s="22">
        <v>41.0</v>
      </c>
      <c r="AQ88" s="134">
        <v>21.0</v>
      </c>
      <c r="AR88" s="134">
        <v>21.0</v>
      </c>
      <c r="AS88" s="134">
        <f t="shared" si="13"/>
        <v>81</v>
      </c>
      <c r="AT88" s="22">
        <v>17260.0</v>
      </c>
      <c r="AU88" s="161">
        <v>7090.0</v>
      </c>
      <c r="AV88" s="134">
        <v>8860.0</v>
      </c>
      <c r="AW88" s="134">
        <v>3590.0</v>
      </c>
      <c r="AX88" s="134">
        <v>9680.0</v>
      </c>
      <c r="AY88" s="134">
        <v>4410.0</v>
      </c>
      <c r="AZ88" s="134"/>
      <c r="BA88" s="134"/>
      <c r="BB88" s="90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</row>
    <row r="89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8"/>
      <c r="N89" s="8"/>
      <c r="O89" s="142"/>
      <c r="P89" s="143">
        <v>328.0</v>
      </c>
      <c r="Q89" s="152">
        <v>21.0</v>
      </c>
      <c r="R89" s="152">
        <v>11.0</v>
      </c>
      <c r="S89" s="152">
        <v>11.0</v>
      </c>
      <c r="T89" s="152">
        <v>41.0</v>
      </c>
      <c r="U89" s="152">
        <v>41.0</v>
      </c>
      <c r="V89" s="152">
        <v>21.0</v>
      </c>
      <c r="W89" s="152">
        <v>21.0</v>
      </c>
      <c r="X89" s="152">
        <v>82.0</v>
      </c>
      <c r="Y89" s="217">
        <v>20.5</v>
      </c>
      <c r="Z89" s="217">
        <v>7075.0</v>
      </c>
      <c r="AA89" s="217">
        <v>3895.0</v>
      </c>
      <c r="AB89" s="152">
        <f t="shared" ref="AB89:AC89" si="191">Z89-Z88</f>
        <v>90</v>
      </c>
      <c r="AC89" s="152">
        <f t="shared" si="191"/>
        <v>45</v>
      </c>
      <c r="AD89" s="152">
        <v>3585.0</v>
      </c>
      <c r="AE89" s="152">
        <v>1950.0</v>
      </c>
      <c r="AF89" s="152">
        <v>4005.0</v>
      </c>
      <c r="AG89" s="152">
        <v>2370.0</v>
      </c>
      <c r="AH89" s="134"/>
      <c r="AI89" s="134"/>
      <c r="AJ89" s="134"/>
      <c r="AK89" s="572"/>
      <c r="AL89" s="572"/>
      <c r="AM89" s="572">
        <f t="shared" si="54"/>
        <v>21.57012195</v>
      </c>
      <c r="AN89" s="572"/>
      <c r="AO89" s="153">
        <f t="shared" si="12"/>
        <v>328</v>
      </c>
      <c r="AP89" s="22">
        <v>41.0</v>
      </c>
      <c r="AQ89" s="134">
        <v>21.0</v>
      </c>
      <c r="AR89" s="134">
        <v>21.0</v>
      </c>
      <c r="AS89" s="134">
        <f t="shared" si="13"/>
        <v>82</v>
      </c>
      <c r="AT89" s="22">
        <v>17400.0</v>
      </c>
      <c r="AU89" s="161">
        <v>7175.0</v>
      </c>
      <c r="AV89" s="22">
        <v>8860.0</v>
      </c>
      <c r="AW89" s="22">
        <v>3590.0</v>
      </c>
      <c r="AX89" s="134">
        <v>9680.0</v>
      </c>
      <c r="AY89" s="134">
        <v>4410.0</v>
      </c>
      <c r="AZ89" s="134"/>
      <c r="BA89" s="134"/>
      <c r="BB89" s="90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</row>
    <row r="90" ht="12.75" hidden="1" customHeight="1">
      <c r="A90" s="1"/>
      <c r="B90" s="1"/>
      <c r="C90" s="22"/>
      <c r="D90" s="22"/>
      <c r="E90" s="22"/>
      <c r="F90" s="22"/>
      <c r="G90" s="22"/>
      <c r="H90" s="1"/>
      <c r="I90" s="1"/>
      <c r="J90" s="1"/>
      <c r="K90" s="1"/>
      <c r="L90" s="1"/>
      <c r="M90" s="8"/>
      <c r="N90" s="8"/>
      <c r="O90" s="142"/>
      <c r="P90" s="143">
        <v>332.0</v>
      </c>
      <c r="Q90" s="152">
        <v>22.0</v>
      </c>
      <c r="R90" s="152">
        <v>11.0</v>
      </c>
      <c r="S90" s="152">
        <v>11.0</v>
      </c>
      <c r="T90" s="152">
        <v>42.0</v>
      </c>
      <c r="U90" s="152">
        <v>42.0</v>
      </c>
      <c r="V90" s="152">
        <v>21.0</v>
      </c>
      <c r="W90" s="152">
        <v>21.0</v>
      </c>
      <c r="X90" s="152">
        <v>83.0</v>
      </c>
      <c r="Y90" s="217">
        <v>21.0</v>
      </c>
      <c r="Z90" s="217">
        <v>7155.0</v>
      </c>
      <c r="AA90" s="217">
        <v>3945.0</v>
      </c>
      <c r="AB90" s="152">
        <f t="shared" ref="AB90:AC90" si="192">Z90-Z89</f>
        <v>80</v>
      </c>
      <c r="AC90" s="152">
        <f t="shared" si="192"/>
        <v>50</v>
      </c>
      <c r="AD90" s="152">
        <v>3675.0</v>
      </c>
      <c r="AE90" s="152">
        <v>1995.0</v>
      </c>
      <c r="AF90" s="152">
        <v>4095.0</v>
      </c>
      <c r="AG90" s="152">
        <v>2415.0</v>
      </c>
      <c r="AH90" s="134"/>
      <c r="AI90" s="134"/>
      <c r="AJ90" s="134"/>
      <c r="AK90" s="572"/>
      <c r="AL90" s="572"/>
      <c r="AM90" s="572">
        <f t="shared" si="54"/>
        <v>21.55120482</v>
      </c>
      <c r="AN90" s="572"/>
      <c r="AO90" s="153">
        <f t="shared" si="12"/>
        <v>332</v>
      </c>
      <c r="AP90" s="22">
        <v>42.0</v>
      </c>
      <c r="AQ90" s="134">
        <v>21.0</v>
      </c>
      <c r="AR90" s="134">
        <v>21.0</v>
      </c>
      <c r="AS90" s="134">
        <f t="shared" si="13"/>
        <v>83</v>
      </c>
      <c r="AT90" s="22">
        <v>17680.0</v>
      </c>
      <c r="AU90" s="161">
        <v>7265.0</v>
      </c>
      <c r="AV90" s="134">
        <v>9000.0</v>
      </c>
      <c r="AW90" s="134">
        <v>3675.0</v>
      </c>
      <c r="AX90" s="134">
        <v>9840.0</v>
      </c>
      <c r="AY90" s="134">
        <v>4515.0</v>
      </c>
      <c r="AZ90" s="134"/>
      <c r="BA90" s="134"/>
      <c r="BB90" s="90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</row>
    <row r="91" ht="12.75" hidden="1" customHeight="1">
      <c r="A91" s="1"/>
      <c r="B91" s="1"/>
      <c r="C91" s="22" t="s">
        <v>153</v>
      </c>
      <c r="D91" s="22"/>
      <c r="E91" s="22" t="s">
        <v>162</v>
      </c>
      <c r="F91" s="22"/>
      <c r="G91" s="22"/>
      <c r="H91" s="22"/>
      <c r="I91" s="1"/>
      <c r="J91" s="1"/>
      <c r="K91" s="1"/>
      <c r="L91" s="1"/>
      <c r="M91" s="8"/>
      <c r="N91" s="8"/>
      <c r="O91" s="142"/>
      <c r="P91" s="143">
        <v>336.0</v>
      </c>
      <c r="Q91" s="152">
        <v>21.0</v>
      </c>
      <c r="R91" s="152">
        <v>11.0</v>
      </c>
      <c r="S91" s="152">
        <v>11.0</v>
      </c>
      <c r="T91" s="152">
        <v>42.0</v>
      </c>
      <c r="U91" s="152">
        <v>42.0</v>
      </c>
      <c r="V91" s="152">
        <v>21.0</v>
      </c>
      <c r="W91" s="152">
        <v>21.0</v>
      </c>
      <c r="X91" s="152">
        <v>84.0</v>
      </c>
      <c r="Y91" s="217">
        <v>21.0</v>
      </c>
      <c r="Z91" s="217">
        <v>7225.0</v>
      </c>
      <c r="AA91" s="217">
        <v>3990.0</v>
      </c>
      <c r="AB91" s="152">
        <f t="shared" ref="AB91:AC91" si="193">Z91-Z90</f>
        <v>70</v>
      </c>
      <c r="AC91" s="152">
        <f t="shared" si="193"/>
        <v>45</v>
      </c>
      <c r="AD91" s="152">
        <v>3675.0</v>
      </c>
      <c r="AE91" s="152">
        <v>1995.0</v>
      </c>
      <c r="AF91" s="152">
        <v>4095.0</v>
      </c>
      <c r="AG91" s="152">
        <v>2415.0</v>
      </c>
      <c r="AH91" s="134"/>
      <c r="AI91" s="134"/>
      <c r="AJ91" s="134"/>
      <c r="AK91" s="572"/>
      <c r="AL91" s="572"/>
      <c r="AM91" s="572">
        <f t="shared" si="54"/>
        <v>21.50297619</v>
      </c>
      <c r="AN91" s="572"/>
      <c r="AO91" s="153">
        <f t="shared" si="12"/>
        <v>336</v>
      </c>
      <c r="AP91" s="22">
        <v>42.0</v>
      </c>
      <c r="AQ91" s="134">
        <v>21.0</v>
      </c>
      <c r="AR91" s="134">
        <v>21.0</v>
      </c>
      <c r="AS91" s="134">
        <f t="shared" si="13"/>
        <v>84</v>
      </c>
      <c r="AT91" s="22">
        <v>17820.0</v>
      </c>
      <c r="AU91" s="161">
        <v>7350.0</v>
      </c>
      <c r="AV91" s="22">
        <v>9000.0</v>
      </c>
      <c r="AW91" s="226">
        <v>3675.0</v>
      </c>
      <c r="AX91" s="134">
        <v>9840.0</v>
      </c>
      <c r="AY91" s="134">
        <v>4515.0</v>
      </c>
      <c r="AZ91" s="134"/>
      <c r="BA91" s="134"/>
      <c r="BB91" s="90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</row>
    <row r="92" ht="12.75" hidden="1" customHeight="1">
      <c r="A92" s="1" t="s">
        <v>118</v>
      </c>
      <c r="B92" s="1"/>
      <c r="C92" s="22" t="s">
        <v>163</v>
      </c>
      <c r="D92" s="22"/>
      <c r="E92" s="22" t="s">
        <v>163</v>
      </c>
      <c r="F92" s="22"/>
      <c r="G92" s="22"/>
      <c r="H92" s="22"/>
      <c r="I92" s="1"/>
      <c r="J92" s="1"/>
      <c r="K92" s="1"/>
      <c r="L92" s="1"/>
      <c r="M92" s="8"/>
      <c r="N92" s="8"/>
      <c r="O92" s="142"/>
      <c r="P92" s="143">
        <v>340.0</v>
      </c>
      <c r="Q92" s="152">
        <v>22.0</v>
      </c>
      <c r="R92" s="152">
        <v>12.0</v>
      </c>
      <c r="S92" s="152">
        <v>12.0</v>
      </c>
      <c r="T92" s="152">
        <v>43.0</v>
      </c>
      <c r="U92" s="152">
        <v>43.0</v>
      </c>
      <c r="V92" s="152">
        <v>22.0</v>
      </c>
      <c r="W92" s="152">
        <v>22.0</v>
      </c>
      <c r="X92" s="152">
        <v>85.0</v>
      </c>
      <c r="Y92" s="217">
        <v>21.25</v>
      </c>
      <c r="Z92" s="217">
        <v>7325.0</v>
      </c>
      <c r="AA92" s="217">
        <v>4040.0</v>
      </c>
      <c r="AB92" s="152">
        <f t="shared" ref="AB92:AC92" si="194">Z92-Z91</f>
        <v>100</v>
      </c>
      <c r="AC92" s="152">
        <f t="shared" si="194"/>
        <v>50</v>
      </c>
      <c r="AD92" s="152">
        <v>3755.0</v>
      </c>
      <c r="AE92" s="152">
        <v>2045.0</v>
      </c>
      <c r="AF92" s="152">
        <v>4195.0</v>
      </c>
      <c r="AG92" s="152">
        <v>2485.0</v>
      </c>
      <c r="AH92" s="134"/>
      <c r="AI92" s="134"/>
      <c r="AJ92" s="134"/>
      <c r="AK92" s="572"/>
      <c r="AL92" s="572"/>
      <c r="AM92" s="572">
        <f t="shared" si="54"/>
        <v>21.54411765</v>
      </c>
      <c r="AN92" s="572"/>
      <c r="AO92" s="153">
        <f t="shared" si="12"/>
        <v>340</v>
      </c>
      <c r="AP92" s="22">
        <v>43.0</v>
      </c>
      <c r="AQ92" s="134">
        <v>22.0</v>
      </c>
      <c r="AR92" s="134">
        <v>22.0</v>
      </c>
      <c r="AS92" s="134">
        <f t="shared" si="13"/>
        <v>85</v>
      </c>
      <c r="AT92" s="22">
        <v>18100.0</v>
      </c>
      <c r="AU92" s="161">
        <v>7440.0</v>
      </c>
      <c r="AV92" s="134">
        <v>9280.0</v>
      </c>
      <c r="AW92" s="134">
        <v>3765.0</v>
      </c>
      <c r="AX92" s="134">
        <v>10140.0</v>
      </c>
      <c r="AY92" s="134">
        <v>4625.0</v>
      </c>
      <c r="AZ92" s="134"/>
      <c r="BA92" s="134"/>
      <c r="BB92" s="90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</row>
    <row r="93" ht="12.75" customHeight="1">
      <c r="A93" s="1" t="s">
        <v>120</v>
      </c>
      <c r="B93" s="1"/>
      <c r="C93" s="22" t="s">
        <v>164</v>
      </c>
      <c r="D93" s="22"/>
      <c r="E93" s="22" t="s">
        <v>164</v>
      </c>
      <c r="F93" s="22"/>
      <c r="G93" s="22"/>
      <c r="H93" s="22"/>
      <c r="I93" s="1"/>
      <c r="J93" s="1"/>
      <c r="K93" s="1"/>
      <c r="L93" s="1"/>
      <c r="M93" s="8"/>
      <c r="N93" s="8"/>
      <c r="O93" s="142"/>
      <c r="P93" s="143">
        <v>344.0</v>
      </c>
      <c r="Q93" s="152">
        <v>22.0</v>
      </c>
      <c r="R93" s="152">
        <v>12.0</v>
      </c>
      <c r="S93" s="152">
        <v>12.0</v>
      </c>
      <c r="T93" s="152">
        <v>43.0</v>
      </c>
      <c r="U93" s="152">
        <v>43.0</v>
      </c>
      <c r="V93" s="152">
        <v>22.0</v>
      </c>
      <c r="W93" s="152">
        <v>22.0</v>
      </c>
      <c r="X93" s="152">
        <v>86.0</v>
      </c>
      <c r="Y93" s="217">
        <v>21.5</v>
      </c>
      <c r="Z93" s="217">
        <v>7415.0</v>
      </c>
      <c r="AA93" s="217">
        <v>4085.0</v>
      </c>
      <c r="AB93" s="152">
        <f t="shared" ref="AB93:AC93" si="195">Z93-Z92</f>
        <v>90</v>
      </c>
      <c r="AC93" s="152">
        <f t="shared" si="195"/>
        <v>45</v>
      </c>
      <c r="AD93" s="152">
        <v>3755.0</v>
      </c>
      <c r="AE93" s="152">
        <v>2045.0</v>
      </c>
      <c r="AF93" s="152">
        <v>4195.0</v>
      </c>
      <c r="AG93" s="152">
        <v>2485.0</v>
      </c>
      <c r="AH93" s="134"/>
      <c r="AI93" s="134"/>
      <c r="AJ93" s="134"/>
      <c r="AK93" s="572"/>
      <c r="AL93" s="572"/>
      <c r="AM93" s="572">
        <f t="shared" si="54"/>
        <v>21.55523256</v>
      </c>
      <c r="AN93" s="572"/>
      <c r="AO93" s="153">
        <f t="shared" si="12"/>
        <v>344</v>
      </c>
      <c r="AP93" s="22">
        <v>43.0</v>
      </c>
      <c r="AQ93" s="134">
        <v>22.0</v>
      </c>
      <c r="AR93" s="134">
        <v>22.0</v>
      </c>
      <c r="AS93" s="134">
        <f t="shared" si="13"/>
        <v>86</v>
      </c>
      <c r="AT93" s="22">
        <v>18240.0</v>
      </c>
      <c r="AU93" s="161">
        <v>7525.0</v>
      </c>
      <c r="AV93" s="22">
        <v>9280.0</v>
      </c>
      <c r="AW93" s="22">
        <v>3765.0</v>
      </c>
      <c r="AX93" s="134">
        <v>10140.0</v>
      </c>
      <c r="AY93" s="134">
        <v>4625.0</v>
      </c>
      <c r="AZ93" s="134"/>
      <c r="BA93" s="134"/>
      <c r="BB93" s="90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</row>
    <row r="94" ht="12.75" hidden="1" customHeight="1">
      <c r="A94" s="1" t="s">
        <v>122</v>
      </c>
      <c r="B94" s="1"/>
      <c r="C94" s="22" t="s">
        <v>165</v>
      </c>
      <c r="D94" s="22"/>
      <c r="E94" s="22" t="s">
        <v>165</v>
      </c>
      <c r="F94" s="22"/>
      <c r="G94" s="22"/>
      <c r="H94" s="22"/>
      <c r="I94" s="1"/>
      <c r="J94" s="1"/>
      <c r="K94" s="1"/>
      <c r="L94" s="1"/>
      <c r="M94" s="8"/>
      <c r="N94" s="8"/>
      <c r="O94" s="142"/>
      <c r="P94" s="143">
        <v>348.0</v>
      </c>
      <c r="Q94" s="152">
        <v>23.0</v>
      </c>
      <c r="R94" s="152">
        <v>11.0</v>
      </c>
      <c r="S94" s="152">
        <v>11.0</v>
      </c>
      <c r="T94" s="152">
        <v>44.0</v>
      </c>
      <c r="U94" s="152">
        <v>44.0</v>
      </c>
      <c r="V94" s="152">
        <v>22.0</v>
      </c>
      <c r="W94" s="152">
        <v>22.0</v>
      </c>
      <c r="X94" s="152">
        <v>87.0</v>
      </c>
      <c r="Y94" s="217">
        <v>22.0</v>
      </c>
      <c r="Z94" s="217">
        <v>7495.0</v>
      </c>
      <c r="AA94" s="217">
        <v>4135.0</v>
      </c>
      <c r="AB94" s="152">
        <f t="shared" ref="AB94:AC94" si="196">Z94-Z93</f>
        <v>80</v>
      </c>
      <c r="AC94" s="152">
        <f t="shared" si="196"/>
        <v>50</v>
      </c>
      <c r="AD94" s="152">
        <v>3825.0</v>
      </c>
      <c r="AE94" s="152">
        <v>2090.0</v>
      </c>
      <c r="AF94" s="152">
        <v>4265.0</v>
      </c>
      <c r="AG94" s="152">
        <v>2530.0</v>
      </c>
      <c r="AH94" s="134"/>
      <c r="AI94" s="134"/>
      <c r="AJ94" s="134"/>
      <c r="AK94" s="572"/>
      <c r="AL94" s="572"/>
      <c r="AM94" s="572">
        <f t="shared" si="54"/>
        <v>21.53735632</v>
      </c>
      <c r="AN94" s="572"/>
      <c r="AO94" s="153">
        <f t="shared" si="12"/>
        <v>348</v>
      </c>
      <c r="AP94" s="22">
        <v>44.0</v>
      </c>
      <c r="AQ94" s="134">
        <v>22.0</v>
      </c>
      <c r="AR94" s="134">
        <v>22.0</v>
      </c>
      <c r="AS94" s="134">
        <f t="shared" si="13"/>
        <v>87</v>
      </c>
      <c r="AT94" s="22">
        <v>18520.0</v>
      </c>
      <c r="AU94" s="161">
        <v>7615.0</v>
      </c>
      <c r="AV94" s="134">
        <v>9420.0</v>
      </c>
      <c r="AW94" s="134">
        <v>3850.0</v>
      </c>
      <c r="AX94" s="134">
        <v>10300.0</v>
      </c>
      <c r="AY94" s="134">
        <v>4730.0</v>
      </c>
      <c r="AZ94" s="134"/>
      <c r="BA94" s="134"/>
      <c r="BB94" s="90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</row>
    <row r="95" ht="12.75" hidden="1" customHeight="1">
      <c r="A95" s="1" t="s">
        <v>124</v>
      </c>
      <c r="B95" s="1"/>
      <c r="C95" s="22" t="s">
        <v>166</v>
      </c>
      <c r="D95" s="22"/>
      <c r="E95" s="22" t="s">
        <v>166</v>
      </c>
      <c r="F95" s="22"/>
      <c r="G95" s="22"/>
      <c r="H95" s="22"/>
      <c r="I95" s="1"/>
      <c r="J95" s="1"/>
      <c r="K95" s="1"/>
      <c r="L95" s="1"/>
      <c r="M95" s="8"/>
      <c r="N95" s="8"/>
      <c r="O95" s="142"/>
      <c r="P95" s="143">
        <v>352.0</v>
      </c>
      <c r="Q95" s="152">
        <v>22.0</v>
      </c>
      <c r="R95" s="152">
        <v>11.0</v>
      </c>
      <c r="S95" s="152">
        <v>11.0</v>
      </c>
      <c r="T95" s="152">
        <v>44.0</v>
      </c>
      <c r="U95" s="152">
        <v>44.0</v>
      </c>
      <c r="V95" s="152">
        <v>22.0</v>
      </c>
      <c r="W95" s="152">
        <v>22.0</v>
      </c>
      <c r="X95" s="152">
        <v>88.0</v>
      </c>
      <c r="Y95" s="217">
        <v>22.0</v>
      </c>
      <c r="Z95" s="217">
        <v>7565.0</v>
      </c>
      <c r="AA95" s="217">
        <v>4180.0</v>
      </c>
      <c r="AB95" s="152">
        <f t="shared" ref="AB95:AC95" si="197">Z95-Z94</f>
        <v>70</v>
      </c>
      <c r="AC95" s="152">
        <f t="shared" si="197"/>
        <v>45</v>
      </c>
      <c r="AD95" s="152">
        <v>3825.0</v>
      </c>
      <c r="AE95" s="152">
        <v>2090.0</v>
      </c>
      <c r="AF95" s="152">
        <v>4265.0</v>
      </c>
      <c r="AG95" s="152">
        <v>2530.0</v>
      </c>
      <c r="AH95" s="134"/>
      <c r="AI95" s="134"/>
      <c r="AJ95" s="134"/>
      <c r="AK95" s="572"/>
      <c r="AL95" s="572"/>
      <c r="AM95" s="572">
        <f t="shared" si="54"/>
        <v>21.49147727</v>
      </c>
      <c r="AN95" s="572"/>
      <c r="AO95" s="153">
        <f t="shared" si="12"/>
        <v>352</v>
      </c>
      <c r="AP95" s="22">
        <v>44.0</v>
      </c>
      <c r="AQ95" s="134">
        <v>22.0</v>
      </c>
      <c r="AR95" s="134">
        <v>22.0</v>
      </c>
      <c r="AS95" s="134">
        <f t="shared" si="13"/>
        <v>88</v>
      </c>
      <c r="AT95" s="22">
        <v>18660.0</v>
      </c>
      <c r="AU95" s="161">
        <v>7700.0</v>
      </c>
      <c r="AV95" s="22">
        <v>9420.0</v>
      </c>
      <c r="AW95" s="226">
        <v>3850.0</v>
      </c>
      <c r="AX95" s="134">
        <v>10300.0</v>
      </c>
      <c r="AY95" s="134">
        <v>4730.0</v>
      </c>
      <c r="AZ95" s="134"/>
      <c r="BA95" s="134"/>
      <c r="BB95" s="90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</row>
    <row r="96" ht="12.75" hidden="1" customHeight="1">
      <c r="A96" s="1" t="s">
        <v>126</v>
      </c>
      <c r="B96" s="1"/>
      <c r="C96" s="22" t="s">
        <v>167</v>
      </c>
      <c r="D96" s="22"/>
      <c r="E96" s="22" t="s">
        <v>167</v>
      </c>
      <c r="F96" s="22"/>
      <c r="G96" s="22"/>
      <c r="H96" s="22"/>
      <c r="I96" s="1"/>
      <c r="J96" s="1"/>
      <c r="K96" s="1"/>
      <c r="L96" s="1"/>
      <c r="M96" s="8"/>
      <c r="N96" s="8"/>
      <c r="O96" s="142"/>
      <c r="P96" s="143">
        <v>356.0</v>
      </c>
      <c r="Q96" s="152">
        <v>23.0</v>
      </c>
      <c r="R96" s="152">
        <v>12.0</v>
      </c>
      <c r="S96" s="152">
        <v>12.0</v>
      </c>
      <c r="T96" s="152">
        <v>45.0</v>
      </c>
      <c r="U96" s="152">
        <v>45.0</v>
      </c>
      <c r="V96" s="152">
        <v>23.0</v>
      </c>
      <c r="W96" s="152">
        <v>23.0</v>
      </c>
      <c r="X96" s="152">
        <v>89.0</v>
      </c>
      <c r="Y96" s="217">
        <v>22.25</v>
      </c>
      <c r="Z96" s="217">
        <v>7665.0</v>
      </c>
      <c r="AA96" s="217">
        <v>4230.0</v>
      </c>
      <c r="AB96" s="152">
        <f t="shared" ref="AB96:AC96" si="198">Z96-Z95</f>
        <v>100</v>
      </c>
      <c r="AC96" s="152">
        <f t="shared" si="198"/>
        <v>50</v>
      </c>
      <c r="AD96" s="152">
        <v>3925.0</v>
      </c>
      <c r="AE96" s="152">
        <v>2140.0</v>
      </c>
      <c r="AF96" s="152">
        <v>4385.0</v>
      </c>
      <c r="AG96" s="152">
        <v>2600.0</v>
      </c>
      <c r="AH96" s="134"/>
      <c r="AI96" s="134"/>
      <c r="AJ96" s="134"/>
      <c r="AK96" s="572"/>
      <c r="AL96" s="572"/>
      <c r="AM96" s="572">
        <f t="shared" si="54"/>
        <v>21.53089888</v>
      </c>
      <c r="AN96" s="572"/>
      <c r="AO96" s="153">
        <f t="shared" si="12"/>
        <v>356</v>
      </c>
      <c r="AP96" s="22">
        <v>45.0</v>
      </c>
      <c r="AQ96" s="134">
        <v>23.0</v>
      </c>
      <c r="AR96" s="134">
        <v>23.0</v>
      </c>
      <c r="AS96" s="134">
        <f t="shared" si="13"/>
        <v>89</v>
      </c>
      <c r="AT96" s="22">
        <v>18940.0</v>
      </c>
      <c r="AU96" s="161">
        <v>7790.0</v>
      </c>
      <c r="AV96" s="134">
        <v>9700.0</v>
      </c>
      <c r="AW96" s="134">
        <v>3940.0</v>
      </c>
      <c r="AX96" s="134">
        <v>10600.0</v>
      </c>
      <c r="AY96" s="134">
        <v>4840.0</v>
      </c>
      <c r="AZ96" s="134"/>
      <c r="BA96" s="134"/>
      <c r="BB96" s="90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</row>
    <row r="97" ht="12.75" customHeight="1">
      <c r="A97" s="1" t="s">
        <v>128</v>
      </c>
      <c r="B97" s="1"/>
      <c r="C97" s="22" t="s">
        <v>101</v>
      </c>
      <c r="D97" s="22"/>
      <c r="E97" s="22" t="s">
        <v>101</v>
      </c>
      <c r="F97" s="22"/>
      <c r="G97" s="22"/>
      <c r="H97" s="22"/>
      <c r="I97" s="1"/>
      <c r="J97" s="1"/>
      <c r="K97" s="1"/>
      <c r="L97" s="1"/>
      <c r="M97" s="8"/>
      <c r="N97" s="8"/>
      <c r="O97" s="142"/>
      <c r="P97" s="143">
        <v>360.0</v>
      </c>
      <c r="Q97" s="152">
        <v>23.0</v>
      </c>
      <c r="R97" s="152">
        <v>12.0</v>
      </c>
      <c r="S97" s="152">
        <v>12.0</v>
      </c>
      <c r="T97" s="152">
        <v>45.0</v>
      </c>
      <c r="U97" s="152">
        <v>45.0</v>
      </c>
      <c r="V97" s="152">
        <v>23.0</v>
      </c>
      <c r="W97" s="152">
        <v>23.0</v>
      </c>
      <c r="X97" s="152">
        <v>90.0</v>
      </c>
      <c r="Y97" s="217">
        <v>22.5</v>
      </c>
      <c r="Z97" s="217">
        <v>7755.0</v>
      </c>
      <c r="AA97" s="217">
        <v>4275.0</v>
      </c>
      <c r="AB97" s="152">
        <f t="shared" ref="AB97:AC97" si="199">Z97-Z96</f>
        <v>90</v>
      </c>
      <c r="AC97" s="152">
        <f t="shared" si="199"/>
        <v>45</v>
      </c>
      <c r="AD97" s="152">
        <v>3925.0</v>
      </c>
      <c r="AE97" s="152">
        <v>2140.0</v>
      </c>
      <c r="AF97" s="152">
        <v>4385.0</v>
      </c>
      <c r="AG97" s="152">
        <v>2600.0</v>
      </c>
      <c r="AH97" s="134"/>
      <c r="AI97" s="134"/>
      <c r="AJ97" s="134"/>
      <c r="AK97" s="572"/>
      <c r="AL97" s="572"/>
      <c r="AM97" s="572">
        <f t="shared" si="54"/>
        <v>21.54166667</v>
      </c>
      <c r="AN97" s="572"/>
      <c r="AO97" s="153">
        <f t="shared" si="12"/>
        <v>360</v>
      </c>
      <c r="AP97" s="22">
        <v>45.0</v>
      </c>
      <c r="AQ97" s="134">
        <v>23.0</v>
      </c>
      <c r="AR97" s="134">
        <v>23.0</v>
      </c>
      <c r="AS97" s="134">
        <f t="shared" si="13"/>
        <v>90</v>
      </c>
      <c r="AT97" s="22">
        <v>19080.0</v>
      </c>
      <c r="AU97" s="161">
        <v>7875.0</v>
      </c>
      <c r="AV97" s="22">
        <v>9700.0</v>
      </c>
      <c r="AW97" s="22">
        <v>3940.0</v>
      </c>
      <c r="AX97" s="134">
        <v>10600.0</v>
      </c>
      <c r="AY97" s="134">
        <v>4840.0</v>
      </c>
      <c r="AZ97" s="134"/>
      <c r="BA97" s="134"/>
      <c r="BB97" s="90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</row>
    <row r="98" ht="12.75" hidden="1" customHeight="1">
      <c r="A98" s="1" t="s">
        <v>129</v>
      </c>
      <c r="B98" s="8"/>
      <c r="C98" s="22" t="s">
        <v>99</v>
      </c>
      <c r="D98" s="22"/>
      <c r="E98" s="22" t="s">
        <v>99</v>
      </c>
      <c r="F98" s="22"/>
      <c r="G98" s="22"/>
      <c r="H98" s="22"/>
      <c r="I98" s="8"/>
      <c r="J98" s="8"/>
      <c r="K98" s="8"/>
      <c r="L98" s="8"/>
      <c r="M98" s="8"/>
      <c r="N98" s="8"/>
      <c r="O98" s="142"/>
      <c r="P98" s="143">
        <v>364.0</v>
      </c>
      <c r="Q98" s="152">
        <v>24.0</v>
      </c>
      <c r="R98" s="152">
        <v>12.0</v>
      </c>
      <c r="S98" s="152">
        <v>12.0</v>
      </c>
      <c r="T98" s="152">
        <v>46.0</v>
      </c>
      <c r="U98" s="152">
        <v>46.0</v>
      </c>
      <c r="V98" s="152">
        <v>23.0</v>
      </c>
      <c r="W98" s="152">
        <v>23.0</v>
      </c>
      <c r="X98" s="152">
        <v>91.0</v>
      </c>
      <c r="Y98" s="217">
        <v>23.0</v>
      </c>
      <c r="Z98" s="217">
        <v>7835.0</v>
      </c>
      <c r="AA98" s="217">
        <v>4325.0</v>
      </c>
      <c r="AB98" s="152">
        <f t="shared" ref="AB98:AC98" si="200">Z98-Z97</f>
        <v>80</v>
      </c>
      <c r="AC98" s="152">
        <f t="shared" si="200"/>
        <v>50</v>
      </c>
      <c r="AD98" s="152">
        <v>4015.0</v>
      </c>
      <c r="AE98" s="152">
        <v>2185.0</v>
      </c>
      <c r="AF98" s="152">
        <v>4475.0</v>
      </c>
      <c r="AG98" s="152">
        <v>2645.0</v>
      </c>
      <c r="AH98" s="134"/>
      <c r="AI98" s="134"/>
      <c r="AJ98" s="134"/>
      <c r="AK98" s="572"/>
      <c r="AL98" s="572"/>
      <c r="AM98" s="572">
        <f t="shared" si="54"/>
        <v>21.52472527</v>
      </c>
      <c r="AN98" s="572"/>
      <c r="AO98" s="153">
        <f t="shared" si="12"/>
        <v>364</v>
      </c>
      <c r="AP98" s="22">
        <v>46.0</v>
      </c>
      <c r="AQ98" s="134">
        <v>23.0</v>
      </c>
      <c r="AR98" s="134">
        <v>23.0</v>
      </c>
      <c r="AS98" s="134">
        <f t="shared" si="13"/>
        <v>91</v>
      </c>
      <c r="AT98" s="22">
        <v>19360.0</v>
      </c>
      <c r="AU98" s="161">
        <v>7965.0</v>
      </c>
      <c r="AV98" s="134">
        <v>9840.0</v>
      </c>
      <c r="AW98" s="134">
        <v>4025.0</v>
      </c>
      <c r="AX98" s="134">
        <v>10760.0</v>
      </c>
      <c r="AY98" s="134">
        <v>4945.0</v>
      </c>
      <c r="AZ98" s="134"/>
      <c r="BA98" s="134"/>
      <c r="BB98" s="90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</row>
    <row r="99" ht="12.75" hidden="1" customHeight="1">
      <c r="A99" s="1" t="s">
        <v>130</v>
      </c>
      <c r="B99" s="8"/>
      <c r="C99" s="22" t="s">
        <v>109</v>
      </c>
      <c r="D99" s="22"/>
      <c r="E99" s="22" t="s">
        <v>109</v>
      </c>
      <c r="F99" s="22"/>
      <c r="G99" s="22"/>
      <c r="H99" s="22"/>
      <c r="I99" s="8"/>
      <c r="J99" s="8"/>
      <c r="K99" s="8"/>
      <c r="L99" s="8"/>
      <c r="M99" s="8"/>
      <c r="N99" s="8"/>
      <c r="O99" s="142"/>
      <c r="P99" s="143">
        <v>368.0</v>
      </c>
      <c r="Q99" s="152">
        <v>23.0</v>
      </c>
      <c r="R99" s="152">
        <v>12.0</v>
      </c>
      <c r="S99" s="152">
        <v>12.0</v>
      </c>
      <c r="T99" s="152">
        <v>46.0</v>
      </c>
      <c r="U99" s="152">
        <v>46.0</v>
      </c>
      <c r="V99" s="152">
        <v>23.0</v>
      </c>
      <c r="W99" s="152">
        <v>23.0</v>
      </c>
      <c r="X99" s="152">
        <v>92.0</v>
      </c>
      <c r="Y99" s="217">
        <v>23.0</v>
      </c>
      <c r="Z99" s="217">
        <v>7905.0</v>
      </c>
      <c r="AA99" s="217">
        <v>4370.0</v>
      </c>
      <c r="AB99" s="152">
        <f t="shared" ref="AB99:AC99" si="201">Z99-Z98</f>
        <v>70</v>
      </c>
      <c r="AC99" s="152">
        <f t="shared" si="201"/>
        <v>45</v>
      </c>
      <c r="AD99" s="152">
        <v>4015.0</v>
      </c>
      <c r="AE99" s="152">
        <v>2185.0</v>
      </c>
      <c r="AF99" s="152">
        <v>4475.0</v>
      </c>
      <c r="AG99" s="152">
        <v>2645.0</v>
      </c>
      <c r="AH99" s="134"/>
      <c r="AI99" s="134"/>
      <c r="AJ99" s="134"/>
      <c r="AK99" s="572"/>
      <c r="AL99" s="572"/>
      <c r="AM99" s="572">
        <f t="shared" si="54"/>
        <v>21.48097826</v>
      </c>
      <c r="AN99" s="572"/>
      <c r="AO99" s="153">
        <f t="shared" si="12"/>
        <v>368</v>
      </c>
      <c r="AP99" s="22">
        <v>46.0</v>
      </c>
      <c r="AQ99" s="134">
        <v>23.0</v>
      </c>
      <c r="AR99" s="134">
        <v>23.0</v>
      </c>
      <c r="AS99" s="134">
        <f t="shared" si="13"/>
        <v>92</v>
      </c>
      <c r="AT99" s="22">
        <v>19500.0</v>
      </c>
      <c r="AU99" s="161">
        <v>8050.0</v>
      </c>
      <c r="AV99" s="22">
        <v>9840.0</v>
      </c>
      <c r="AW99" s="226">
        <v>4025.0</v>
      </c>
      <c r="AX99" s="134">
        <v>10760.0</v>
      </c>
      <c r="AY99" s="134">
        <v>4945.0</v>
      </c>
      <c r="AZ99" s="134"/>
      <c r="BA99" s="134"/>
      <c r="BB99" s="90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</row>
    <row r="100" ht="12.75" hidden="1" customHeight="1">
      <c r="A100" s="1" t="s">
        <v>131</v>
      </c>
      <c r="B100" s="8"/>
      <c r="C100" s="22" t="s">
        <v>121</v>
      </c>
      <c r="D100" s="22"/>
      <c r="E100" s="22"/>
      <c r="F100" s="22"/>
      <c r="G100" s="22"/>
      <c r="H100" s="8"/>
      <c r="I100" s="8"/>
      <c r="J100" s="8"/>
      <c r="K100" s="8"/>
      <c r="L100" s="8"/>
      <c r="M100" s="8"/>
      <c r="N100" s="8"/>
      <c r="O100" s="142"/>
      <c r="P100" s="143">
        <v>372.0</v>
      </c>
      <c r="Q100" s="152">
        <v>24.0</v>
      </c>
      <c r="R100" s="152">
        <v>13.0</v>
      </c>
      <c r="S100" s="152">
        <v>13.0</v>
      </c>
      <c r="T100" s="152">
        <v>47.0</v>
      </c>
      <c r="U100" s="152">
        <v>47.0</v>
      </c>
      <c r="V100" s="152">
        <v>24.0</v>
      </c>
      <c r="W100" s="152">
        <v>24.0</v>
      </c>
      <c r="X100" s="152">
        <v>93.0</v>
      </c>
      <c r="Y100" s="217">
        <v>23.25</v>
      </c>
      <c r="Z100" s="217">
        <v>8005.0</v>
      </c>
      <c r="AA100" s="217">
        <v>4420.0</v>
      </c>
      <c r="AB100" s="152">
        <f t="shared" ref="AB100:AC100" si="202">Z100-Z99</f>
        <v>100</v>
      </c>
      <c r="AC100" s="152">
        <f t="shared" si="202"/>
        <v>50</v>
      </c>
      <c r="AD100" s="152">
        <v>4095.0</v>
      </c>
      <c r="AE100" s="152">
        <v>2235.0</v>
      </c>
      <c r="AF100" s="152">
        <v>4575.0</v>
      </c>
      <c r="AG100" s="152">
        <v>2715.0</v>
      </c>
      <c r="AH100" s="134"/>
      <c r="AI100" s="134"/>
      <c r="AJ100" s="22"/>
      <c r="AK100" s="572"/>
      <c r="AL100" s="572"/>
      <c r="AM100" s="572">
        <f t="shared" si="54"/>
        <v>21.5188172</v>
      </c>
      <c r="AN100" s="572"/>
      <c r="AO100" s="153">
        <f t="shared" si="12"/>
        <v>372</v>
      </c>
      <c r="AP100" s="22">
        <v>47.0</v>
      </c>
      <c r="AQ100" s="134">
        <v>24.0</v>
      </c>
      <c r="AR100" s="134">
        <v>24.0</v>
      </c>
      <c r="AS100" s="134">
        <f t="shared" si="13"/>
        <v>93</v>
      </c>
      <c r="AT100" s="22">
        <v>19780.0</v>
      </c>
      <c r="AU100" s="161">
        <v>8140.0</v>
      </c>
      <c r="AV100" s="134">
        <v>10120.0</v>
      </c>
      <c r="AW100" s="134">
        <v>4115.0</v>
      </c>
      <c r="AX100" s="134">
        <v>11060.0</v>
      </c>
      <c r="AY100" s="134">
        <v>5055.0</v>
      </c>
      <c r="AZ100" s="134"/>
      <c r="BA100" s="134"/>
      <c r="BB100" s="90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</row>
    <row r="101" ht="12.75" customHeight="1">
      <c r="A101" s="1" t="s">
        <v>132</v>
      </c>
      <c r="B101" s="8"/>
      <c r="C101" s="22" t="s">
        <v>168</v>
      </c>
      <c r="D101" s="22"/>
      <c r="E101" s="22"/>
      <c r="F101" s="22"/>
      <c r="G101" s="22"/>
      <c r="H101" s="8"/>
      <c r="I101" s="8"/>
      <c r="J101" s="8"/>
      <c r="K101" s="8"/>
      <c r="L101" s="8"/>
      <c r="M101" s="8"/>
      <c r="N101" s="8"/>
      <c r="O101" s="142"/>
      <c r="P101" s="143">
        <v>376.0</v>
      </c>
      <c r="Q101" s="152">
        <v>24.0</v>
      </c>
      <c r="R101" s="152">
        <v>13.0</v>
      </c>
      <c r="S101" s="152">
        <v>13.0</v>
      </c>
      <c r="T101" s="152">
        <v>47.0</v>
      </c>
      <c r="U101" s="152">
        <v>47.0</v>
      </c>
      <c r="V101" s="152">
        <v>24.0</v>
      </c>
      <c r="W101" s="152">
        <v>24.0</v>
      </c>
      <c r="X101" s="152">
        <v>94.0</v>
      </c>
      <c r="Y101" s="217">
        <v>23.5</v>
      </c>
      <c r="Z101" s="217">
        <v>8095.0</v>
      </c>
      <c r="AA101" s="217">
        <v>4465.0</v>
      </c>
      <c r="AB101" s="152">
        <f t="shared" ref="AB101:AC101" si="203">Z101-Z100</f>
        <v>90</v>
      </c>
      <c r="AC101" s="152">
        <f t="shared" si="203"/>
        <v>45</v>
      </c>
      <c r="AD101" s="152">
        <v>4095.0</v>
      </c>
      <c r="AE101" s="152">
        <v>2235.0</v>
      </c>
      <c r="AF101" s="152">
        <v>4575.0</v>
      </c>
      <c r="AG101" s="152">
        <v>2715.0</v>
      </c>
      <c r="AH101" s="134"/>
      <c r="AI101" s="134"/>
      <c r="AJ101" s="134"/>
      <c r="AK101" s="572"/>
      <c r="AL101" s="572"/>
      <c r="AM101" s="572">
        <f t="shared" si="54"/>
        <v>21.52925532</v>
      </c>
      <c r="AN101" s="572"/>
      <c r="AO101" s="153">
        <f t="shared" si="12"/>
        <v>376</v>
      </c>
      <c r="AP101" s="22">
        <v>47.0</v>
      </c>
      <c r="AQ101" s="134">
        <v>24.0</v>
      </c>
      <c r="AR101" s="134">
        <v>24.0</v>
      </c>
      <c r="AS101" s="134">
        <f t="shared" si="13"/>
        <v>94</v>
      </c>
      <c r="AT101" s="22">
        <v>19920.0</v>
      </c>
      <c r="AU101" s="161">
        <v>8225.0</v>
      </c>
      <c r="AV101" s="22">
        <v>10120.0</v>
      </c>
      <c r="AW101" s="22">
        <v>4115.0</v>
      </c>
      <c r="AX101" s="134">
        <v>11060.0</v>
      </c>
      <c r="AY101" s="134">
        <v>5055.0</v>
      </c>
      <c r="AZ101" s="134"/>
      <c r="BA101" s="134"/>
      <c r="BB101" s="90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</row>
    <row r="102" ht="12.75" hidden="1" customHeight="1">
      <c r="A102" s="1" t="s">
        <v>133</v>
      </c>
      <c r="B102" s="8"/>
      <c r="C102" s="22" t="s">
        <v>169</v>
      </c>
      <c r="D102" s="22"/>
      <c r="E102" s="22"/>
      <c r="F102" s="22"/>
      <c r="G102" s="22"/>
      <c r="H102" s="8"/>
      <c r="I102" s="8"/>
      <c r="J102" s="8"/>
      <c r="K102" s="8"/>
      <c r="L102" s="8"/>
      <c r="M102" s="8"/>
      <c r="N102" s="8"/>
      <c r="O102" s="142"/>
      <c r="P102" s="143">
        <v>380.0</v>
      </c>
      <c r="Q102" s="152">
        <v>25.0</v>
      </c>
      <c r="R102" s="152">
        <v>12.0</v>
      </c>
      <c r="S102" s="152">
        <v>12.0</v>
      </c>
      <c r="T102" s="152">
        <v>48.0</v>
      </c>
      <c r="U102" s="152">
        <v>48.0</v>
      </c>
      <c r="V102" s="152">
        <v>24.0</v>
      </c>
      <c r="W102" s="152">
        <v>24.0</v>
      </c>
      <c r="X102" s="152">
        <v>95.0</v>
      </c>
      <c r="Y102" s="217">
        <v>24.0</v>
      </c>
      <c r="Z102" s="217">
        <v>8175.0</v>
      </c>
      <c r="AA102" s="217">
        <v>4515.0</v>
      </c>
      <c r="AB102" s="152">
        <f t="shared" ref="AB102:AC102" si="204">Z102-Z101</f>
        <v>80</v>
      </c>
      <c r="AC102" s="152">
        <f t="shared" si="204"/>
        <v>50</v>
      </c>
      <c r="AD102" s="152">
        <v>4165.0</v>
      </c>
      <c r="AE102" s="152">
        <v>2280.0</v>
      </c>
      <c r="AF102" s="152">
        <v>4645.0</v>
      </c>
      <c r="AG102" s="152">
        <v>2760.0</v>
      </c>
      <c r="AH102" s="134"/>
      <c r="AI102" s="134"/>
      <c r="AJ102" s="134"/>
      <c r="AK102" s="572"/>
      <c r="AL102" s="572"/>
      <c r="AM102" s="572">
        <f t="shared" si="54"/>
        <v>21.51315789</v>
      </c>
      <c r="AN102" s="572"/>
      <c r="AO102" s="153">
        <f t="shared" si="12"/>
        <v>380</v>
      </c>
      <c r="AP102" s="22">
        <v>48.0</v>
      </c>
      <c r="AQ102" s="134">
        <v>24.0</v>
      </c>
      <c r="AR102" s="134">
        <v>24.0</v>
      </c>
      <c r="AS102" s="134">
        <f t="shared" si="13"/>
        <v>95</v>
      </c>
      <c r="AT102" s="22">
        <v>20200.0</v>
      </c>
      <c r="AU102" s="161">
        <v>8315.0</v>
      </c>
      <c r="AV102" s="134">
        <v>10260.0</v>
      </c>
      <c r="AW102" s="134">
        <v>4200.0</v>
      </c>
      <c r="AX102" s="134">
        <v>11220.0</v>
      </c>
      <c r="AY102" s="134">
        <v>5160.0</v>
      </c>
      <c r="AZ102" s="134"/>
      <c r="BA102" s="134"/>
      <c r="BB102" s="90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</row>
    <row r="103" ht="12.75" hidden="1" customHeight="1">
      <c r="A103" s="1" t="s">
        <v>137</v>
      </c>
      <c r="B103" s="8"/>
      <c r="C103" s="22" t="s">
        <v>123</v>
      </c>
      <c r="D103" s="22"/>
      <c r="E103" s="22"/>
      <c r="F103" s="22"/>
      <c r="G103" s="22"/>
      <c r="H103" s="8"/>
      <c r="I103" s="8"/>
      <c r="J103" s="8"/>
      <c r="K103" s="8"/>
      <c r="L103" s="8"/>
      <c r="M103" s="8"/>
      <c r="N103" s="8"/>
      <c r="O103" s="142"/>
      <c r="P103" s="143">
        <v>384.0</v>
      </c>
      <c r="Q103" s="152">
        <v>24.0</v>
      </c>
      <c r="R103" s="152">
        <v>12.0</v>
      </c>
      <c r="S103" s="152">
        <v>12.0</v>
      </c>
      <c r="T103" s="152">
        <v>48.0</v>
      </c>
      <c r="U103" s="152">
        <v>48.0</v>
      </c>
      <c r="V103" s="152">
        <v>24.0</v>
      </c>
      <c r="W103" s="152">
        <v>24.0</v>
      </c>
      <c r="X103" s="152">
        <v>96.0</v>
      </c>
      <c r="Y103" s="217">
        <v>24.0</v>
      </c>
      <c r="Z103" s="217">
        <v>8245.0</v>
      </c>
      <c r="AA103" s="217">
        <v>4560.0</v>
      </c>
      <c r="AB103" s="152">
        <f t="shared" ref="AB103:AC103" si="205">Z103-Z102</f>
        <v>70</v>
      </c>
      <c r="AC103" s="152">
        <f t="shared" si="205"/>
        <v>45</v>
      </c>
      <c r="AD103" s="152">
        <v>4165.0</v>
      </c>
      <c r="AE103" s="152">
        <v>2280.0</v>
      </c>
      <c r="AF103" s="152">
        <v>4645.0</v>
      </c>
      <c r="AG103" s="152">
        <v>2760.0</v>
      </c>
      <c r="AH103" s="134"/>
      <c r="AI103" s="134"/>
      <c r="AJ103" s="134"/>
      <c r="AK103" s="572"/>
      <c r="AL103" s="572"/>
      <c r="AM103" s="572">
        <f t="shared" si="54"/>
        <v>21.47135417</v>
      </c>
      <c r="AN103" s="572"/>
      <c r="AO103" s="153">
        <f t="shared" si="12"/>
        <v>384</v>
      </c>
      <c r="AP103" s="22">
        <v>48.0</v>
      </c>
      <c r="AQ103" s="134">
        <v>24.0</v>
      </c>
      <c r="AR103" s="134">
        <v>24.0</v>
      </c>
      <c r="AS103" s="134">
        <f t="shared" si="13"/>
        <v>96</v>
      </c>
      <c r="AT103" s="22">
        <v>20340.0</v>
      </c>
      <c r="AU103" s="161">
        <v>8400.0</v>
      </c>
      <c r="AV103" s="22">
        <v>10260.0</v>
      </c>
      <c r="AW103" s="226">
        <v>4200.0</v>
      </c>
      <c r="AX103" s="134">
        <v>11220.0</v>
      </c>
      <c r="AY103" s="134">
        <v>5160.0</v>
      </c>
      <c r="AZ103" s="134"/>
      <c r="BA103" s="134"/>
      <c r="BB103" s="90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</row>
    <row r="104" ht="12.75" hidden="1" customHeight="1">
      <c r="A104" s="1" t="s">
        <v>145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142"/>
      <c r="P104" s="143">
        <v>388.0</v>
      </c>
      <c r="Q104" s="152">
        <v>25.0</v>
      </c>
      <c r="R104" s="152">
        <v>13.0</v>
      </c>
      <c r="S104" s="152">
        <v>13.0</v>
      </c>
      <c r="T104" s="152">
        <v>49.0</v>
      </c>
      <c r="U104" s="152">
        <v>49.0</v>
      </c>
      <c r="V104" s="152">
        <v>25.0</v>
      </c>
      <c r="W104" s="152">
        <v>25.0</v>
      </c>
      <c r="X104" s="152">
        <v>97.0</v>
      </c>
      <c r="Y104" s="217">
        <v>24.25</v>
      </c>
      <c r="Z104" s="217">
        <v>8345.0</v>
      </c>
      <c r="AA104" s="217">
        <v>4610.0</v>
      </c>
      <c r="AB104" s="152">
        <f t="shared" ref="AB104:AC104" si="206">Z104-Z103</f>
        <v>100</v>
      </c>
      <c r="AC104" s="152">
        <f t="shared" si="206"/>
        <v>50</v>
      </c>
      <c r="AD104" s="152">
        <v>4265.0</v>
      </c>
      <c r="AE104" s="152">
        <v>2330.0</v>
      </c>
      <c r="AF104" s="152">
        <v>4765.0</v>
      </c>
      <c r="AG104" s="152">
        <v>2830.0</v>
      </c>
      <c r="AH104" s="134"/>
      <c r="AI104" s="134"/>
      <c r="AJ104" s="134"/>
      <c r="AK104" s="572"/>
      <c r="AL104" s="572"/>
      <c r="AM104" s="572">
        <f t="shared" si="54"/>
        <v>21.50773196</v>
      </c>
      <c r="AN104" s="572"/>
      <c r="AO104" s="153">
        <f t="shared" si="12"/>
        <v>388</v>
      </c>
      <c r="AP104" s="22">
        <v>49.0</v>
      </c>
      <c r="AQ104" s="134">
        <v>25.0</v>
      </c>
      <c r="AR104" s="134">
        <v>25.0</v>
      </c>
      <c r="AS104" s="134">
        <f t="shared" si="13"/>
        <v>97</v>
      </c>
      <c r="AT104" s="22">
        <v>20620.0</v>
      </c>
      <c r="AU104" s="161">
        <v>8490.0</v>
      </c>
      <c r="AV104" s="134">
        <v>10540.0</v>
      </c>
      <c r="AW104" s="134">
        <v>4290.0</v>
      </c>
      <c r="AX104" s="134">
        <v>11520.0</v>
      </c>
      <c r="AY104" s="134">
        <v>5270.0</v>
      </c>
      <c r="AZ104" s="134"/>
      <c r="BA104" s="134"/>
      <c r="BB104" s="90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</row>
    <row r="105" ht="12.75" customHeight="1">
      <c r="A105" s="1" t="s">
        <v>146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142"/>
      <c r="P105" s="143">
        <v>392.0</v>
      </c>
      <c r="Q105" s="152">
        <v>25.0</v>
      </c>
      <c r="R105" s="152">
        <v>13.0</v>
      </c>
      <c r="S105" s="152">
        <v>13.0</v>
      </c>
      <c r="T105" s="152">
        <v>49.0</v>
      </c>
      <c r="U105" s="152">
        <v>49.0</v>
      </c>
      <c r="V105" s="152">
        <v>25.0</v>
      </c>
      <c r="W105" s="152">
        <v>25.0</v>
      </c>
      <c r="X105" s="152">
        <v>98.0</v>
      </c>
      <c r="Y105" s="217">
        <v>24.5</v>
      </c>
      <c r="Z105" s="217">
        <v>8435.0</v>
      </c>
      <c r="AA105" s="217">
        <v>4655.0</v>
      </c>
      <c r="AB105" s="152">
        <f t="shared" ref="AB105:AC105" si="207">Z105-Z104</f>
        <v>90</v>
      </c>
      <c r="AC105" s="152">
        <f t="shared" si="207"/>
        <v>45</v>
      </c>
      <c r="AD105" s="152">
        <v>4265.0</v>
      </c>
      <c r="AE105" s="152">
        <v>2330.0</v>
      </c>
      <c r="AF105" s="152">
        <v>4765.0</v>
      </c>
      <c r="AG105" s="152">
        <v>2830.0</v>
      </c>
      <c r="AH105" s="134"/>
      <c r="AI105" s="134"/>
      <c r="AJ105" s="134"/>
      <c r="AK105" s="572"/>
      <c r="AL105" s="572"/>
      <c r="AM105" s="572">
        <f t="shared" si="54"/>
        <v>21.51785714</v>
      </c>
      <c r="AN105" s="572"/>
      <c r="AO105" s="153">
        <f t="shared" si="12"/>
        <v>392</v>
      </c>
      <c r="AP105" s="22">
        <v>49.0</v>
      </c>
      <c r="AQ105" s="134">
        <v>25.0</v>
      </c>
      <c r="AR105" s="134">
        <v>25.0</v>
      </c>
      <c r="AS105" s="134">
        <f t="shared" si="13"/>
        <v>98</v>
      </c>
      <c r="AT105" s="22">
        <v>20760.0</v>
      </c>
      <c r="AU105" s="161">
        <v>8575.0</v>
      </c>
      <c r="AV105" s="22">
        <v>10540.0</v>
      </c>
      <c r="AW105" s="22">
        <v>4290.0</v>
      </c>
      <c r="AX105" s="134">
        <v>11520.0</v>
      </c>
      <c r="AY105" s="134">
        <v>5270.0</v>
      </c>
      <c r="AZ105" s="134"/>
      <c r="BA105" s="134"/>
      <c r="BB105" s="90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</row>
    <row r="106" ht="12.75" hidden="1" customHeight="1">
      <c r="A106" s="1" t="s">
        <v>147</v>
      </c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142"/>
      <c r="P106" s="143">
        <v>396.0</v>
      </c>
      <c r="Q106" s="152">
        <v>26.0</v>
      </c>
      <c r="R106" s="152">
        <v>13.0</v>
      </c>
      <c r="S106" s="152">
        <v>13.0</v>
      </c>
      <c r="T106" s="152">
        <v>50.0</v>
      </c>
      <c r="U106" s="152">
        <v>50.0</v>
      </c>
      <c r="V106" s="152">
        <v>25.0</v>
      </c>
      <c r="W106" s="152">
        <v>25.0</v>
      </c>
      <c r="X106" s="152">
        <v>99.0</v>
      </c>
      <c r="Y106" s="217">
        <v>25.0</v>
      </c>
      <c r="Z106" s="217">
        <v>8515.0</v>
      </c>
      <c r="AA106" s="217">
        <v>4705.0</v>
      </c>
      <c r="AB106" s="152">
        <f t="shared" ref="AB106:AC106" si="208">Z106-Z105</f>
        <v>80</v>
      </c>
      <c r="AC106" s="152">
        <f t="shared" si="208"/>
        <v>50</v>
      </c>
      <c r="AD106" s="152">
        <v>4355.0</v>
      </c>
      <c r="AE106" s="152">
        <v>2375.0</v>
      </c>
      <c r="AF106" s="152">
        <v>4855.0</v>
      </c>
      <c r="AG106" s="152">
        <v>2875.0</v>
      </c>
      <c r="AH106" s="134"/>
      <c r="AI106" s="134"/>
      <c r="AJ106" s="134"/>
      <c r="AK106" s="572"/>
      <c r="AL106" s="572"/>
      <c r="AM106" s="572">
        <f t="shared" si="54"/>
        <v>21.50252525</v>
      </c>
      <c r="AN106" s="572"/>
      <c r="AO106" s="153">
        <f t="shared" si="12"/>
        <v>396</v>
      </c>
      <c r="AP106" s="22">
        <v>50.0</v>
      </c>
      <c r="AQ106" s="134">
        <v>25.0</v>
      </c>
      <c r="AR106" s="134">
        <v>25.0</v>
      </c>
      <c r="AS106" s="134">
        <f t="shared" si="13"/>
        <v>99</v>
      </c>
      <c r="AT106" s="22">
        <v>21040.0</v>
      </c>
      <c r="AU106" s="161">
        <v>8665.0</v>
      </c>
      <c r="AV106" s="134">
        <v>10680.0</v>
      </c>
      <c r="AW106" s="134">
        <v>4375.0</v>
      </c>
      <c r="AX106" s="134">
        <v>11680.0</v>
      </c>
      <c r="AY106" s="134">
        <v>5375.0</v>
      </c>
      <c r="AZ106" s="134"/>
      <c r="BA106" s="134"/>
      <c r="BB106" s="90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</row>
    <row r="107" ht="12.75" hidden="1" customHeight="1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142"/>
      <c r="P107" s="143">
        <v>400.0</v>
      </c>
      <c r="Q107" s="152">
        <v>25.0</v>
      </c>
      <c r="R107" s="152">
        <v>13.0</v>
      </c>
      <c r="S107" s="152">
        <v>13.0</v>
      </c>
      <c r="T107" s="152">
        <v>50.0</v>
      </c>
      <c r="U107" s="152">
        <v>50.0</v>
      </c>
      <c r="V107" s="152">
        <v>25.0</v>
      </c>
      <c r="W107" s="152">
        <v>25.0</v>
      </c>
      <c r="X107" s="152">
        <v>100.0</v>
      </c>
      <c r="Y107" s="217">
        <v>25.0</v>
      </c>
      <c r="Z107" s="217">
        <v>8585.0</v>
      </c>
      <c r="AA107" s="217">
        <v>4750.0</v>
      </c>
      <c r="AB107" s="152">
        <f t="shared" ref="AB107:AC107" si="209">Z107-Z106</f>
        <v>70</v>
      </c>
      <c r="AC107" s="152">
        <f t="shared" si="209"/>
        <v>45</v>
      </c>
      <c r="AD107" s="152">
        <v>4355.0</v>
      </c>
      <c r="AE107" s="152">
        <v>2375.0</v>
      </c>
      <c r="AF107" s="152">
        <v>4855.0</v>
      </c>
      <c r="AG107" s="152">
        <v>2875.0</v>
      </c>
      <c r="AH107" s="134"/>
      <c r="AI107" s="134"/>
      <c r="AJ107" s="134"/>
      <c r="AK107" s="572"/>
      <c r="AL107" s="572"/>
      <c r="AM107" s="572">
        <f t="shared" si="54"/>
        <v>21.4625</v>
      </c>
      <c r="AN107" s="572"/>
      <c r="AO107" s="153">
        <f t="shared" si="12"/>
        <v>400</v>
      </c>
      <c r="AP107" s="22">
        <v>50.0</v>
      </c>
      <c r="AQ107" s="134">
        <v>25.0</v>
      </c>
      <c r="AR107" s="134">
        <v>25.0</v>
      </c>
      <c r="AS107" s="134">
        <f t="shared" si="13"/>
        <v>100</v>
      </c>
      <c r="AT107" s="22">
        <v>21180.0</v>
      </c>
      <c r="AU107" s="161">
        <v>8750.0</v>
      </c>
      <c r="AV107" s="22">
        <v>10680.0</v>
      </c>
      <c r="AW107" s="226">
        <v>4375.0</v>
      </c>
      <c r="AX107" s="134">
        <v>11680.0</v>
      </c>
      <c r="AY107" s="134">
        <v>5375.0</v>
      </c>
      <c r="AZ107" s="134"/>
      <c r="BA107" s="134"/>
      <c r="BB107" s="90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</row>
    <row r="108" ht="12.75" hidden="1" customHeight="1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142"/>
      <c r="P108" s="88">
        <f t="shared" ref="P108:P187" si="212">P107+4</f>
        <v>404</v>
      </c>
      <c r="Q108" s="160">
        <f t="shared" ref="Q108:X108" si="210">Q107+1</f>
        <v>26</v>
      </c>
      <c r="R108" s="152">
        <f t="shared" si="210"/>
        <v>14</v>
      </c>
      <c r="S108" s="152">
        <f t="shared" si="210"/>
        <v>14</v>
      </c>
      <c r="T108" s="134">
        <f t="shared" si="210"/>
        <v>51</v>
      </c>
      <c r="U108" s="134">
        <f t="shared" si="210"/>
        <v>51</v>
      </c>
      <c r="V108" s="134">
        <f t="shared" si="210"/>
        <v>26</v>
      </c>
      <c r="W108" s="134">
        <f t="shared" si="210"/>
        <v>26</v>
      </c>
      <c r="X108" s="134">
        <f t="shared" si="210"/>
        <v>101</v>
      </c>
      <c r="Y108" s="22"/>
      <c r="Z108" s="22">
        <f>Z107+100</f>
        <v>8685</v>
      </c>
      <c r="AA108" s="22">
        <f>AA107+50</f>
        <v>4800</v>
      </c>
      <c r="AB108" s="152">
        <f t="shared" ref="AB108:AC108" si="211">Z108-Z107</f>
        <v>100</v>
      </c>
      <c r="AC108" s="152">
        <f t="shared" si="211"/>
        <v>50</v>
      </c>
      <c r="AD108" s="22">
        <f>AD107+80</f>
        <v>4435</v>
      </c>
      <c r="AE108" s="22">
        <f>AE107+50</f>
        <v>2425</v>
      </c>
      <c r="AF108" s="22">
        <f>AF107+100</f>
        <v>4955</v>
      </c>
      <c r="AG108" s="22">
        <f>AG107+70</f>
        <v>2945</v>
      </c>
      <c r="AH108" s="134"/>
      <c r="AI108" s="134"/>
      <c r="AJ108" s="22"/>
      <c r="AK108" s="572"/>
      <c r="AL108" s="572"/>
      <c r="AM108" s="572">
        <f t="shared" si="54"/>
        <v>21.49752475</v>
      </c>
      <c r="AN108" s="572"/>
      <c r="AO108" s="153">
        <f t="shared" si="12"/>
        <v>404</v>
      </c>
      <c r="AP108" s="22">
        <v>51.0</v>
      </c>
      <c r="AQ108" s="134">
        <v>26.0</v>
      </c>
      <c r="AR108" s="134">
        <v>26.0</v>
      </c>
      <c r="AS108" s="134">
        <f t="shared" si="13"/>
        <v>101</v>
      </c>
      <c r="AT108" s="22">
        <v>21460.0</v>
      </c>
      <c r="AU108" s="161">
        <v>8840.0</v>
      </c>
      <c r="AV108" s="134">
        <v>10960.0</v>
      </c>
      <c r="AW108" s="134">
        <v>4465.0</v>
      </c>
      <c r="AX108" s="134">
        <v>11980.0</v>
      </c>
      <c r="AY108" s="134">
        <v>5485.0</v>
      </c>
      <c r="AZ108" s="134"/>
      <c r="BA108" s="134"/>
      <c r="BB108" s="90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</row>
    <row r="109" ht="12.75" customHeight="1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142"/>
      <c r="P109" s="88">
        <f t="shared" si="212"/>
        <v>408</v>
      </c>
      <c r="Q109" s="160">
        <f t="shared" ref="Q109:W109" si="213">Q108</f>
        <v>26</v>
      </c>
      <c r="R109" s="152">
        <f t="shared" si="213"/>
        <v>14</v>
      </c>
      <c r="S109" s="152">
        <f t="shared" si="213"/>
        <v>14</v>
      </c>
      <c r="T109" s="134">
        <f t="shared" si="213"/>
        <v>51</v>
      </c>
      <c r="U109" s="134">
        <f t="shared" si="213"/>
        <v>51</v>
      </c>
      <c r="V109" s="134">
        <f t="shared" si="213"/>
        <v>26</v>
      </c>
      <c r="W109" s="134">
        <f t="shared" si="213"/>
        <v>26</v>
      </c>
      <c r="X109" s="134">
        <f t="shared" ref="X109:X111" si="219">X108+1</f>
        <v>102</v>
      </c>
      <c r="Y109" s="22"/>
      <c r="Z109" s="22">
        <f>Z108+90</f>
        <v>8775</v>
      </c>
      <c r="AA109" s="22">
        <f>AA108+45</f>
        <v>4845</v>
      </c>
      <c r="AB109" s="152">
        <f t="shared" ref="AB109:AC109" si="214">Z109-Z108</f>
        <v>90</v>
      </c>
      <c r="AC109" s="152">
        <f t="shared" si="214"/>
        <v>45</v>
      </c>
      <c r="AD109" s="22">
        <f t="shared" ref="AD109:AG109" si="215">AD108</f>
        <v>4435</v>
      </c>
      <c r="AE109" s="22">
        <f t="shared" si="215"/>
        <v>2425</v>
      </c>
      <c r="AF109" s="22">
        <f t="shared" si="215"/>
        <v>4955</v>
      </c>
      <c r="AG109" s="22">
        <f t="shared" si="215"/>
        <v>2945</v>
      </c>
      <c r="AH109" s="134"/>
      <c r="AI109" s="134"/>
      <c r="AJ109" s="22"/>
      <c r="AK109" s="572"/>
      <c r="AL109" s="572"/>
      <c r="AM109" s="572">
        <f t="shared" si="54"/>
        <v>21.50735294</v>
      </c>
      <c r="AN109" s="572"/>
      <c r="AO109" s="153">
        <f t="shared" si="12"/>
        <v>408</v>
      </c>
      <c r="AP109" s="22">
        <v>51.0</v>
      </c>
      <c r="AQ109" s="134">
        <v>26.0</v>
      </c>
      <c r="AR109" s="134">
        <v>26.0</v>
      </c>
      <c r="AS109" s="134">
        <f t="shared" si="13"/>
        <v>102</v>
      </c>
      <c r="AT109" s="22">
        <v>21600.0</v>
      </c>
      <c r="AU109" s="161">
        <v>8925.0</v>
      </c>
      <c r="AV109" s="22">
        <v>10960.0</v>
      </c>
      <c r="AW109" s="22">
        <v>4465.0</v>
      </c>
      <c r="AX109" s="134">
        <v>11980.0</v>
      </c>
      <c r="AY109" s="134">
        <v>5485.0</v>
      </c>
      <c r="AZ109" s="134"/>
      <c r="BA109" s="134"/>
      <c r="BB109" s="90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</row>
    <row r="110" ht="12.75" hidden="1" customHeight="1">
      <c r="A110" s="8">
        <v>1.0</v>
      </c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142"/>
      <c r="P110" s="88">
        <f t="shared" si="212"/>
        <v>412</v>
      </c>
      <c r="Q110" s="160">
        <f>Q109+1</f>
        <v>27</v>
      </c>
      <c r="R110" s="152">
        <f t="shared" ref="R110:S110" si="216">R109-1</f>
        <v>13</v>
      </c>
      <c r="S110" s="152">
        <f t="shared" si="216"/>
        <v>13</v>
      </c>
      <c r="T110" s="134">
        <f t="shared" ref="T110:U110" si="217">T109+1</f>
        <v>52</v>
      </c>
      <c r="U110" s="134">
        <f t="shared" si="217"/>
        <v>52</v>
      </c>
      <c r="V110" s="134">
        <f t="shared" ref="V110:W110" si="218">V109</f>
        <v>26</v>
      </c>
      <c r="W110" s="134">
        <f t="shared" si="218"/>
        <v>26</v>
      </c>
      <c r="X110" s="134">
        <f t="shared" si="219"/>
        <v>103</v>
      </c>
      <c r="Y110" s="22"/>
      <c r="Z110" s="22">
        <f>Z109+80</f>
        <v>8855</v>
      </c>
      <c r="AA110" s="22">
        <f>AA109+50</f>
        <v>4895</v>
      </c>
      <c r="AB110" s="152">
        <f t="shared" ref="AB110:AC110" si="220">Z110-Z109</f>
        <v>80</v>
      </c>
      <c r="AC110" s="152">
        <f t="shared" si="220"/>
        <v>50</v>
      </c>
      <c r="AD110" s="22">
        <f>AD109+70</f>
        <v>4505</v>
      </c>
      <c r="AE110" s="22">
        <f>AE109+45</f>
        <v>2470</v>
      </c>
      <c r="AF110" s="22">
        <f>AF109+70</f>
        <v>5025</v>
      </c>
      <c r="AG110" s="22">
        <f>45+AG109</f>
        <v>2990</v>
      </c>
      <c r="AH110" s="134"/>
      <c r="AI110" s="134"/>
      <c r="AJ110" s="22"/>
      <c r="AK110" s="572"/>
      <c r="AL110" s="572"/>
      <c r="AM110" s="572">
        <f t="shared" si="54"/>
        <v>21.49271845</v>
      </c>
      <c r="AN110" s="572"/>
      <c r="AO110" s="153">
        <f t="shared" si="12"/>
        <v>412</v>
      </c>
      <c r="AP110" s="22">
        <v>52.0</v>
      </c>
      <c r="AQ110" s="134">
        <v>26.0</v>
      </c>
      <c r="AR110" s="134">
        <v>26.0</v>
      </c>
      <c r="AS110" s="134">
        <f t="shared" si="13"/>
        <v>103</v>
      </c>
      <c r="AT110" s="22">
        <v>21880.0</v>
      </c>
      <c r="AU110" s="161">
        <v>9015.0</v>
      </c>
      <c r="AV110" s="134">
        <v>11100.0</v>
      </c>
      <c r="AW110" s="134">
        <v>4550.0</v>
      </c>
      <c r="AX110" s="134">
        <v>12140.0</v>
      </c>
      <c r="AY110" s="134">
        <v>5590.0</v>
      </c>
      <c r="AZ110" s="134"/>
      <c r="BA110" s="134"/>
      <c r="BB110" s="90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</row>
    <row r="111" ht="12.75" hidden="1" customHeight="1">
      <c r="A111" s="8">
        <v>2.0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142"/>
      <c r="P111" s="88">
        <f t="shared" si="212"/>
        <v>416</v>
      </c>
      <c r="Q111" s="160">
        <f>Q110-1</f>
        <v>26</v>
      </c>
      <c r="R111" s="152">
        <f t="shared" ref="R111:W111" si="221">R110</f>
        <v>13</v>
      </c>
      <c r="S111" s="152">
        <f t="shared" si="221"/>
        <v>13</v>
      </c>
      <c r="T111" s="134">
        <f t="shared" si="221"/>
        <v>52</v>
      </c>
      <c r="U111" s="134">
        <f t="shared" si="221"/>
        <v>52</v>
      </c>
      <c r="V111" s="134">
        <f t="shared" si="221"/>
        <v>26</v>
      </c>
      <c r="W111" s="134">
        <f t="shared" si="221"/>
        <v>26</v>
      </c>
      <c r="X111" s="134">
        <f t="shared" si="219"/>
        <v>104</v>
      </c>
      <c r="Y111" s="22"/>
      <c r="Z111" s="22">
        <f>Z110+70</f>
        <v>8925</v>
      </c>
      <c r="AA111" s="22">
        <f>AA110+45</f>
        <v>4940</v>
      </c>
      <c r="AB111" s="152">
        <f t="shared" ref="AB111:AC111" si="222">Z111-Z110</f>
        <v>70</v>
      </c>
      <c r="AC111" s="152">
        <f t="shared" si="222"/>
        <v>45</v>
      </c>
      <c r="AD111" s="22">
        <f t="shared" ref="AD111:AG111" si="223">AD110</f>
        <v>4505</v>
      </c>
      <c r="AE111" s="22">
        <f t="shared" si="223"/>
        <v>2470</v>
      </c>
      <c r="AF111" s="22">
        <f t="shared" si="223"/>
        <v>5025</v>
      </c>
      <c r="AG111" s="22">
        <f t="shared" si="223"/>
        <v>2990</v>
      </c>
      <c r="AH111" s="134"/>
      <c r="AI111" s="134"/>
      <c r="AJ111" s="22"/>
      <c r="AK111" s="572"/>
      <c r="AL111" s="572"/>
      <c r="AM111" s="572">
        <f t="shared" si="54"/>
        <v>21.45432692</v>
      </c>
      <c r="AN111" s="572"/>
      <c r="AO111" s="153">
        <f t="shared" si="12"/>
        <v>416</v>
      </c>
      <c r="AP111" s="22">
        <v>52.0</v>
      </c>
      <c r="AQ111" s="134">
        <v>26.0</v>
      </c>
      <c r="AR111" s="134">
        <v>26.0</v>
      </c>
      <c r="AS111" s="134">
        <f t="shared" si="13"/>
        <v>104</v>
      </c>
      <c r="AT111" s="22">
        <v>22020.0</v>
      </c>
      <c r="AU111" s="161">
        <v>9100.0</v>
      </c>
      <c r="AV111" s="22">
        <v>11100.0</v>
      </c>
      <c r="AW111" s="226">
        <v>4550.0</v>
      </c>
      <c r="AX111" s="134">
        <v>12140.0</v>
      </c>
      <c r="AY111" s="134">
        <v>5590.0</v>
      </c>
      <c r="AZ111" s="134"/>
      <c r="BA111" s="134"/>
      <c r="BB111" s="90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</row>
    <row r="112" ht="12.75" hidden="1" customHeight="1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142"/>
      <c r="P112" s="88">
        <f t="shared" si="212"/>
        <v>420</v>
      </c>
      <c r="Q112" s="160">
        <f t="shared" ref="Q112:X112" si="224">Q111+1</f>
        <v>27</v>
      </c>
      <c r="R112" s="152">
        <f t="shared" si="224"/>
        <v>14</v>
      </c>
      <c r="S112" s="152">
        <f t="shared" si="224"/>
        <v>14</v>
      </c>
      <c r="T112" s="134">
        <f t="shared" si="224"/>
        <v>53</v>
      </c>
      <c r="U112" s="134">
        <f t="shared" si="224"/>
        <v>53</v>
      </c>
      <c r="V112" s="134">
        <f t="shared" si="224"/>
        <v>27</v>
      </c>
      <c r="W112" s="134">
        <f t="shared" si="224"/>
        <v>27</v>
      </c>
      <c r="X112" s="134">
        <f t="shared" si="224"/>
        <v>105</v>
      </c>
      <c r="Y112" s="22"/>
      <c r="Z112" s="22">
        <f>Z111+100</f>
        <v>9025</v>
      </c>
      <c r="AA112" s="22">
        <f>AA111+50</f>
        <v>4990</v>
      </c>
      <c r="AB112" s="152">
        <f t="shared" ref="AB112:AC112" si="225">Z112-Z111</f>
        <v>100</v>
      </c>
      <c r="AC112" s="152">
        <f t="shared" si="225"/>
        <v>50</v>
      </c>
      <c r="AD112" s="22">
        <f>AD111+100</f>
        <v>4605</v>
      </c>
      <c r="AE112" s="22">
        <f>AE111+50</f>
        <v>2520</v>
      </c>
      <c r="AF112" s="22">
        <f>AF111+120</f>
        <v>5145</v>
      </c>
      <c r="AG112" s="22">
        <f>AG111+70</f>
        <v>3060</v>
      </c>
      <c r="AH112" s="134"/>
      <c r="AI112" s="134"/>
      <c r="AJ112" s="22"/>
      <c r="AK112" s="572"/>
      <c r="AL112" s="572"/>
      <c r="AM112" s="572">
        <f t="shared" si="54"/>
        <v>21.48809524</v>
      </c>
      <c r="AN112" s="572"/>
      <c r="AO112" s="153">
        <f t="shared" si="12"/>
        <v>420</v>
      </c>
      <c r="AP112" s="22">
        <v>53.0</v>
      </c>
      <c r="AQ112" s="134">
        <v>27.0</v>
      </c>
      <c r="AR112" s="134">
        <v>27.0</v>
      </c>
      <c r="AS112" s="134">
        <f t="shared" si="13"/>
        <v>105</v>
      </c>
      <c r="AT112" s="22">
        <v>22300.0</v>
      </c>
      <c r="AU112" s="161">
        <v>9190.0</v>
      </c>
      <c r="AV112" s="134">
        <v>11380.0</v>
      </c>
      <c r="AW112" s="134">
        <v>4640.0</v>
      </c>
      <c r="AX112" s="134">
        <v>12440.0</v>
      </c>
      <c r="AY112" s="134">
        <v>5700.0</v>
      </c>
      <c r="AZ112" s="134"/>
      <c r="BA112" s="134"/>
      <c r="BB112" s="90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</row>
    <row r="113" ht="12.0" customHeight="1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142"/>
      <c r="P113" s="88">
        <f t="shared" si="212"/>
        <v>424</v>
      </c>
      <c r="Q113" s="160">
        <f t="shared" ref="Q113:W113" si="226">Q112</f>
        <v>27</v>
      </c>
      <c r="R113" s="152">
        <f t="shared" si="226"/>
        <v>14</v>
      </c>
      <c r="S113" s="152">
        <f t="shared" si="226"/>
        <v>14</v>
      </c>
      <c r="T113" s="134">
        <f t="shared" si="226"/>
        <v>53</v>
      </c>
      <c r="U113" s="134">
        <f t="shared" si="226"/>
        <v>53</v>
      </c>
      <c r="V113" s="134">
        <f t="shared" si="226"/>
        <v>27</v>
      </c>
      <c r="W113" s="134">
        <f t="shared" si="226"/>
        <v>27</v>
      </c>
      <c r="X113" s="134">
        <f t="shared" ref="X113:X115" si="232">X112+1</f>
        <v>106</v>
      </c>
      <c r="Y113" s="22"/>
      <c r="Z113" s="22">
        <f>Z112+90</f>
        <v>9115</v>
      </c>
      <c r="AA113" s="22">
        <f>AA112+45</f>
        <v>5035</v>
      </c>
      <c r="AB113" s="152">
        <f t="shared" ref="AB113:AC113" si="227">Z113-Z112</f>
        <v>90</v>
      </c>
      <c r="AC113" s="152">
        <f t="shared" si="227"/>
        <v>45</v>
      </c>
      <c r="AD113" s="22">
        <f t="shared" ref="AD113:AG113" si="228">AD112</f>
        <v>4605</v>
      </c>
      <c r="AE113" s="22">
        <f t="shared" si="228"/>
        <v>2520</v>
      </c>
      <c r="AF113" s="22">
        <f t="shared" si="228"/>
        <v>5145</v>
      </c>
      <c r="AG113" s="22">
        <f t="shared" si="228"/>
        <v>3060</v>
      </c>
      <c r="AH113" s="134"/>
      <c r="AI113" s="134"/>
      <c r="AJ113" s="22"/>
      <c r="AK113" s="572"/>
      <c r="AL113" s="572"/>
      <c r="AM113" s="572">
        <f t="shared" si="54"/>
        <v>21.49764151</v>
      </c>
      <c r="AN113" s="572"/>
      <c r="AO113" s="153">
        <f t="shared" si="12"/>
        <v>424</v>
      </c>
      <c r="AP113" s="22">
        <v>53.0</v>
      </c>
      <c r="AQ113" s="134">
        <v>27.0</v>
      </c>
      <c r="AR113" s="134">
        <v>27.0</v>
      </c>
      <c r="AS113" s="134">
        <f t="shared" si="13"/>
        <v>106</v>
      </c>
      <c r="AT113" s="22">
        <v>22440.0</v>
      </c>
      <c r="AU113" s="161">
        <v>9275.0</v>
      </c>
      <c r="AV113" s="22">
        <v>11380.0</v>
      </c>
      <c r="AW113" s="22">
        <v>4640.0</v>
      </c>
      <c r="AX113" s="134">
        <v>12440.0</v>
      </c>
      <c r="AY113" s="134">
        <v>5700.0</v>
      </c>
      <c r="AZ113" s="134"/>
      <c r="BA113" s="134"/>
      <c r="BB113" s="90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</row>
    <row r="114" ht="12.75" hidden="1" customHeight="1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142"/>
      <c r="P114" s="88">
        <f t="shared" si="212"/>
        <v>428</v>
      </c>
      <c r="Q114" s="160">
        <f>Q113+1</f>
        <v>28</v>
      </c>
      <c r="R114" s="152">
        <f t="shared" ref="R114:S114" si="229">R113</f>
        <v>14</v>
      </c>
      <c r="S114" s="152">
        <f t="shared" si="229"/>
        <v>14</v>
      </c>
      <c r="T114" s="134">
        <f t="shared" ref="T114:U114" si="230">T113+1</f>
        <v>54</v>
      </c>
      <c r="U114" s="134">
        <f t="shared" si="230"/>
        <v>54</v>
      </c>
      <c r="V114" s="134">
        <f t="shared" ref="V114:W114" si="231">V113</f>
        <v>27</v>
      </c>
      <c r="W114" s="134">
        <f t="shared" si="231"/>
        <v>27</v>
      </c>
      <c r="X114" s="134">
        <f t="shared" si="232"/>
        <v>107</v>
      </c>
      <c r="Y114" s="22"/>
      <c r="Z114" s="22">
        <f>Z113+80</f>
        <v>9195</v>
      </c>
      <c r="AA114" s="22">
        <f>AA113+50</f>
        <v>5085</v>
      </c>
      <c r="AB114" s="152">
        <f t="shared" ref="AB114:AC114" si="233">Z114-Z113</f>
        <v>80</v>
      </c>
      <c r="AC114" s="152">
        <f t="shared" si="233"/>
        <v>50</v>
      </c>
      <c r="AD114" s="22">
        <f>AD113+90</f>
        <v>4695</v>
      </c>
      <c r="AE114" s="22">
        <f>AE113+45</f>
        <v>2565</v>
      </c>
      <c r="AF114" s="22">
        <f>AF113+90</f>
        <v>5235</v>
      </c>
      <c r="AG114" s="22">
        <f>45+AG113</f>
        <v>3105</v>
      </c>
      <c r="AH114" s="134"/>
      <c r="AI114" s="134"/>
      <c r="AJ114" s="22"/>
      <c r="AK114" s="572"/>
      <c r="AL114" s="572"/>
      <c r="AM114" s="572">
        <f t="shared" si="54"/>
        <v>21.48364486</v>
      </c>
      <c r="AN114" s="572"/>
      <c r="AO114" s="153">
        <f t="shared" si="12"/>
        <v>428</v>
      </c>
      <c r="AP114" s="22">
        <v>54.0</v>
      </c>
      <c r="AQ114" s="134">
        <v>27.0</v>
      </c>
      <c r="AR114" s="134">
        <v>27.0</v>
      </c>
      <c r="AS114" s="134">
        <f t="shared" si="13"/>
        <v>107</v>
      </c>
      <c r="AT114" s="22">
        <v>22720.0</v>
      </c>
      <c r="AU114" s="161">
        <v>9365.0</v>
      </c>
      <c r="AV114" s="134">
        <v>11520.0</v>
      </c>
      <c r="AW114" s="134">
        <v>4725.0</v>
      </c>
      <c r="AX114" s="134">
        <v>12600.0</v>
      </c>
      <c r="AY114" s="134">
        <v>5805.0</v>
      </c>
      <c r="AZ114" s="134"/>
      <c r="BA114" s="134"/>
      <c r="BB114" s="90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</row>
    <row r="115" ht="12.75" hidden="1" customHeight="1">
      <c r="A115" s="8"/>
      <c r="B115" s="8"/>
      <c r="C115" s="217" t="s">
        <v>166</v>
      </c>
      <c r="D115" s="217"/>
      <c r="E115" s="217" t="s">
        <v>170</v>
      </c>
      <c r="F115" s="8"/>
      <c r="G115" s="8"/>
      <c r="H115" s="8"/>
      <c r="I115" s="8"/>
      <c r="J115" s="8"/>
      <c r="K115" s="8"/>
      <c r="L115" s="8"/>
      <c r="M115" s="8"/>
      <c r="N115" s="8"/>
      <c r="O115" s="142"/>
      <c r="P115" s="88">
        <f t="shared" si="212"/>
        <v>432</v>
      </c>
      <c r="Q115" s="160">
        <f>Q114-1</f>
        <v>27</v>
      </c>
      <c r="R115" s="152">
        <f t="shared" ref="R115:W115" si="234">R114</f>
        <v>14</v>
      </c>
      <c r="S115" s="152">
        <f t="shared" si="234"/>
        <v>14</v>
      </c>
      <c r="T115" s="134">
        <f t="shared" si="234"/>
        <v>54</v>
      </c>
      <c r="U115" s="134">
        <f t="shared" si="234"/>
        <v>54</v>
      </c>
      <c r="V115" s="134">
        <f t="shared" si="234"/>
        <v>27</v>
      </c>
      <c r="W115" s="134">
        <f t="shared" si="234"/>
        <v>27</v>
      </c>
      <c r="X115" s="134">
        <f t="shared" si="232"/>
        <v>108</v>
      </c>
      <c r="Y115" s="22"/>
      <c r="Z115" s="22">
        <f>Z114+70</f>
        <v>9265</v>
      </c>
      <c r="AA115" s="22">
        <f>AA114+45</f>
        <v>5130</v>
      </c>
      <c r="AB115" s="152">
        <f t="shared" ref="AB115:AC115" si="235">Z115-Z114</f>
        <v>70</v>
      </c>
      <c r="AC115" s="152">
        <f t="shared" si="235"/>
        <v>45</v>
      </c>
      <c r="AD115" s="22">
        <f t="shared" ref="AD115:AG115" si="236">AD114</f>
        <v>4695</v>
      </c>
      <c r="AE115" s="22">
        <f t="shared" si="236"/>
        <v>2565</v>
      </c>
      <c r="AF115" s="22">
        <f t="shared" si="236"/>
        <v>5235</v>
      </c>
      <c r="AG115" s="22">
        <f t="shared" si="236"/>
        <v>3105</v>
      </c>
      <c r="AH115" s="134"/>
      <c r="AI115" s="134"/>
      <c r="AJ115" s="22"/>
      <c r="AK115" s="572"/>
      <c r="AL115" s="572"/>
      <c r="AM115" s="572">
        <f t="shared" si="54"/>
        <v>21.44675926</v>
      </c>
      <c r="AN115" s="572"/>
      <c r="AO115" s="153">
        <f t="shared" si="12"/>
        <v>432</v>
      </c>
      <c r="AP115" s="22">
        <v>54.0</v>
      </c>
      <c r="AQ115" s="134">
        <v>27.0</v>
      </c>
      <c r="AR115" s="134">
        <v>27.0</v>
      </c>
      <c r="AS115" s="134">
        <f t="shared" si="13"/>
        <v>108</v>
      </c>
      <c r="AT115" s="22">
        <v>22860.0</v>
      </c>
      <c r="AU115" s="161">
        <v>9450.0</v>
      </c>
      <c r="AV115" s="22">
        <v>11520.0</v>
      </c>
      <c r="AW115" s="226">
        <v>4725.0</v>
      </c>
      <c r="AX115" s="134">
        <v>12600.0</v>
      </c>
      <c r="AY115" s="134">
        <v>5805.0</v>
      </c>
      <c r="AZ115" s="134"/>
      <c r="BA115" s="134"/>
      <c r="BB115" s="90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</row>
    <row r="116" ht="12.75" hidden="1" customHeight="1">
      <c r="A116" s="8"/>
      <c r="B116" s="8"/>
      <c r="C116" s="217" t="s">
        <v>163</v>
      </c>
      <c r="D116" s="217"/>
      <c r="E116" s="217" t="s">
        <v>171</v>
      </c>
      <c r="F116" s="8"/>
      <c r="G116" s="8"/>
      <c r="H116" s="8"/>
      <c r="I116" s="8"/>
      <c r="J116" s="8"/>
      <c r="K116" s="8"/>
      <c r="L116" s="8"/>
      <c r="M116" s="8"/>
      <c r="N116" s="8"/>
      <c r="O116" s="142"/>
      <c r="P116" s="88">
        <f t="shared" si="212"/>
        <v>436</v>
      </c>
      <c r="Q116" s="160">
        <f t="shared" ref="Q116:X116" si="237">Q115+1</f>
        <v>28</v>
      </c>
      <c r="R116" s="152">
        <f t="shared" si="237"/>
        <v>15</v>
      </c>
      <c r="S116" s="152">
        <f t="shared" si="237"/>
        <v>15</v>
      </c>
      <c r="T116" s="134">
        <f t="shared" si="237"/>
        <v>55</v>
      </c>
      <c r="U116" s="134">
        <f t="shared" si="237"/>
        <v>55</v>
      </c>
      <c r="V116" s="134">
        <f t="shared" si="237"/>
        <v>28</v>
      </c>
      <c r="W116" s="134">
        <f t="shared" si="237"/>
        <v>28</v>
      </c>
      <c r="X116" s="134">
        <f t="shared" si="237"/>
        <v>109</v>
      </c>
      <c r="Y116" s="22"/>
      <c r="Z116" s="22">
        <f>Z115+100</f>
        <v>9365</v>
      </c>
      <c r="AA116" s="22">
        <f>AA115+50</f>
        <v>5180</v>
      </c>
      <c r="AB116" s="152">
        <f t="shared" ref="AB116:AC116" si="238">Z116-Z115</f>
        <v>100</v>
      </c>
      <c r="AC116" s="152">
        <f t="shared" si="238"/>
        <v>50</v>
      </c>
      <c r="AD116" s="22">
        <f>AD115+80</f>
        <v>4775</v>
      </c>
      <c r="AE116" s="22">
        <f>AE115+50</f>
        <v>2615</v>
      </c>
      <c r="AF116" s="22">
        <f>AF115+100</f>
        <v>5335</v>
      </c>
      <c r="AG116" s="22">
        <f>AG115+70</f>
        <v>3175</v>
      </c>
      <c r="AH116" s="134"/>
      <c r="AI116" s="134"/>
      <c r="AJ116" s="22"/>
      <c r="AK116" s="572"/>
      <c r="AL116" s="572"/>
      <c r="AM116" s="572">
        <f t="shared" si="54"/>
        <v>21.4793578</v>
      </c>
      <c r="AN116" s="572"/>
      <c r="AO116" s="153">
        <f t="shared" si="12"/>
        <v>436</v>
      </c>
      <c r="AP116" s="22">
        <v>55.0</v>
      </c>
      <c r="AQ116" s="134">
        <v>28.0</v>
      </c>
      <c r="AR116" s="134">
        <v>28.0</v>
      </c>
      <c r="AS116" s="134">
        <f t="shared" si="13"/>
        <v>109</v>
      </c>
      <c r="AT116" s="22">
        <v>23140.0</v>
      </c>
      <c r="AU116" s="161">
        <v>9540.0</v>
      </c>
      <c r="AV116" s="134">
        <v>11800.0</v>
      </c>
      <c r="AW116" s="134">
        <v>4815.0</v>
      </c>
      <c r="AX116" s="134">
        <v>12900.0</v>
      </c>
      <c r="AY116" s="134">
        <v>5915.0</v>
      </c>
      <c r="AZ116" s="134"/>
      <c r="BA116" s="134"/>
      <c r="BB116" s="90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</row>
    <row r="117" ht="12.75" customHeight="1">
      <c r="A117" s="8"/>
      <c r="B117" s="8"/>
      <c r="C117" s="217" t="s">
        <v>99</v>
      </c>
      <c r="D117" s="217" t="s">
        <v>99</v>
      </c>
      <c r="E117" s="217" t="s">
        <v>172</v>
      </c>
      <c r="F117" s="8"/>
      <c r="G117" s="8"/>
      <c r="H117" s="8"/>
      <c r="I117" s="8"/>
      <c r="J117" s="8"/>
      <c r="K117" s="8"/>
      <c r="L117" s="8"/>
      <c r="M117" s="8"/>
      <c r="N117" s="8"/>
      <c r="O117" s="142"/>
      <c r="P117" s="88">
        <f t="shared" si="212"/>
        <v>440</v>
      </c>
      <c r="Q117" s="160">
        <f t="shared" ref="Q117:W117" si="239">Q116</f>
        <v>28</v>
      </c>
      <c r="R117" s="152">
        <f t="shared" si="239"/>
        <v>15</v>
      </c>
      <c r="S117" s="152">
        <f t="shared" si="239"/>
        <v>15</v>
      </c>
      <c r="T117" s="134">
        <f t="shared" si="239"/>
        <v>55</v>
      </c>
      <c r="U117" s="134">
        <f t="shared" si="239"/>
        <v>55</v>
      </c>
      <c r="V117" s="134">
        <f t="shared" si="239"/>
        <v>28</v>
      </c>
      <c r="W117" s="134">
        <f t="shared" si="239"/>
        <v>28</v>
      </c>
      <c r="X117" s="134">
        <f t="shared" ref="X117:X119" si="245">X116+1</f>
        <v>110</v>
      </c>
      <c r="Y117" s="22"/>
      <c r="Z117" s="22">
        <f>Z116+90</f>
        <v>9455</v>
      </c>
      <c r="AA117" s="22">
        <f>AA116+45</f>
        <v>5225</v>
      </c>
      <c r="AB117" s="152">
        <f t="shared" ref="AB117:AC117" si="240">Z117-Z116</f>
        <v>90</v>
      </c>
      <c r="AC117" s="152">
        <f t="shared" si="240"/>
        <v>45</v>
      </c>
      <c r="AD117" s="22">
        <f t="shared" ref="AD117:AG117" si="241">AD116</f>
        <v>4775</v>
      </c>
      <c r="AE117" s="22">
        <f t="shared" si="241"/>
        <v>2615</v>
      </c>
      <c r="AF117" s="22">
        <f t="shared" si="241"/>
        <v>5335</v>
      </c>
      <c r="AG117" s="22">
        <f t="shared" si="241"/>
        <v>3175</v>
      </c>
      <c r="AH117" s="134"/>
      <c r="AI117" s="134"/>
      <c r="AJ117" s="22"/>
      <c r="AK117" s="572"/>
      <c r="AL117" s="572"/>
      <c r="AM117" s="572">
        <f t="shared" si="54"/>
        <v>21.48863636</v>
      </c>
      <c r="AN117" s="572"/>
      <c r="AO117" s="153">
        <f t="shared" si="12"/>
        <v>440</v>
      </c>
      <c r="AP117" s="22">
        <v>55.0</v>
      </c>
      <c r="AQ117" s="134">
        <v>28.0</v>
      </c>
      <c r="AR117" s="134">
        <v>28.0</v>
      </c>
      <c r="AS117" s="134">
        <f t="shared" si="13"/>
        <v>110</v>
      </c>
      <c r="AT117" s="22">
        <v>23280.0</v>
      </c>
      <c r="AU117" s="161">
        <v>9625.0</v>
      </c>
      <c r="AV117" s="22">
        <v>11800.0</v>
      </c>
      <c r="AW117" s="22">
        <v>4815.0</v>
      </c>
      <c r="AX117" s="134">
        <v>12900.0</v>
      </c>
      <c r="AY117" s="134">
        <v>5915.0</v>
      </c>
      <c r="AZ117" s="134"/>
      <c r="BA117" s="134"/>
      <c r="BB117" s="90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</row>
    <row r="118" ht="12.75" hidden="1" customHeight="1">
      <c r="A118" s="8"/>
      <c r="B118" s="8"/>
      <c r="C118" s="217" t="s">
        <v>164</v>
      </c>
      <c r="D118" s="217" t="s">
        <v>101</v>
      </c>
      <c r="E118" s="217" t="s">
        <v>173</v>
      </c>
      <c r="F118" s="8"/>
      <c r="G118" s="8"/>
      <c r="H118" s="8"/>
      <c r="I118" s="8"/>
      <c r="J118" s="8"/>
      <c r="K118" s="8"/>
      <c r="L118" s="8"/>
      <c r="M118" s="8"/>
      <c r="N118" s="8"/>
      <c r="O118" s="142"/>
      <c r="P118" s="88">
        <f t="shared" si="212"/>
        <v>444</v>
      </c>
      <c r="Q118" s="160">
        <f>Q117+1</f>
        <v>29</v>
      </c>
      <c r="R118" s="152">
        <f t="shared" ref="R118:S118" si="242">R117-1</f>
        <v>14</v>
      </c>
      <c r="S118" s="152">
        <f t="shared" si="242"/>
        <v>14</v>
      </c>
      <c r="T118" s="134">
        <f t="shared" ref="T118:U118" si="243">T117+1</f>
        <v>56</v>
      </c>
      <c r="U118" s="134">
        <f t="shared" si="243"/>
        <v>56</v>
      </c>
      <c r="V118" s="134">
        <f t="shared" ref="V118:W118" si="244">V117</f>
        <v>28</v>
      </c>
      <c r="W118" s="134">
        <f t="shared" si="244"/>
        <v>28</v>
      </c>
      <c r="X118" s="134">
        <f t="shared" si="245"/>
        <v>111</v>
      </c>
      <c r="Y118" s="22"/>
      <c r="Z118" s="22">
        <f>Z117+80</f>
        <v>9535</v>
      </c>
      <c r="AA118" s="22">
        <f>AA117+50</f>
        <v>5275</v>
      </c>
      <c r="AB118" s="152">
        <f t="shared" ref="AB118:AC118" si="246">Z118-Z117</f>
        <v>80</v>
      </c>
      <c r="AC118" s="152">
        <f t="shared" si="246"/>
        <v>50</v>
      </c>
      <c r="AD118" s="22">
        <f>AD117+70</f>
        <v>4845</v>
      </c>
      <c r="AE118" s="22">
        <f>AE117+45</f>
        <v>2660</v>
      </c>
      <c r="AF118" s="22">
        <f>AF117+70</f>
        <v>5405</v>
      </c>
      <c r="AG118" s="22">
        <f>45+AG117</f>
        <v>3220</v>
      </c>
      <c r="AH118" s="134"/>
      <c r="AI118" s="134"/>
      <c r="AJ118" s="22"/>
      <c r="AK118" s="572"/>
      <c r="AL118" s="572"/>
      <c r="AM118" s="572">
        <f t="shared" si="54"/>
        <v>21.47522523</v>
      </c>
      <c r="AN118" s="572"/>
      <c r="AO118" s="153">
        <f t="shared" si="12"/>
        <v>444</v>
      </c>
      <c r="AP118" s="22">
        <v>56.0</v>
      </c>
      <c r="AQ118" s="134">
        <v>28.0</v>
      </c>
      <c r="AR118" s="134">
        <v>28.0</v>
      </c>
      <c r="AS118" s="134">
        <f t="shared" si="13"/>
        <v>111</v>
      </c>
      <c r="AT118" s="22">
        <v>23560.0</v>
      </c>
      <c r="AU118" s="161">
        <v>9715.0</v>
      </c>
      <c r="AV118" s="134">
        <v>11940.0</v>
      </c>
      <c r="AW118" s="134">
        <v>4900.0</v>
      </c>
      <c r="AX118" s="134">
        <v>13060.0</v>
      </c>
      <c r="AY118" s="134">
        <v>6020.0</v>
      </c>
      <c r="AZ118" s="134"/>
      <c r="BA118" s="134"/>
      <c r="BB118" s="90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</row>
    <row r="119" ht="12.75" hidden="1" customHeight="1">
      <c r="A119" s="8"/>
      <c r="B119" s="8"/>
      <c r="C119" s="217" t="s">
        <v>165</v>
      </c>
      <c r="D119" s="217" t="s">
        <v>101</v>
      </c>
      <c r="E119" s="217" t="s">
        <v>174</v>
      </c>
      <c r="F119" s="8"/>
      <c r="G119" s="8"/>
      <c r="H119" s="8"/>
      <c r="I119" s="8"/>
      <c r="J119" s="8"/>
      <c r="K119" s="8"/>
      <c r="L119" s="8"/>
      <c r="M119" s="8"/>
      <c r="N119" s="8"/>
      <c r="O119" s="142"/>
      <c r="P119" s="88">
        <f t="shared" si="212"/>
        <v>448</v>
      </c>
      <c r="Q119" s="160">
        <f>Q118-1</f>
        <v>28</v>
      </c>
      <c r="R119" s="152">
        <f t="shared" ref="R119:W119" si="247">R118</f>
        <v>14</v>
      </c>
      <c r="S119" s="152">
        <f t="shared" si="247"/>
        <v>14</v>
      </c>
      <c r="T119" s="134">
        <f t="shared" si="247"/>
        <v>56</v>
      </c>
      <c r="U119" s="134">
        <f t="shared" si="247"/>
        <v>56</v>
      </c>
      <c r="V119" s="134">
        <f t="shared" si="247"/>
        <v>28</v>
      </c>
      <c r="W119" s="134">
        <f t="shared" si="247"/>
        <v>28</v>
      </c>
      <c r="X119" s="134">
        <f t="shared" si="245"/>
        <v>112</v>
      </c>
      <c r="Y119" s="22"/>
      <c r="Z119" s="22">
        <f>Z118+70</f>
        <v>9605</v>
      </c>
      <c r="AA119" s="22">
        <f>AA118+45</f>
        <v>5320</v>
      </c>
      <c r="AB119" s="152">
        <f t="shared" ref="AB119:AC119" si="248">Z119-Z118</f>
        <v>70</v>
      </c>
      <c r="AC119" s="152">
        <f t="shared" si="248"/>
        <v>45</v>
      </c>
      <c r="AD119" s="22">
        <f t="shared" ref="AD119:AG119" si="249">AD118</f>
        <v>4845</v>
      </c>
      <c r="AE119" s="22">
        <f t="shared" si="249"/>
        <v>2660</v>
      </c>
      <c r="AF119" s="22">
        <f t="shared" si="249"/>
        <v>5405</v>
      </c>
      <c r="AG119" s="22">
        <f t="shared" si="249"/>
        <v>3220</v>
      </c>
      <c r="AH119" s="134"/>
      <c r="AI119" s="134"/>
      <c r="AJ119" s="22"/>
      <c r="AK119" s="572"/>
      <c r="AL119" s="572"/>
      <c r="AM119" s="572">
        <f t="shared" si="54"/>
        <v>21.43973214</v>
      </c>
      <c r="AN119" s="572"/>
      <c r="AO119" s="153">
        <f t="shared" si="12"/>
        <v>448</v>
      </c>
      <c r="AP119" s="22">
        <v>56.0</v>
      </c>
      <c r="AQ119" s="134">
        <v>28.0</v>
      </c>
      <c r="AR119" s="134">
        <v>28.0</v>
      </c>
      <c r="AS119" s="134">
        <f t="shared" si="13"/>
        <v>112</v>
      </c>
      <c r="AT119" s="22">
        <v>23700.0</v>
      </c>
      <c r="AU119" s="161">
        <v>9800.0</v>
      </c>
      <c r="AV119" s="22">
        <v>11940.0</v>
      </c>
      <c r="AW119" s="226">
        <v>4900.0</v>
      </c>
      <c r="AX119" s="134">
        <v>13060.0</v>
      </c>
      <c r="AY119" s="134">
        <v>6020.0</v>
      </c>
      <c r="AZ119" s="134"/>
      <c r="BA119" s="134"/>
      <c r="BB119" s="90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</row>
    <row r="120" ht="12.75" hidden="1" customHeight="1">
      <c r="A120" s="8"/>
      <c r="B120" s="8"/>
      <c r="C120" s="217" t="s">
        <v>167</v>
      </c>
      <c r="D120" s="217" t="s">
        <v>101</v>
      </c>
      <c r="E120" s="217" t="s">
        <v>175</v>
      </c>
      <c r="F120" s="8"/>
      <c r="G120" s="8"/>
      <c r="H120" s="8"/>
      <c r="I120" s="8"/>
      <c r="J120" s="8"/>
      <c r="K120" s="8"/>
      <c r="L120" s="8"/>
      <c r="M120" s="8"/>
      <c r="N120" s="8"/>
      <c r="O120" s="142"/>
      <c r="P120" s="88">
        <f t="shared" si="212"/>
        <v>452</v>
      </c>
      <c r="Q120" s="160">
        <f t="shared" ref="Q120:X120" si="250">Q119+1</f>
        <v>29</v>
      </c>
      <c r="R120" s="152">
        <f t="shared" si="250"/>
        <v>15</v>
      </c>
      <c r="S120" s="152">
        <f t="shared" si="250"/>
        <v>15</v>
      </c>
      <c r="T120" s="134">
        <f t="shared" si="250"/>
        <v>57</v>
      </c>
      <c r="U120" s="134">
        <f t="shared" si="250"/>
        <v>57</v>
      </c>
      <c r="V120" s="134">
        <f t="shared" si="250"/>
        <v>29</v>
      </c>
      <c r="W120" s="134">
        <f t="shared" si="250"/>
        <v>29</v>
      </c>
      <c r="X120" s="134">
        <f t="shared" si="250"/>
        <v>113</v>
      </c>
      <c r="Y120" s="22"/>
      <c r="Z120" s="22">
        <f>Z119+100</f>
        <v>9705</v>
      </c>
      <c r="AA120" s="22">
        <f>AA119+50</f>
        <v>5370</v>
      </c>
      <c r="AB120" s="152">
        <f t="shared" ref="AB120:AC120" si="251">Z120-Z119</f>
        <v>100</v>
      </c>
      <c r="AC120" s="152">
        <f t="shared" si="251"/>
        <v>50</v>
      </c>
      <c r="AD120" s="22">
        <f>AD119+100</f>
        <v>4945</v>
      </c>
      <c r="AE120" s="22">
        <f>AE119+50</f>
        <v>2710</v>
      </c>
      <c r="AF120" s="22">
        <f>AF119+120</f>
        <v>5525</v>
      </c>
      <c r="AG120" s="22">
        <f>AG119+70</f>
        <v>3290</v>
      </c>
      <c r="AH120" s="134"/>
      <c r="AI120" s="134"/>
      <c r="AJ120" s="22"/>
      <c r="AK120" s="572"/>
      <c r="AL120" s="572"/>
      <c r="AM120" s="572">
        <f t="shared" si="54"/>
        <v>21.47123894</v>
      </c>
      <c r="AN120" s="572"/>
      <c r="AO120" s="153">
        <f t="shared" si="12"/>
        <v>452</v>
      </c>
      <c r="AP120" s="22">
        <v>57.0</v>
      </c>
      <c r="AQ120" s="134">
        <v>29.0</v>
      </c>
      <c r="AR120" s="134">
        <v>29.0</v>
      </c>
      <c r="AS120" s="134">
        <f t="shared" si="13"/>
        <v>113</v>
      </c>
      <c r="AT120" s="22">
        <v>23980.0</v>
      </c>
      <c r="AU120" s="161">
        <v>9890.0</v>
      </c>
      <c r="AV120" s="134">
        <v>12220.0</v>
      </c>
      <c r="AW120" s="134">
        <v>4990.0</v>
      </c>
      <c r="AX120" s="134">
        <v>13360.0</v>
      </c>
      <c r="AY120" s="134">
        <v>6130.0</v>
      </c>
      <c r="AZ120" s="134"/>
      <c r="BA120" s="134"/>
      <c r="BB120" s="90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</row>
    <row r="121" ht="12.75" customHeight="1">
      <c r="A121" s="8"/>
      <c r="B121" s="8"/>
      <c r="C121" s="217" t="s">
        <v>109</v>
      </c>
      <c r="D121" s="217" t="s">
        <v>109</v>
      </c>
      <c r="E121" s="217" t="s">
        <v>176</v>
      </c>
      <c r="F121" s="8"/>
      <c r="G121" s="8"/>
      <c r="H121" s="8"/>
      <c r="I121" s="8"/>
      <c r="J121" s="8"/>
      <c r="K121" s="8"/>
      <c r="L121" s="8"/>
      <c r="M121" s="8"/>
      <c r="N121" s="8"/>
      <c r="O121" s="142"/>
      <c r="P121" s="88">
        <f t="shared" si="212"/>
        <v>456</v>
      </c>
      <c r="Q121" s="160">
        <f t="shared" ref="Q121:W121" si="252">Q120</f>
        <v>29</v>
      </c>
      <c r="R121" s="152">
        <f t="shared" si="252"/>
        <v>15</v>
      </c>
      <c r="S121" s="152">
        <f t="shared" si="252"/>
        <v>15</v>
      </c>
      <c r="T121" s="134">
        <f t="shared" si="252"/>
        <v>57</v>
      </c>
      <c r="U121" s="134">
        <f t="shared" si="252"/>
        <v>57</v>
      </c>
      <c r="V121" s="134">
        <f t="shared" si="252"/>
        <v>29</v>
      </c>
      <c r="W121" s="134">
        <f t="shared" si="252"/>
        <v>29</v>
      </c>
      <c r="X121" s="134">
        <f t="shared" ref="X121:X123" si="258">X120+1</f>
        <v>114</v>
      </c>
      <c r="Y121" s="22"/>
      <c r="Z121" s="22">
        <f>Z120+90</f>
        <v>9795</v>
      </c>
      <c r="AA121" s="22">
        <f>AA120+45</f>
        <v>5415</v>
      </c>
      <c r="AB121" s="152">
        <f t="shared" ref="AB121:AC121" si="253">Z121-Z120</f>
        <v>90</v>
      </c>
      <c r="AC121" s="152">
        <f t="shared" si="253"/>
        <v>45</v>
      </c>
      <c r="AD121" s="22">
        <f t="shared" ref="AD121:AG121" si="254">AD120</f>
        <v>4945</v>
      </c>
      <c r="AE121" s="22">
        <f t="shared" si="254"/>
        <v>2710</v>
      </c>
      <c r="AF121" s="22">
        <f t="shared" si="254"/>
        <v>5525</v>
      </c>
      <c r="AG121" s="22">
        <f t="shared" si="254"/>
        <v>3290</v>
      </c>
      <c r="AH121" s="134"/>
      <c r="AI121" s="134"/>
      <c r="AJ121" s="22"/>
      <c r="AK121" s="572"/>
      <c r="AL121" s="572"/>
      <c r="AM121" s="572">
        <f t="shared" si="54"/>
        <v>21.48026316</v>
      </c>
      <c r="AN121" s="572"/>
      <c r="AO121" s="153">
        <f t="shared" si="12"/>
        <v>456</v>
      </c>
      <c r="AP121" s="22">
        <v>57.0</v>
      </c>
      <c r="AQ121" s="134">
        <v>29.0</v>
      </c>
      <c r="AR121" s="134">
        <v>29.0</v>
      </c>
      <c r="AS121" s="134">
        <f t="shared" si="13"/>
        <v>114</v>
      </c>
      <c r="AT121" s="22">
        <v>24120.0</v>
      </c>
      <c r="AU121" s="161">
        <v>9975.0</v>
      </c>
      <c r="AV121" s="22">
        <v>12220.0</v>
      </c>
      <c r="AW121" s="22">
        <v>4990.0</v>
      </c>
      <c r="AX121" s="134">
        <v>13360.0</v>
      </c>
      <c r="AY121" s="134">
        <v>6130.0</v>
      </c>
      <c r="AZ121" s="134"/>
      <c r="BA121" s="134"/>
      <c r="BB121" s="90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</row>
    <row r="122" ht="12.75" hidden="1" customHeight="1">
      <c r="A122" s="8"/>
      <c r="B122" s="8"/>
      <c r="C122" s="217" t="s">
        <v>121</v>
      </c>
      <c r="D122" s="217" t="s">
        <v>121</v>
      </c>
      <c r="E122" s="217" t="s">
        <v>177</v>
      </c>
      <c r="F122" s="8"/>
      <c r="G122" s="8"/>
      <c r="H122" s="8"/>
      <c r="I122" s="8"/>
      <c r="J122" s="8"/>
      <c r="K122" s="8"/>
      <c r="L122" s="8"/>
      <c r="M122" s="8"/>
      <c r="N122" s="8"/>
      <c r="O122" s="142"/>
      <c r="P122" s="88">
        <f t="shared" si="212"/>
        <v>460</v>
      </c>
      <c r="Q122" s="160">
        <f>Q121+1</f>
        <v>30</v>
      </c>
      <c r="R122" s="152">
        <f t="shared" ref="R122:S122" si="255">R121</f>
        <v>15</v>
      </c>
      <c r="S122" s="152">
        <f t="shared" si="255"/>
        <v>15</v>
      </c>
      <c r="T122" s="134">
        <f t="shared" ref="T122:U122" si="256">T121+1</f>
        <v>58</v>
      </c>
      <c r="U122" s="134">
        <f t="shared" si="256"/>
        <v>58</v>
      </c>
      <c r="V122" s="134">
        <f t="shared" ref="V122:W122" si="257">V121</f>
        <v>29</v>
      </c>
      <c r="W122" s="134">
        <f t="shared" si="257"/>
        <v>29</v>
      </c>
      <c r="X122" s="134">
        <f t="shared" si="258"/>
        <v>115</v>
      </c>
      <c r="Y122" s="22"/>
      <c r="Z122" s="22">
        <f>Z121+80</f>
        <v>9875</v>
      </c>
      <c r="AA122" s="22">
        <f>AA121+50</f>
        <v>5465</v>
      </c>
      <c r="AB122" s="152">
        <f t="shared" ref="AB122:AC122" si="259">Z122-Z121</f>
        <v>80</v>
      </c>
      <c r="AC122" s="152">
        <f t="shared" si="259"/>
        <v>50</v>
      </c>
      <c r="AD122" s="22">
        <f>AD121+90</f>
        <v>5035</v>
      </c>
      <c r="AE122" s="22">
        <f>AE121+45</f>
        <v>2755</v>
      </c>
      <c r="AF122" s="22">
        <f>AF121+90</f>
        <v>5615</v>
      </c>
      <c r="AG122" s="22">
        <f>45+AG121</f>
        <v>3335</v>
      </c>
      <c r="AH122" s="134"/>
      <c r="AI122" s="134"/>
      <c r="AJ122" s="22"/>
      <c r="AK122" s="572"/>
      <c r="AL122" s="572"/>
      <c r="AM122" s="572">
        <f t="shared" si="54"/>
        <v>21.4673913</v>
      </c>
      <c r="AN122" s="572"/>
      <c r="AO122" s="153">
        <f t="shared" si="12"/>
        <v>460</v>
      </c>
      <c r="AP122" s="22">
        <v>58.0</v>
      </c>
      <c r="AQ122" s="134">
        <v>29.0</v>
      </c>
      <c r="AR122" s="134">
        <v>29.0</v>
      </c>
      <c r="AS122" s="134">
        <f t="shared" si="13"/>
        <v>115</v>
      </c>
      <c r="AT122" s="22">
        <v>24400.0</v>
      </c>
      <c r="AU122" s="161">
        <v>10065.0</v>
      </c>
      <c r="AV122" s="134">
        <v>12360.0</v>
      </c>
      <c r="AW122" s="134">
        <v>5075.0</v>
      </c>
      <c r="AX122" s="134">
        <v>13520.0</v>
      </c>
      <c r="AY122" s="134">
        <v>6235.0</v>
      </c>
      <c r="AZ122" s="134"/>
      <c r="BA122" s="134"/>
      <c r="BB122" s="90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</row>
    <row r="123" ht="12.75" hidden="1" customHeight="1">
      <c r="A123" s="8"/>
      <c r="B123" s="8"/>
      <c r="C123" s="217" t="s">
        <v>168</v>
      </c>
      <c r="D123" s="217" t="s">
        <v>123</v>
      </c>
      <c r="E123" s="217" t="s">
        <v>178</v>
      </c>
      <c r="F123" s="8"/>
      <c r="G123" s="8"/>
      <c r="H123" s="8"/>
      <c r="I123" s="8"/>
      <c r="J123" s="8"/>
      <c r="K123" s="8"/>
      <c r="L123" s="8"/>
      <c r="M123" s="8"/>
      <c r="N123" s="8"/>
      <c r="O123" s="142"/>
      <c r="P123" s="88">
        <f t="shared" si="212"/>
        <v>464</v>
      </c>
      <c r="Q123" s="160">
        <f>Q122-1</f>
        <v>29</v>
      </c>
      <c r="R123" s="152">
        <f t="shared" ref="R123:W123" si="260">R122</f>
        <v>15</v>
      </c>
      <c r="S123" s="152">
        <f t="shared" si="260"/>
        <v>15</v>
      </c>
      <c r="T123" s="134">
        <f t="shared" si="260"/>
        <v>58</v>
      </c>
      <c r="U123" s="134">
        <f t="shared" si="260"/>
        <v>58</v>
      </c>
      <c r="V123" s="134">
        <f t="shared" si="260"/>
        <v>29</v>
      </c>
      <c r="W123" s="134">
        <f t="shared" si="260"/>
        <v>29</v>
      </c>
      <c r="X123" s="134">
        <f t="shared" si="258"/>
        <v>116</v>
      </c>
      <c r="Y123" s="22"/>
      <c r="Z123" s="22">
        <f>Z122+70</f>
        <v>9945</v>
      </c>
      <c r="AA123" s="22">
        <f>AA122+45</f>
        <v>5510</v>
      </c>
      <c r="AB123" s="152">
        <f t="shared" ref="AB123:AC123" si="261">Z123-Z122</f>
        <v>70</v>
      </c>
      <c r="AC123" s="152">
        <f t="shared" si="261"/>
        <v>45</v>
      </c>
      <c r="AD123" s="22">
        <f t="shared" ref="AD123:AG123" si="262">AD122</f>
        <v>5035</v>
      </c>
      <c r="AE123" s="22">
        <f t="shared" si="262"/>
        <v>2755</v>
      </c>
      <c r="AF123" s="22">
        <f t="shared" si="262"/>
        <v>5615</v>
      </c>
      <c r="AG123" s="22">
        <f t="shared" si="262"/>
        <v>3335</v>
      </c>
      <c r="AH123" s="134"/>
      <c r="AI123" s="134"/>
      <c r="AJ123" s="22"/>
      <c r="AK123" s="572"/>
      <c r="AL123" s="572"/>
      <c r="AM123" s="572">
        <f t="shared" si="54"/>
        <v>21.43318966</v>
      </c>
      <c r="AN123" s="572"/>
      <c r="AO123" s="153">
        <f t="shared" si="12"/>
        <v>464</v>
      </c>
      <c r="AP123" s="22">
        <v>58.0</v>
      </c>
      <c r="AQ123" s="134">
        <v>29.0</v>
      </c>
      <c r="AR123" s="134">
        <v>29.0</v>
      </c>
      <c r="AS123" s="134">
        <f t="shared" si="13"/>
        <v>116</v>
      </c>
      <c r="AT123" s="22">
        <v>24540.0</v>
      </c>
      <c r="AU123" s="161">
        <v>10150.0</v>
      </c>
      <c r="AV123" s="22">
        <v>12360.0</v>
      </c>
      <c r="AW123" s="226">
        <v>5075.0</v>
      </c>
      <c r="AX123" s="134">
        <v>13520.0</v>
      </c>
      <c r="AY123" s="134">
        <v>6235.0</v>
      </c>
      <c r="AZ123" s="134"/>
      <c r="BA123" s="134"/>
      <c r="BB123" s="90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</row>
    <row r="124" ht="12.75" hidden="1" customHeight="1">
      <c r="A124" s="8"/>
      <c r="B124" s="8"/>
      <c r="C124" s="217" t="s">
        <v>169</v>
      </c>
      <c r="D124" s="217" t="s">
        <v>123</v>
      </c>
      <c r="E124" s="217" t="s">
        <v>179</v>
      </c>
      <c r="F124" s="8"/>
      <c r="G124" s="8"/>
      <c r="H124" s="8"/>
      <c r="I124" s="8"/>
      <c r="J124" s="8"/>
      <c r="K124" s="8"/>
      <c r="L124" s="8"/>
      <c r="M124" s="8"/>
      <c r="N124" s="8"/>
      <c r="O124" s="142"/>
      <c r="P124" s="88">
        <f t="shared" si="212"/>
        <v>468</v>
      </c>
      <c r="Q124" s="160">
        <f t="shared" ref="Q124:X124" si="263">Q123+1</f>
        <v>30</v>
      </c>
      <c r="R124" s="152">
        <f t="shared" si="263"/>
        <v>16</v>
      </c>
      <c r="S124" s="152">
        <f t="shared" si="263"/>
        <v>16</v>
      </c>
      <c r="T124" s="134">
        <f t="shared" si="263"/>
        <v>59</v>
      </c>
      <c r="U124" s="134">
        <f t="shared" si="263"/>
        <v>59</v>
      </c>
      <c r="V124" s="134">
        <f t="shared" si="263"/>
        <v>30</v>
      </c>
      <c r="W124" s="134">
        <f t="shared" si="263"/>
        <v>30</v>
      </c>
      <c r="X124" s="134">
        <f t="shared" si="263"/>
        <v>117</v>
      </c>
      <c r="Y124" s="22"/>
      <c r="Z124" s="22">
        <f>Z123+100</f>
        <v>10045</v>
      </c>
      <c r="AA124" s="22">
        <f>AA123+50</f>
        <v>5560</v>
      </c>
      <c r="AB124" s="152">
        <f t="shared" ref="AB124:AC124" si="264">Z124-Z123</f>
        <v>100</v>
      </c>
      <c r="AC124" s="152">
        <f t="shared" si="264"/>
        <v>50</v>
      </c>
      <c r="AD124" s="22">
        <f>AD123+80</f>
        <v>5115</v>
      </c>
      <c r="AE124" s="22">
        <f>AE123+50</f>
        <v>2805</v>
      </c>
      <c r="AF124" s="22">
        <f>AF123+100</f>
        <v>5715</v>
      </c>
      <c r="AG124" s="22">
        <f>AG123+70</f>
        <v>3405</v>
      </c>
      <c r="AH124" s="134"/>
      <c r="AI124" s="134"/>
      <c r="AJ124" s="22"/>
      <c r="AK124" s="572"/>
      <c r="AL124" s="572"/>
      <c r="AM124" s="572">
        <f t="shared" si="54"/>
        <v>21.46367521</v>
      </c>
      <c r="AN124" s="572"/>
      <c r="AO124" s="153">
        <f t="shared" si="12"/>
        <v>468</v>
      </c>
      <c r="AP124" s="22">
        <v>59.0</v>
      </c>
      <c r="AQ124" s="134">
        <v>30.0</v>
      </c>
      <c r="AR124" s="134">
        <v>30.0</v>
      </c>
      <c r="AS124" s="134">
        <f t="shared" si="13"/>
        <v>117</v>
      </c>
      <c r="AT124" s="22">
        <v>24820.0</v>
      </c>
      <c r="AU124" s="161">
        <v>10240.0</v>
      </c>
      <c r="AV124" s="134">
        <v>12640.0</v>
      </c>
      <c r="AW124" s="134">
        <v>5165.0</v>
      </c>
      <c r="AX124" s="134">
        <v>13820.0</v>
      </c>
      <c r="AY124" s="134">
        <v>6345.0</v>
      </c>
      <c r="AZ124" s="134"/>
      <c r="BA124" s="134"/>
      <c r="BB124" s="90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</row>
    <row r="125" ht="12.75" customHeight="1">
      <c r="A125" s="8"/>
      <c r="B125" s="8"/>
      <c r="C125" s="217" t="s">
        <v>123</v>
      </c>
      <c r="D125" s="217" t="s">
        <v>123</v>
      </c>
      <c r="E125" s="217" t="s">
        <v>180</v>
      </c>
      <c r="F125" s="8"/>
      <c r="G125" s="8"/>
      <c r="H125" s="8"/>
      <c r="I125" s="8"/>
      <c r="J125" s="8"/>
      <c r="K125" s="8"/>
      <c r="L125" s="8"/>
      <c r="M125" s="8"/>
      <c r="N125" s="8"/>
      <c r="O125" s="142"/>
      <c r="P125" s="88">
        <f t="shared" si="212"/>
        <v>472</v>
      </c>
      <c r="Q125" s="160">
        <f t="shared" ref="Q125:W125" si="265">Q124</f>
        <v>30</v>
      </c>
      <c r="R125" s="152">
        <f t="shared" si="265"/>
        <v>16</v>
      </c>
      <c r="S125" s="152">
        <f t="shared" si="265"/>
        <v>16</v>
      </c>
      <c r="T125" s="134">
        <f t="shared" si="265"/>
        <v>59</v>
      </c>
      <c r="U125" s="134">
        <f t="shared" si="265"/>
        <v>59</v>
      </c>
      <c r="V125" s="134">
        <f t="shared" si="265"/>
        <v>30</v>
      </c>
      <c r="W125" s="134">
        <f t="shared" si="265"/>
        <v>30</v>
      </c>
      <c r="X125" s="134">
        <f t="shared" ref="X125:X127" si="271">X124+1</f>
        <v>118</v>
      </c>
      <c r="Y125" s="22"/>
      <c r="Z125" s="22">
        <f>Z124+90</f>
        <v>10135</v>
      </c>
      <c r="AA125" s="22">
        <f>AA124+45</f>
        <v>5605</v>
      </c>
      <c r="AB125" s="152">
        <f t="shared" ref="AB125:AC125" si="266">Z125-Z124</f>
        <v>90</v>
      </c>
      <c r="AC125" s="152">
        <f t="shared" si="266"/>
        <v>45</v>
      </c>
      <c r="AD125" s="22">
        <f t="shared" ref="AD125:AG125" si="267">AD124</f>
        <v>5115</v>
      </c>
      <c r="AE125" s="22">
        <f t="shared" si="267"/>
        <v>2805</v>
      </c>
      <c r="AF125" s="22">
        <f t="shared" si="267"/>
        <v>5715</v>
      </c>
      <c r="AG125" s="22">
        <f t="shared" si="267"/>
        <v>3405</v>
      </c>
      <c r="AH125" s="134"/>
      <c r="AI125" s="134"/>
      <c r="AJ125" s="22"/>
      <c r="AK125" s="572"/>
      <c r="AL125" s="572"/>
      <c r="AM125" s="572">
        <f t="shared" si="54"/>
        <v>21.47245763</v>
      </c>
      <c r="AN125" s="572"/>
      <c r="AO125" s="153">
        <f t="shared" si="12"/>
        <v>472</v>
      </c>
      <c r="AP125" s="22">
        <v>59.0</v>
      </c>
      <c r="AQ125" s="134">
        <v>30.0</v>
      </c>
      <c r="AR125" s="134">
        <v>30.0</v>
      </c>
      <c r="AS125" s="134">
        <f t="shared" si="13"/>
        <v>118</v>
      </c>
      <c r="AT125" s="22">
        <v>24960.0</v>
      </c>
      <c r="AU125" s="161">
        <v>10325.0</v>
      </c>
      <c r="AV125" s="22">
        <v>12640.0</v>
      </c>
      <c r="AW125" s="22">
        <v>5165.0</v>
      </c>
      <c r="AX125" s="134">
        <v>13820.0</v>
      </c>
      <c r="AY125" s="134">
        <v>6345.0</v>
      </c>
      <c r="AZ125" s="134"/>
      <c r="BA125" s="134"/>
      <c r="BB125" s="90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</row>
    <row r="126" ht="12.75" hidden="1" customHeight="1">
      <c r="A126" s="8"/>
      <c r="B126" s="8"/>
      <c r="C126" s="22" t="s">
        <v>101</v>
      </c>
      <c r="D126" s="217" t="s">
        <v>101</v>
      </c>
      <c r="E126" s="22" t="s">
        <v>181</v>
      </c>
      <c r="F126" s="8"/>
      <c r="G126" s="8"/>
      <c r="H126" s="8"/>
      <c r="I126" s="8"/>
      <c r="J126" s="8"/>
      <c r="K126" s="8"/>
      <c r="L126" s="8"/>
      <c r="M126" s="8"/>
      <c r="N126" s="8"/>
      <c r="O126" s="142"/>
      <c r="P126" s="88">
        <f t="shared" si="212"/>
        <v>476</v>
      </c>
      <c r="Q126" s="160">
        <f>Q125+1</f>
        <v>31</v>
      </c>
      <c r="R126" s="152">
        <f t="shared" ref="R126:S126" si="268">R125-1</f>
        <v>15</v>
      </c>
      <c r="S126" s="152">
        <f t="shared" si="268"/>
        <v>15</v>
      </c>
      <c r="T126" s="134">
        <f t="shared" ref="T126:U126" si="269">T125+1</f>
        <v>60</v>
      </c>
      <c r="U126" s="134">
        <f t="shared" si="269"/>
        <v>60</v>
      </c>
      <c r="V126" s="134">
        <f t="shared" ref="V126:W126" si="270">V125</f>
        <v>30</v>
      </c>
      <c r="W126" s="134">
        <f t="shared" si="270"/>
        <v>30</v>
      </c>
      <c r="X126" s="134">
        <f t="shared" si="271"/>
        <v>119</v>
      </c>
      <c r="Y126" s="22"/>
      <c r="Z126" s="22">
        <f>Z125+80</f>
        <v>10215</v>
      </c>
      <c r="AA126" s="22">
        <f>AA125+50</f>
        <v>5655</v>
      </c>
      <c r="AB126" s="152">
        <f t="shared" ref="AB126:AC126" si="272">Z126-Z125</f>
        <v>80</v>
      </c>
      <c r="AC126" s="152">
        <f t="shared" si="272"/>
        <v>50</v>
      </c>
      <c r="AD126" s="22">
        <f>AD125+70</f>
        <v>5185</v>
      </c>
      <c r="AE126" s="22">
        <f>AE125+45</f>
        <v>2850</v>
      </c>
      <c r="AF126" s="22">
        <f>AF125+70</f>
        <v>5785</v>
      </c>
      <c r="AG126" s="22">
        <f>45+AG125</f>
        <v>3450</v>
      </c>
      <c r="AH126" s="22"/>
      <c r="AI126" s="22"/>
      <c r="AJ126" s="22"/>
      <c r="AK126" s="572"/>
      <c r="AL126" s="572"/>
      <c r="AM126" s="572">
        <f t="shared" si="54"/>
        <v>21.46008403</v>
      </c>
      <c r="AN126" s="572"/>
      <c r="AO126" s="153">
        <f t="shared" si="12"/>
        <v>476</v>
      </c>
      <c r="AP126" s="22">
        <v>60.0</v>
      </c>
      <c r="AQ126" s="134">
        <v>30.0</v>
      </c>
      <c r="AR126" s="134">
        <v>30.0</v>
      </c>
      <c r="AS126" s="134">
        <f t="shared" si="13"/>
        <v>119</v>
      </c>
      <c r="AT126" s="22">
        <v>25240.0</v>
      </c>
      <c r="AU126" s="161">
        <v>10415.0</v>
      </c>
      <c r="AV126" s="134">
        <v>12780.0</v>
      </c>
      <c r="AW126" s="134">
        <v>5250.0</v>
      </c>
      <c r="AX126" s="134">
        <v>13980.0</v>
      </c>
      <c r="AY126" s="134">
        <v>6450.0</v>
      </c>
      <c r="AZ126" s="134"/>
      <c r="BA126" s="134"/>
      <c r="BB126" s="90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</row>
    <row r="127" ht="12.75" hidden="1" customHeight="1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142"/>
      <c r="P127" s="88">
        <f t="shared" si="212"/>
        <v>480</v>
      </c>
      <c r="Q127" s="160">
        <f>Q126-1</f>
        <v>30</v>
      </c>
      <c r="R127" s="152">
        <f t="shared" ref="R127:W127" si="273">R126</f>
        <v>15</v>
      </c>
      <c r="S127" s="152">
        <f t="shared" si="273"/>
        <v>15</v>
      </c>
      <c r="T127" s="134">
        <f t="shared" si="273"/>
        <v>60</v>
      </c>
      <c r="U127" s="134">
        <f t="shared" si="273"/>
        <v>60</v>
      </c>
      <c r="V127" s="134">
        <f t="shared" si="273"/>
        <v>30</v>
      </c>
      <c r="W127" s="134">
        <f t="shared" si="273"/>
        <v>30</v>
      </c>
      <c r="X127" s="134">
        <f t="shared" si="271"/>
        <v>120</v>
      </c>
      <c r="Y127" s="22"/>
      <c r="Z127" s="22">
        <f>Z126+70</f>
        <v>10285</v>
      </c>
      <c r="AA127" s="22">
        <f>AA126+45</f>
        <v>5700</v>
      </c>
      <c r="AB127" s="152">
        <f t="shared" ref="AB127:AC127" si="274">Z127-Z126</f>
        <v>70</v>
      </c>
      <c r="AC127" s="152">
        <f t="shared" si="274"/>
        <v>45</v>
      </c>
      <c r="AD127" s="22">
        <f t="shared" ref="AD127:AG127" si="275">AD126</f>
        <v>5185</v>
      </c>
      <c r="AE127" s="22">
        <f t="shared" si="275"/>
        <v>2850</v>
      </c>
      <c r="AF127" s="22">
        <f t="shared" si="275"/>
        <v>5785</v>
      </c>
      <c r="AG127" s="22">
        <f t="shared" si="275"/>
        <v>3450</v>
      </c>
      <c r="AH127" s="22"/>
      <c r="AI127" s="22"/>
      <c r="AJ127" s="22"/>
      <c r="AK127" s="572"/>
      <c r="AL127" s="572"/>
      <c r="AM127" s="572">
        <f t="shared" si="54"/>
        <v>21.42708333</v>
      </c>
      <c r="AN127" s="572"/>
      <c r="AO127" s="153">
        <f t="shared" si="12"/>
        <v>480</v>
      </c>
      <c r="AP127" s="22">
        <v>60.0</v>
      </c>
      <c r="AQ127" s="134">
        <v>30.0</v>
      </c>
      <c r="AR127" s="134">
        <v>30.0</v>
      </c>
      <c r="AS127" s="134">
        <f t="shared" si="13"/>
        <v>120</v>
      </c>
      <c r="AT127" s="22">
        <v>25380.0</v>
      </c>
      <c r="AU127" s="161">
        <v>10500.0</v>
      </c>
      <c r="AV127" s="22">
        <v>12780.0</v>
      </c>
      <c r="AW127" s="226">
        <v>5250.0</v>
      </c>
      <c r="AX127" s="134">
        <v>13980.0</v>
      </c>
      <c r="AY127" s="134">
        <v>6450.0</v>
      </c>
      <c r="AZ127" s="134"/>
      <c r="BA127" s="134"/>
      <c r="BB127" s="90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</row>
    <row r="128" ht="12.75" hidden="1" customHeight="1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142"/>
      <c r="P128" s="88">
        <f t="shared" si="212"/>
        <v>484</v>
      </c>
      <c r="Q128" s="160">
        <f t="shared" ref="Q128:X128" si="276">Q127+1</f>
        <v>31</v>
      </c>
      <c r="R128" s="152">
        <f t="shared" si="276"/>
        <v>16</v>
      </c>
      <c r="S128" s="152">
        <f t="shared" si="276"/>
        <v>16</v>
      </c>
      <c r="T128" s="134">
        <f t="shared" si="276"/>
        <v>61</v>
      </c>
      <c r="U128" s="134">
        <f t="shared" si="276"/>
        <v>61</v>
      </c>
      <c r="V128" s="134">
        <f t="shared" si="276"/>
        <v>31</v>
      </c>
      <c r="W128" s="134">
        <f t="shared" si="276"/>
        <v>31</v>
      </c>
      <c r="X128" s="134">
        <f t="shared" si="276"/>
        <v>121</v>
      </c>
      <c r="Y128" s="22"/>
      <c r="Z128" s="22">
        <f>Z127+100</f>
        <v>10385</v>
      </c>
      <c r="AA128" s="22">
        <f>AA127+50</f>
        <v>5750</v>
      </c>
      <c r="AB128" s="152">
        <f t="shared" ref="AB128:AC128" si="277">Z128-Z127</f>
        <v>100</v>
      </c>
      <c r="AC128" s="152">
        <f t="shared" si="277"/>
        <v>50</v>
      </c>
      <c r="AD128" s="22">
        <f>AD127+100</f>
        <v>5285</v>
      </c>
      <c r="AE128" s="22">
        <f>AE127+50</f>
        <v>2900</v>
      </c>
      <c r="AF128" s="22">
        <f>AF127+120</f>
        <v>5905</v>
      </c>
      <c r="AG128" s="22">
        <f>AG127+70</f>
        <v>3520</v>
      </c>
      <c r="AH128" s="22"/>
      <c r="AI128" s="22"/>
      <c r="AJ128" s="22"/>
      <c r="AK128" s="572"/>
      <c r="AL128" s="572"/>
      <c r="AM128" s="572">
        <f t="shared" si="54"/>
        <v>21.45661157</v>
      </c>
      <c r="AN128" s="572"/>
      <c r="AO128" s="153">
        <f t="shared" si="12"/>
        <v>484</v>
      </c>
      <c r="AP128" s="22">
        <v>61.0</v>
      </c>
      <c r="AQ128" s="134">
        <v>31.0</v>
      </c>
      <c r="AR128" s="134">
        <v>31.0</v>
      </c>
      <c r="AS128" s="134">
        <f t="shared" si="13"/>
        <v>121</v>
      </c>
      <c r="AT128" s="22">
        <v>25660.0</v>
      </c>
      <c r="AU128" s="161">
        <v>10590.0</v>
      </c>
      <c r="AV128" s="134">
        <v>13060.0</v>
      </c>
      <c r="AW128" s="134">
        <v>5340.0</v>
      </c>
      <c r="AX128" s="134">
        <v>14280.0</v>
      </c>
      <c r="AY128" s="134">
        <v>6560.0</v>
      </c>
      <c r="AZ128" s="134"/>
      <c r="BA128" s="134"/>
      <c r="BB128" s="90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</row>
    <row r="129" ht="12.75" customHeight="1">
      <c r="A129" s="8"/>
      <c r="B129" s="8"/>
      <c r="C129" s="8"/>
      <c r="D129" s="232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142"/>
      <c r="P129" s="88">
        <f t="shared" si="212"/>
        <v>488</v>
      </c>
      <c r="Q129" s="160">
        <f t="shared" ref="Q129:W129" si="278">Q128</f>
        <v>31</v>
      </c>
      <c r="R129" s="152">
        <f t="shared" si="278"/>
        <v>16</v>
      </c>
      <c r="S129" s="152">
        <f t="shared" si="278"/>
        <v>16</v>
      </c>
      <c r="T129" s="134">
        <f t="shared" si="278"/>
        <v>61</v>
      </c>
      <c r="U129" s="134">
        <f t="shared" si="278"/>
        <v>61</v>
      </c>
      <c r="V129" s="134">
        <f t="shared" si="278"/>
        <v>31</v>
      </c>
      <c r="W129" s="134">
        <f t="shared" si="278"/>
        <v>31</v>
      </c>
      <c r="X129" s="134">
        <f t="shared" ref="X129:X131" si="284">X128+1</f>
        <v>122</v>
      </c>
      <c r="Y129" s="22"/>
      <c r="Z129" s="22">
        <f>Z128+90</f>
        <v>10475</v>
      </c>
      <c r="AA129" s="22">
        <f>AA128+45</f>
        <v>5795</v>
      </c>
      <c r="AB129" s="152">
        <f t="shared" ref="AB129:AC129" si="279">Z129-Z128</f>
        <v>90</v>
      </c>
      <c r="AC129" s="152">
        <f t="shared" si="279"/>
        <v>45</v>
      </c>
      <c r="AD129" s="22">
        <f t="shared" ref="AD129:AG129" si="280">AD128</f>
        <v>5285</v>
      </c>
      <c r="AE129" s="22">
        <f t="shared" si="280"/>
        <v>2900</v>
      </c>
      <c r="AF129" s="22">
        <f t="shared" si="280"/>
        <v>5905</v>
      </c>
      <c r="AG129" s="22">
        <f t="shared" si="280"/>
        <v>3520</v>
      </c>
      <c r="AH129" s="22"/>
      <c r="AI129" s="22"/>
      <c r="AJ129" s="22"/>
      <c r="AK129" s="572"/>
      <c r="AL129" s="572"/>
      <c r="AM129" s="572">
        <f t="shared" si="54"/>
        <v>21.46516393</v>
      </c>
      <c r="AN129" s="572"/>
      <c r="AO129" s="153">
        <f t="shared" si="12"/>
        <v>488</v>
      </c>
      <c r="AP129" s="22">
        <v>61.0</v>
      </c>
      <c r="AQ129" s="134">
        <v>31.0</v>
      </c>
      <c r="AR129" s="134">
        <v>31.0</v>
      </c>
      <c r="AS129" s="134">
        <f t="shared" si="13"/>
        <v>122</v>
      </c>
      <c r="AT129" s="22">
        <v>25800.0</v>
      </c>
      <c r="AU129" s="161">
        <v>10675.0</v>
      </c>
      <c r="AV129" s="22">
        <v>13060.0</v>
      </c>
      <c r="AW129" s="22">
        <v>5340.0</v>
      </c>
      <c r="AX129" s="134">
        <v>14280.0</v>
      </c>
      <c r="AY129" s="134">
        <v>6560.0</v>
      </c>
      <c r="AZ129" s="134"/>
      <c r="BA129" s="134"/>
      <c r="BB129" s="90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</row>
    <row r="130" ht="12.75" hidden="1" customHeight="1">
      <c r="A130" s="8"/>
      <c r="B130" s="8"/>
      <c r="C130" s="8"/>
      <c r="D130" s="232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142"/>
      <c r="P130" s="88">
        <f t="shared" si="212"/>
        <v>492</v>
      </c>
      <c r="Q130" s="160">
        <f>Q129+1</f>
        <v>32</v>
      </c>
      <c r="R130" s="152">
        <f t="shared" ref="R130:S130" si="281">R129</f>
        <v>16</v>
      </c>
      <c r="S130" s="152">
        <f t="shared" si="281"/>
        <v>16</v>
      </c>
      <c r="T130" s="134">
        <f t="shared" ref="T130:U130" si="282">T129+1</f>
        <v>62</v>
      </c>
      <c r="U130" s="134">
        <f t="shared" si="282"/>
        <v>62</v>
      </c>
      <c r="V130" s="134">
        <f t="shared" ref="V130:W130" si="283">V129</f>
        <v>31</v>
      </c>
      <c r="W130" s="134">
        <f t="shared" si="283"/>
        <v>31</v>
      </c>
      <c r="X130" s="134">
        <f t="shared" si="284"/>
        <v>123</v>
      </c>
      <c r="Y130" s="22"/>
      <c r="Z130" s="22">
        <f>Z129+80</f>
        <v>10555</v>
      </c>
      <c r="AA130" s="22">
        <f>AA129+50</f>
        <v>5845</v>
      </c>
      <c r="AB130" s="152">
        <f t="shared" ref="AB130:AC130" si="285">Z130-Z129</f>
        <v>80</v>
      </c>
      <c r="AC130" s="152">
        <f t="shared" si="285"/>
        <v>50</v>
      </c>
      <c r="AD130" s="22">
        <f>AD129+90</f>
        <v>5375</v>
      </c>
      <c r="AE130" s="22">
        <f>AE129+45</f>
        <v>2945</v>
      </c>
      <c r="AF130" s="22">
        <f>AF129+90</f>
        <v>5995</v>
      </c>
      <c r="AG130" s="22">
        <f>45+AG129</f>
        <v>3565</v>
      </c>
      <c r="AH130" s="22"/>
      <c r="AI130" s="22"/>
      <c r="AJ130" s="22"/>
      <c r="AK130" s="572"/>
      <c r="AL130" s="572"/>
      <c r="AM130" s="572">
        <f t="shared" si="54"/>
        <v>21.45325203</v>
      </c>
      <c r="AN130" s="572"/>
      <c r="AO130" s="153">
        <f t="shared" si="12"/>
        <v>492</v>
      </c>
      <c r="AP130" s="22">
        <v>62.0</v>
      </c>
      <c r="AQ130" s="134">
        <v>31.0</v>
      </c>
      <c r="AR130" s="134">
        <v>31.0</v>
      </c>
      <c r="AS130" s="134">
        <f t="shared" si="13"/>
        <v>123</v>
      </c>
      <c r="AT130" s="22">
        <v>26080.0</v>
      </c>
      <c r="AU130" s="161">
        <v>10765.0</v>
      </c>
      <c r="AV130" s="134">
        <v>13200.0</v>
      </c>
      <c r="AW130" s="134">
        <v>5425.0</v>
      </c>
      <c r="AX130" s="134">
        <v>14440.0</v>
      </c>
      <c r="AY130" s="134">
        <v>6665.0</v>
      </c>
      <c r="AZ130" s="134"/>
      <c r="BA130" s="134"/>
      <c r="BB130" s="90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</row>
    <row r="131" ht="12.75" hidden="1" customHeight="1">
      <c r="A131" s="8"/>
      <c r="B131" s="8"/>
      <c r="C131" s="8"/>
      <c r="D131" s="232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142"/>
      <c r="P131" s="88">
        <f t="shared" si="212"/>
        <v>496</v>
      </c>
      <c r="Q131" s="160">
        <f>Q130-1</f>
        <v>31</v>
      </c>
      <c r="R131" s="152">
        <f t="shared" ref="R131:W131" si="286">R130</f>
        <v>16</v>
      </c>
      <c r="S131" s="152">
        <f t="shared" si="286"/>
        <v>16</v>
      </c>
      <c r="T131" s="134">
        <f t="shared" si="286"/>
        <v>62</v>
      </c>
      <c r="U131" s="134">
        <f t="shared" si="286"/>
        <v>62</v>
      </c>
      <c r="V131" s="134">
        <f t="shared" si="286"/>
        <v>31</v>
      </c>
      <c r="W131" s="134">
        <f t="shared" si="286"/>
        <v>31</v>
      </c>
      <c r="X131" s="134">
        <f t="shared" si="284"/>
        <v>124</v>
      </c>
      <c r="Y131" s="22"/>
      <c r="Z131" s="22">
        <f>Z130+70</f>
        <v>10625</v>
      </c>
      <c r="AA131" s="22">
        <f>AA130+45</f>
        <v>5890</v>
      </c>
      <c r="AB131" s="152">
        <f t="shared" ref="AB131:AC131" si="287">Z131-Z130</f>
        <v>70</v>
      </c>
      <c r="AC131" s="152">
        <f t="shared" si="287"/>
        <v>45</v>
      </c>
      <c r="AD131" s="22">
        <f t="shared" ref="AD131:AG131" si="288">AD130</f>
        <v>5375</v>
      </c>
      <c r="AE131" s="22">
        <f t="shared" si="288"/>
        <v>2945</v>
      </c>
      <c r="AF131" s="22">
        <f t="shared" si="288"/>
        <v>5995</v>
      </c>
      <c r="AG131" s="22">
        <f t="shared" si="288"/>
        <v>3565</v>
      </c>
      <c r="AH131" s="22"/>
      <c r="AI131" s="22"/>
      <c r="AJ131" s="22"/>
      <c r="AK131" s="572"/>
      <c r="AL131" s="572"/>
      <c r="AM131" s="572">
        <f t="shared" si="54"/>
        <v>21.42137097</v>
      </c>
      <c r="AN131" s="572"/>
      <c r="AO131" s="153">
        <f t="shared" si="12"/>
        <v>496</v>
      </c>
      <c r="AP131" s="22">
        <v>62.0</v>
      </c>
      <c r="AQ131" s="134">
        <v>31.0</v>
      </c>
      <c r="AR131" s="134">
        <v>31.0</v>
      </c>
      <c r="AS131" s="134">
        <f t="shared" si="13"/>
        <v>124</v>
      </c>
      <c r="AT131" s="22">
        <v>26220.0</v>
      </c>
      <c r="AU131" s="161">
        <v>10850.0</v>
      </c>
      <c r="AV131" s="22">
        <v>13200.0</v>
      </c>
      <c r="AW131" s="226">
        <v>5425.0</v>
      </c>
      <c r="AX131" s="134">
        <v>14440.0</v>
      </c>
      <c r="AY131" s="134">
        <v>6665.0</v>
      </c>
      <c r="AZ131" s="134"/>
      <c r="BA131" s="134"/>
      <c r="BB131" s="90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</row>
    <row r="132" ht="12.75" hidden="1" customHeight="1">
      <c r="A132" s="8"/>
      <c r="B132" s="8"/>
      <c r="C132" s="8"/>
      <c r="D132" s="232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142"/>
      <c r="P132" s="88">
        <f t="shared" si="212"/>
        <v>500</v>
      </c>
      <c r="Q132" s="160">
        <f t="shared" ref="Q132:X132" si="289">Q131+1</f>
        <v>32</v>
      </c>
      <c r="R132" s="152">
        <f t="shared" si="289"/>
        <v>17</v>
      </c>
      <c r="S132" s="152">
        <f t="shared" si="289"/>
        <v>17</v>
      </c>
      <c r="T132" s="134">
        <f t="shared" si="289"/>
        <v>63</v>
      </c>
      <c r="U132" s="134">
        <f t="shared" si="289"/>
        <v>63</v>
      </c>
      <c r="V132" s="134">
        <f t="shared" si="289"/>
        <v>32</v>
      </c>
      <c r="W132" s="134">
        <f t="shared" si="289"/>
        <v>32</v>
      </c>
      <c r="X132" s="134">
        <f t="shared" si="289"/>
        <v>125</v>
      </c>
      <c r="Y132" s="22"/>
      <c r="Z132" s="22">
        <f>Z131+100</f>
        <v>10725</v>
      </c>
      <c r="AA132" s="22">
        <f>AA131+50</f>
        <v>5940</v>
      </c>
      <c r="AB132" s="152">
        <f t="shared" ref="AB132:AC132" si="290">Z132-Z131</f>
        <v>100</v>
      </c>
      <c r="AC132" s="152">
        <f t="shared" si="290"/>
        <v>50</v>
      </c>
      <c r="AD132" s="22">
        <f>AD131+80</f>
        <v>5455</v>
      </c>
      <c r="AE132" s="22">
        <f>AE131+50</f>
        <v>2995</v>
      </c>
      <c r="AF132" s="22">
        <f>AF131+100</f>
        <v>6095</v>
      </c>
      <c r="AG132" s="22">
        <f>AG131+70</f>
        <v>3635</v>
      </c>
      <c r="AH132" s="22"/>
      <c r="AI132" s="22"/>
      <c r="AJ132" s="22"/>
      <c r="AK132" s="572"/>
      <c r="AL132" s="572"/>
      <c r="AM132" s="572">
        <f t="shared" si="54"/>
        <v>21.45</v>
      </c>
      <c r="AN132" s="572"/>
      <c r="AO132" s="153">
        <f t="shared" si="12"/>
        <v>500</v>
      </c>
      <c r="AP132" s="22">
        <v>63.0</v>
      </c>
      <c r="AQ132" s="134">
        <v>32.0</v>
      </c>
      <c r="AR132" s="134">
        <v>32.0</v>
      </c>
      <c r="AS132" s="134">
        <f t="shared" si="13"/>
        <v>125</v>
      </c>
      <c r="AT132" s="22">
        <v>26500.0</v>
      </c>
      <c r="AU132" s="161">
        <v>10940.0</v>
      </c>
      <c r="AV132" s="22">
        <v>13480.0</v>
      </c>
      <c r="AW132" s="134">
        <v>5515.0</v>
      </c>
      <c r="AX132" s="134">
        <v>14740.0</v>
      </c>
      <c r="AY132" s="134">
        <v>6775.0</v>
      </c>
      <c r="AZ132" s="134"/>
      <c r="BA132" s="134"/>
      <c r="BB132" s="90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</row>
    <row r="133" ht="12.75" customHeight="1">
      <c r="A133" s="8"/>
      <c r="B133" s="8"/>
      <c r="C133" s="8"/>
      <c r="D133" s="232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142"/>
      <c r="P133" s="88">
        <f t="shared" si="212"/>
        <v>504</v>
      </c>
      <c r="Q133" s="160">
        <f t="shared" ref="Q133:W133" si="291">Q132</f>
        <v>32</v>
      </c>
      <c r="R133" s="152">
        <f t="shared" si="291"/>
        <v>17</v>
      </c>
      <c r="S133" s="152">
        <f t="shared" si="291"/>
        <v>17</v>
      </c>
      <c r="T133" s="134">
        <f t="shared" si="291"/>
        <v>63</v>
      </c>
      <c r="U133" s="134">
        <f t="shared" si="291"/>
        <v>63</v>
      </c>
      <c r="V133" s="134">
        <f t="shared" si="291"/>
        <v>32</v>
      </c>
      <c r="W133" s="134">
        <f t="shared" si="291"/>
        <v>32</v>
      </c>
      <c r="X133" s="134">
        <f t="shared" ref="X133:X135" si="297">X132+1</f>
        <v>126</v>
      </c>
      <c r="Y133" s="22"/>
      <c r="Z133" s="22">
        <f>Z132+90</f>
        <v>10815</v>
      </c>
      <c r="AA133" s="22">
        <f>AA132+45</f>
        <v>5985</v>
      </c>
      <c r="AB133" s="152">
        <f t="shared" ref="AB133:AC133" si="292">Z133-Z132</f>
        <v>90</v>
      </c>
      <c r="AC133" s="152">
        <f t="shared" si="292"/>
        <v>45</v>
      </c>
      <c r="AD133" s="22">
        <f t="shared" ref="AD133:AG133" si="293">AD132</f>
        <v>5455</v>
      </c>
      <c r="AE133" s="22">
        <f t="shared" si="293"/>
        <v>2995</v>
      </c>
      <c r="AF133" s="22">
        <f t="shared" si="293"/>
        <v>6095</v>
      </c>
      <c r="AG133" s="22">
        <f t="shared" si="293"/>
        <v>3635</v>
      </c>
      <c r="AH133" s="22"/>
      <c r="AI133" s="22"/>
      <c r="AJ133" s="22"/>
      <c r="AK133" s="572"/>
      <c r="AL133" s="572"/>
      <c r="AM133" s="572">
        <f t="shared" si="54"/>
        <v>21.45833333</v>
      </c>
      <c r="AN133" s="572"/>
      <c r="AO133" s="153"/>
      <c r="AP133" s="22"/>
      <c r="AQ133" s="22"/>
      <c r="AR133" s="22"/>
      <c r="AS133" s="22"/>
      <c r="AT133" s="22"/>
      <c r="AU133" s="22"/>
      <c r="AV133" s="22"/>
      <c r="AW133" s="22"/>
      <c r="AX133" s="134"/>
      <c r="AY133" s="134"/>
      <c r="AZ133" s="134"/>
      <c r="BA133" s="134"/>
      <c r="BB133" s="90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</row>
    <row r="134" ht="12.75" hidden="1" customHeight="1">
      <c r="A134" s="8"/>
      <c r="B134" s="8"/>
      <c r="C134" s="8"/>
      <c r="D134" s="232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142"/>
      <c r="P134" s="88">
        <f t="shared" si="212"/>
        <v>508</v>
      </c>
      <c r="Q134" s="160">
        <f>Q133+1</f>
        <v>33</v>
      </c>
      <c r="R134" s="152">
        <f t="shared" ref="R134:S134" si="294">R133-1</f>
        <v>16</v>
      </c>
      <c r="S134" s="152">
        <f t="shared" si="294"/>
        <v>16</v>
      </c>
      <c r="T134" s="134">
        <f t="shared" ref="T134:U134" si="295">T133+1</f>
        <v>64</v>
      </c>
      <c r="U134" s="134">
        <f t="shared" si="295"/>
        <v>64</v>
      </c>
      <c r="V134" s="134">
        <f t="shared" ref="V134:W134" si="296">V133</f>
        <v>32</v>
      </c>
      <c r="W134" s="134">
        <f t="shared" si="296"/>
        <v>32</v>
      </c>
      <c r="X134" s="134">
        <f t="shared" si="297"/>
        <v>127</v>
      </c>
      <c r="Y134" s="22"/>
      <c r="Z134" s="22">
        <f>Z133+80</f>
        <v>10895</v>
      </c>
      <c r="AA134" s="22">
        <f>AA133+50</f>
        <v>6035</v>
      </c>
      <c r="AB134" s="152">
        <f t="shared" ref="AB134:AC134" si="298">Z134-Z133</f>
        <v>80</v>
      </c>
      <c r="AC134" s="152">
        <f t="shared" si="298"/>
        <v>50</v>
      </c>
      <c r="AD134" s="22">
        <f>AD133+70</f>
        <v>5525</v>
      </c>
      <c r="AE134" s="22">
        <f>AE133+45</f>
        <v>3040</v>
      </c>
      <c r="AF134" s="22">
        <f>AF133+70</f>
        <v>6165</v>
      </c>
      <c r="AG134" s="22">
        <f>45+AG133</f>
        <v>3680</v>
      </c>
      <c r="AH134" s="22"/>
      <c r="AI134" s="22"/>
      <c r="AJ134" s="22"/>
      <c r="AK134" s="572"/>
      <c r="AL134" s="572"/>
      <c r="AM134" s="572">
        <f t="shared" si="54"/>
        <v>21.44685039</v>
      </c>
      <c r="AN134" s="572"/>
      <c r="AO134" s="153"/>
      <c r="AP134" s="22"/>
      <c r="AQ134" s="22"/>
      <c r="AR134" s="22"/>
      <c r="AS134" s="22"/>
      <c r="AT134" s="22"/>
      <c r="AU134" s="22"/>
      <c r="AV134" s="22"/>
      <c r="AW134" s="134"/>
      <c r="AX134" s="134"/>
      <c r="AY134" s="134"/>
      <c r="AZ134" s="134"/>
      <c r="BA134" s="134"/>
      <c r="BB134" s="90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</row>
    <row r="135" ht="12.75" hidden="1" customHeight="1">
      <c r="A135" s="8"/>
      <c r="B135" s="8"/>
      <c r="C135" s="8" t="s">
        <v>182</v>
      </c>
      <c r="D135" s="232" t="s">
        <v>129</v>
      </c>
      <c r="E135" s="232" t="s">
        <v>183</v>
      </c>
      <c r="F135" s="8"/>
      <c r="G135" s="8"/>
      <c r="H135" s="8"/>
      <c r="I135" s="8"/>
      <c r="J135" s="8"/>
      <c r="K135" s="8"/>
      <c r="L135" s="8"/>
      <c r="M135" s="8"/>
      <c r="N135" s="8"/>
      <c r="O135" s="142"/>
      <c r="P135" s="88">
        <f t="shared" si="212"/>
        <v>512</v>
      </c>
      <c r="Q135" s="160">
        <f>Q134-1</f>
        <v>32</v>
      </c>
      <c r="R135" s="152">
        <f t="shared" ref="R135:W135" si="299">R134</f>
        <v>16</v>
      </c>
      <c r="S135" s="152">
        <f t="shared" si="299"/>
        <v>16</v>
      </c>
      <c r="T135" s="134">
        <f t="shared" si="299"/>
        <v>64</v>
      </c>
      <c r="U135" s="134">
        <f t="shared" si="299"/>
        <v>64</v>
      </c>
      <c r="V135" s="134">
        <f t="shared" si="299"/>
        <v>32</v>
      </c>
      <c r="W135" s="134">
        <f t="shared" si="299"/>
        <v>32</v>
      </c>
      <c r="X135" s="134">
        <f t="shared" si="297"/>
        <v>128</v>
      </c>
      <c r="Y135" s="22"/>
      <c r="Z135" s="22">
        <f>Z134+70</f>
        <v>10965</v>
      </c>
      <c r="AA135" s="22">
        <f>AA134+45</f>
        <v>6080</v>
      </c>
      <c r="AB135" s="152">
        <f t="shared" ref="AB135:AC135" si="300">Z135-Z134</f>
        <v>70</v>
      </c>
      <c r="AC135" s="152">
        <f t="shared" si="300"/>
        <v>45</v>
      </c>
      <c r="AD135" s="22">
        <f t="shared" ref="AD135:AG135" si="301">AD134</f>
        <v>5525</v>
      </c>
      <c r="AE135" s="22">
        <f t="shared" si="301"/>
        <v>3040</v>
      </c>
      <c r="AF135" s="22">
        <f t="shared" si="301"/>
        <v>6165</v>
      </c>
      <c r="AG135" s="22">
        <f t="shared" si="301"/>
        <v>3680</v>
      </c>
      <c r="AH135" s="22"/>
      <c r="AI135" s="22"/>
      <c r="AJ135" s="22"/>
      <c r="AK135" s="572"/>
      <c r="AL135" s="572"/>
      <c r="AM135" s="572">
        <f t="shared" si="54"/>
        <v>21.41601563</v>
      </c>
      <c r="AN135" s="572"/>
      <c r="AO135" s="153"/>
      <c r="AP135" s="22"/>
      <c r="AQ135" s="22"/>
      <c r="AR135" s="22"/>
      <c r="AS135" s="22"/>
      <c r="AT135" s="22"/>
      <c r="AU135" s="22"/>
      <c r="AV135" s="22"/>
      <c r="AW135" s="226"/>
      <c r="AX135" s="134"/>
      <c r="AY135" s="134"/>
      <c r="AZ135" s="134"/>
      <c r="BA135" s="134"/>
      <c r="BB135" s="90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</row>
    <row r="136" ht="12.75" hidden="1" customHeight="1">
      <c r="A136" s="8"/>
      <c r="B136" s="8"/>
      <c r="C136" s="8" t="s">
        <v>184</v>
      </c>
      <c r="D136" s="232" t="s">
        <v>137</v>
      </c>
      <c r="E136" s="232" t="s">
        <v>185</v>
      </c>
      <c r="F136" s="8"/>
      <c r="G136" s="8"/>
      <c r="H136" s="8"/>
      <c r="I136" s="8"/>
      <c r="J136" s="8"/>
      <c r="K136" s="8"/>
      <c r="L136" s="8"/>
      <c r="M136" s="8"/>
      <c r="N136" s="8"/>
      <c r="O136" s="142"/>
      <c r="P136" s="88">
        <f t="shared" si="212"/>
        <v>516</v>
      </c>
      <c r="Q136" s="160">
        <f t="shared" ref="Q136:X136" si="302">Q135+1</f>
        <v>33</v>
      </c>
      <c r="R136" s="152">
        <f t="shared" si="302"/>
        <v>17</v>
      </c>
      <c r="S136" s="152">
        <f t="shared" si="302"/>
        <v>17</v>
      </c>
      <c r="T136" s="134">
        <f t="shared" si="302"/>
        <v>65</v>
      </c>
      <c r="U136" s="134">
        <f t="shared" si="302"/>
        <v>65</v>
      </c>
      <c r="V136" s="134">
        <f t="shared" si="302"/>
        <v>33</v>
      </c>
      <c r="W136" s="134">
        <f t="shared" si="302"/>
        <v>33</v>
      </c>
      <c r="X136" s="134">
        <f t="shared" si="302"/>
        <v>129</v>
      </c>
      <c r="Y136" s="22"/>
      <c r="Z136" s="22">
        <f>Z135+100</f>
        <v>11065</v>
      </c>
      <c r="AA136" s="22">
        <f>AA135+50</f>
        <v>6130</v>
      </c>
      <c r="AB136" s="152">
        <f t="shared" ref="AB136:AC136" si="303">Z136-Z135</f>
        <v>100</v>
      </c>
      <c r="AC136" s="152">
        <f t="shared" si="303"/>
        <v>50</v>
      </c>
      <c r="AD136" s="22">
        <f>AD135+100</f>
        <v>5625</v>
      </c>
      <c r="AE136" s="22">
        <f>AE135+50</f>
        <v>3090</v>
      </c>
      <c r="AF136" s="22">
        <f>AF135+120</f>
        <v>6285</v>
      </c>
      <c r="AG136" s="22">
        <f>AG135+70</f>
        <v>3750</v>
      </c>
      <c r="AH136" s="22"/>
      <c r="AI136" s="22"/>
      <c r="AJ136" s="22"/>
      <c r="AK136" s="572"/>
      <c r="AL136" s="572"/>
      <c r="AM136" s="572">
        <f t="shared" si="54"/>
        <v>21.44379845</v>
      </c>
      <c r="AN136" s="572"/>
      <c r="AO136" s="153"/>
      <c r="AP136" s="22"/>
      <c r="AQ136" s="22"/>
      <c r="AR136" s="22"/>
      <c r="AS136" s="22"/>
      <c r="AT136" s="22"/>
      <c r="AU136" s="22"/>
      <c r="AV136" s="22"/>
      <c r="AW136" s="134"/>
      <c r="AX136" s="134"/>
      <c r="AY136" s="134"/>
      <c r="AZ136" s="134"/>
      <c r="BA136" s="134"/>
      <c r="BB136" s="90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</row>
    <row r="137" ht="12.75" customHeight="1">
      <c r="A137" s="8"/>
      <c r="B137" s="8"/>
      <c r="C137" s="8" t="s">
        <v>186</v>
      </c>
      <c r="D137" s="1" t="s">
        <v>147</v>
      </c>
      <c r="E137" s="233" t="s">
        <v>187</v>
      </c>
      <c r="F137" s="8"/>
      <c r="G137" s="8"/>
      <c r="H137" s="8"/>
      <c r="I137" s="8"/>
      <c r="J137" s="8"/>
      <c r="K137" s="8"/>
      <c r="L137" s="8"/>
      <c r="M137" s="8"/>
      <c r="N137" s="8"/>
      <c r="O137" s="142"/>
      <c r="P137" s="88">
        <f t="shared" si="212"/>
        <v>520</v>
      </c>
      <c r="Q137" s="160">
        <f t="shared" ref="Q137:W137" si="304">Q136</f>
        <v>33</v>
      </c>
      <c r="R137" s="152">
        <f t="shared" si="304"/>
        <v>17</v>
      </c>
      <c r="S137" s="152">
        <f t="shared" si="304"/>
        <v>17</v>
      </c>
      <c r="T137" s="134">
        <f t="shared" si="304"/>
        <v>65</v>
      </c>
      <c r="U137" s="134">
        <f t="shared" si="304"/>
        <v>65</v>
      </c>
      <c r="V137" s="134">
        <f t="shared" si="304"/>
        <v>33</v>
      </c>
      <c r="W137" s="134">
        <f t="shared" si="304"/>
        <v>33</v>
      </c>
      <c r="X137" s="134">
        <f t="shared" ref="X137:X139" si="310">X136+1</f>
        <v>130</v>
      </c>
      <c r="Y137" s="22"/>
      <c r="Z137" s="22">
        <f>Z136+90</f>
        <v>11155</v>
      </c>
      <c r="AA137" s="22">
        <f>AA136+45</f>
        <v>6175</v>
      </c>
      <c r="AB137" s="152">
        <f t="shared" ref="AB137:AC137" si="305">Z137-Z136</f>
        <v>90</v>
      </c>
      <c r="AC137" s="152">
        <f t="shared" si="305"/>
        <v>45</v>
      </c>
      <c r="AD137" s="22">
        <f t="shared" ref="AD137:AG137" si="306">AD136</f>
        <v>5625</v>
      </c>
      <c r="AE137" s="22">
        <f t="shared" si="306"/>
        <v>3090</v>
      </c>
      <c r="AF137" s="22">
        <f t="shared" si="306"/>
        <v>6285</v>
      </c>
      <c r="AG137" s="22">
        <f t="shared" si="306"/>
        <v>3750</v>
      </c>
      <c r="AH137" s="22"/>
      <c r="AI137" s="22"/>
      <c r="AJ137" s="22"/>
      <c r="AK137" s="572"/>
      <c r="AL137" s="572"/>
      <c r="AM137" s="572">
        <f t="shared" si="54"/>
        <v>21.45192308</v>
      </c>
      <c r="AN137" s="572"/>
      <c r="AO137" s="153"/>
      <c r="AP137" s="22"/>
      <c r="AQ137" s="22"/>
      <c r="AR137" s="22"/>
      <c r="AS137" s="22"/>
      <c r="AT137" s="22"/>
      <c r="AU137" s="22"/>
      <c r="AV137" s="22"/>
      <c r="AW137" s="22"/>
      <c r="AX137" s="134"/>
      <c r="AY137" s="134"/>
      <c r="AZ137" s="134"/>
      <c r="BA137" s="134"/>
      <c r="BB137" s="90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</row>
    <row r="138" ht="12.75" hidden="1" customHeight="1">
      <c r="A138" s="8"/>
      <c r="B138" s="8"/>
      <c r="C138" s="8" t="s">
        <v>188</v>
      </c>
      <c r="D138" s="1" t="s">
        <v>147</v>
      </c>
      <c r="E138" s="8" t="s">
        <v>189</v>
      </c>
      <c r="F138" s="8"/>
      <c r="G138" s="8"/>
      <c r="H138" s="8"/>
      <c r="I138" s="8"/>
      <c r="J138" s="8"/>
      <c r="K138" s="8"/>
      <c r="L138" s="8"/>
      <c r="M138" s="8"/>
      <c r="N138" s="8"/>
      <c r="O138" s="142"/>
      <c r="P138" s="88">
        <f t="shared" si="212"/>
        <v>524</v>
      </c>
      <c r="Q138" s="160">
        <f>Q137+1</f>
        <v>34</v>
      </c>
      <c r="R138" s="152">
        <f t="shared" ref="R138:S138" si="307">R137</f>
        <v>17</v>
      </c>
      <c r="S138" s="152">
        <f t="shared" si="307"/>
        <v>17</v>
      </c>
      <c r="T138" s="134">
        <f t="shared" ref="T138:U138" si="308">T137+1</f>
        <v>66</v>
      </c>
      <c r="U138" s="134">
        <f t="shared" si="308"/>
        <v>66</v>
      </c>
      <c r="V138" s="134">
        <f t="shared" ref="V138:W138" si="309">V137</f>
        <v>33</v>
      </c>
      <c r="W138" s="134">
        <f t="shared" si="309"/>
        <v>33</v>
      </c>
      <c r="X138" s="134">
        <f t="shared" si="310"/>
        <v>131</v>
      </c>
      <c r="Y138" s="22"/>
      <c r="Z138" s="22">
        <f>Z137+80</f>
        <v>11235</v>
      </c>
      <c r="AA138" s="22">
        <f>AA137+50</f>
        <v>6225</v>
      </c>
      <c r="AB138" s="152">
        <f t="shared" ref="AB138:AC138" si="311">Z138-Z137</f>
        <v>80</v>
      </c>
      <c r="AC138" s="152">
        <f t="shared" si="311"/>
        <v>50</v>
      </c>
      <c r="AD138" s="22">
        <f>AD137+90</f>
        <v>5715</v>
      </c>
      <c r="AE138" s="22">
        <f>AE137+45</f>
        <v>3135</v>
      </c>
      <c r="AF138" s="22">
        <f>AF137+90</f>
        <v>6375</v>
      </c>
      <c r="AG138" s="22">
        <f>45+AG137</f>
        <v>3795</v>
      </c>
      <c r="AH138" s="22"/>
      <c r="AI138" s="22"/>
      <c r="AJ138" s="22"/>
      <c r="AK138" s="572"/>
      <c r="AL138" s="572"/>
      <c r="AM138" s="572">
        <f t="shared" si="54"/>
        <v>21.44083969</v>
      </c>
      <c r="AN138" s="572"/>
      <c r="AO138" s="153"/>
      <c r="AP138" s="22"/>
      <c r="AQ138" s="22"/>
      <c r="AR138" s="22"/>
      <c r="AS138" s="22"/>
      <c r="AT138" s="22"/>
      <c r="AU138" s="22"/>
      <c r="AV138" s="22"/>
      <c r="AW138" s="22"/>
      <c r="AX138" s="134"/>
      <c r="AY138" s="134"/>
      <c r="AZ138" s="134"/>
      <c r="BA138" s="134"/>
      <c r="BB138" s="90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</row>
    <row r="139" ht="12.75" hidden="1" customHeight="1">
      <c r="A139" s="8"/>
      <c r="B139" s="8"/>
      <c r="C139" s="8"/>
      <c r="D139" s="1" t="s">
        <v>147</v>
      </c>
      <c r="E139" s="1"/>
      <c r="F139" s="8"/>
      <c r="G139" s="8"/>
      <c r="H139" s="8"/>
      <c r="I139" s="8"/>
      <c r="J139" s="8"/>
      <c r="K139" s="8"/>
      <c r="L139" s="8"/>
      <c r="M139" s="8"/>
      <c r="N139" s="8"/>
      <c r="O139" s="142"/>
      <c r="P139" s="88">
        <f t="shared" si="212"/>
        <v>528</v>
      </c>
      <c r="Q139" s="160">
        <f>Q138-1</f>
        <v>33</v>
      </c>
      <c r="R139" s="152">
        <f t="shared" ref="R139:W139" si="312">R138</f>
        <v>17</v>
      </c>
      <c r="S139" s="152">
        <f t="shared" si="312"/>
        <v>17</v>
      </c>
      <c r="T139" s="134">
        <f t="shared" si="312"/>
        <v>66</v>
      </c>
      <c r="U139" s="134">
        <f t="shared" si="312"/>
        <v>66</v>
      </c>
      <c r="V139" s="134">
        <f t="shared" si="312"/>
        <v>33</v>
      </c>
      <c r="W139" s="134">
        <f t="shared" si="312"/>
        <v>33</v>
      </c>
      <c r="X139" s="134">
        <f t="shared" si="310"/>
        <v>132</v>
      </c>
      <c r="Y139" s="22"/>
      <c r="Z139" s="22">
        <f>Z138+70</f>
        <v>11305</v>
      </c>
      <c r="AA139" s="22">
        <f>AA138+45</f>
        <v>6270</v>
      </c>
      <c r="AB139" s="152">
        <f t="shared" ref="AB139:AC139" si="313">Z139-Z138</f>
        <v>70</v>
      </c>
      <c r="AC139" s="152">
        <f t="shared" si="313"/>
        <v>45</v>
      </c>
      <c r="AD139" s="22">
        <f t="shared" ref="AD139:AG139" si="314">AD138</f>
        <v>5715</v>
      </c>
      <c r="AE139" s="22">
        <f t="shared" si="314"/>
        <v>3135</v>
      </c>
      <c r="AF139" s="22">
        <f t="shared" si="314"/>
        <v>6375</v>
      </c>
      <c r="AG139" s="22">
        <f t="shared" si="314"/>
        <v>3795</v>
      </c>
      <c r="AH139" s="22"/>
      <c r="AI139" s="22"/>
      <c r="AJ139" s="22"/>
      <c r="AK139" s="572"/>
      <c r="AL139" s="572"/>
      <c r="AM139" s="572">
        <f t="shared" si="54"/>
        <v>21.41098485</v>
      </c>
      <c r="AN139" s="572"/>
      <c r="AO139" s="153"/>
      <c r="AP139" s="22"/>
      <c r="AQ139" s="22"/>
      <c r="AR139" s="22"/>
      <c r="AS139" s="22"/>
      <c r="AT139" s="22"/>
      <c r="AU139" s="22"/>
      <c r="AV139" s="22"/>
      <c r="AW139" s="134"/>
      <c r="AX139" s="134"/>
      <c r="AY139" s="90"/>
      <c r="AZ139" s="91"/>
      <c r="BA139" s="91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</row>
    <row r="140" ht="12.75" hidden="1" customHeight="1">
      <c r="A140" s="8"/>
      <c r="B140" s="8"/>
      <c r="C140" s="232"/>
      <c r="D140" s="232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142"/>
      <c r="P140" s="88">
        <f t="shared" si="212"/>
        <v>532</v>
      </c>
      <c r="Q140" s="160">
        <f t="shared" ref="Q140:X140" si="315">Q139+1</f>
        <v>34</v>
      </c>
      <c r="R140" s="152">
        <f t="shared" si="315"/>
        <v>18</v>
      </c>
      <c r="S140" s="152">
        <f t="shared" si="315"/>
        <v>18</v>
      </c>
      <c r="T140" s="134">
        <f t="shared" si="315"/>
        <v>67</v>
      </c>
      <c r="U140" s="134">
        <f t="shared" si="315"/>
        <v>67</v>
      </c>
      <c r="V140" s="134">
        <f t="shared" si="315"/>
        <v>34</v>
      </c>
      <c r="W140" s="134">
        <f t="shared" si="315"/>
        <v>34</v>
      </c>
      <c r="X140" s="134">
        <f t="shared" si="315"/>
        <v>133</v>
      </c>
      <c r="Y140" s="22"/>
      <c r="Z140" s="22">
        <f>Z139+100</f>
        <v>11405</v>
      </c>
      <c r="AA140" s="22">
        <f>AA139+50</f>
        <v>6320</v>
      </c>
      <c r="AB140" s="152">
        <f t="shared" ref="AB140:AC140" si="316">Z140-Z139</f>
        <v>100</v>
      </c>
      <c r="AC140" s="152">
        <f t="shared" si="316"/>
        <v>50</v>
      </c>
      <c r="AD140" s="22">
        <f>AD139+80</f>
        <v>5795</v>
      </c>
      <c r="AE140" s="22">
        <f>AE139+50</f>
        <v>3185</v>
      </c>
      <c r="AF140" s="22">
        <f>AF139+100</f>
        <v>6475</v>
      </c>
      <c r="AG140" s="22">
        <f>AG139+70</f>
        <v>3865</v>
      </c>
      <c r="AH140" s="22"/>
      <c r="AI140" s="22"/>
      <c r="AJ140" s="22"/>
      <c r="AK140" s="572"/>
      <c r="AL140" s="572"/>
      <c r="AM140" s="572">
        <f t="shared" si="54"/>
        <v>21.43796992</v>
      </c>
      <c r="AN140" s="572"/>
      <c r="AO140" s="153"/>
      <c r="AP140" s="22"/>
      <c r="AQ140" s="22"/>
      <c r="AR140" s="22"/>
      <c r="AS140" s="22"/>
      <c r="AT140" s="22"/>
      <c r="AU140" s="22"/>
      <c r="AV140" s="22"/>
      <c r="AW140" s="134"/>
      <c r="AX140" s="134"/>
      <c r="AY140" s="90"/>
      <c r="AZ140" s="91"/>
      <c r="BA140" s="91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</row>
    <row r="141" ht="12.75" customHeight="1">
      <c r="A141" s="8">
        <v>8.0</v>
      </c>
      <c r="B141" s="8">
        <v>4.0</v>
      </c>
      <c r="C141" s="232"/>
      <c r="D141" s="232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142"/>
      <c r="P141" s="88">
        <f t="shared" si="212"/>
        <v>536</v>
      </c>
      <c r="Q141" s="160">
        <f t="shared" ref="Q141:W141" si="317">Q140</f>
        <v>34</v>
      </c>
      <c r="R141" s="152">
        <f t="shared" si="317"/>
        <v>18</v>
      </c>
      <c r="S141" s="152">
        <f t="shared" si="317"/>
        <v>18</v>
      </c>
      <c r="T141" s="134">
        <f t="shared" si="317"/>
        <v>67</v>
      </c>
      <c r="U141" s="134">
        <f t="shared" si="317"/>
        <v>67</v>
      </c>
      <c r="V141" s="134">
        <f t="shared" si="317"/>
        <v>34</v>
      </c>
      <c r="W141" s="134">
        <f t="shared" si="317"/>
        <v>34</v>
      </c>
      <c r="X141" s="134">
        <f t="shared" ref="X141:X143" si="323">X140+1</f>
        <v>134</v>
      </c>
      <c r="Y141" s="22"/>
      <c r="Z141" s="22">
        <f>Z140+90</f>
        <v>11495</v>
      </c>
      <c r="AA141" s="22">
        <f>AA140+45</f>
        <v>6365</v>
      </c>
      <c r="AB141" s="152">
        <f t="shared" ref="AB141:AC141" si="318">Z141-Z140</f>
        <v>90</v>
      </c>
      <c r="AC141" s="152">
        <f t="shared" si="318"/>
        <v>45</v>
      </c>
      <c r="AD141" s="22">
        <f t="shared" ref="AD141:AG141" si="319">AD140</f>
        <v>5795</v>
      </c>
      <c r="AE141" s="22">
        <f t="shared" si="319"/>
        <v>3185</v>
      </c>
      <c r="AF141" s="22">
        <f t="shared" si="319"/>
        <v>6475</v>
      </c>
      <c r="AG141" s="22">
        <f t="shared" si="319"/>
        <v>3865</v>
      </c>
      <c r="AH141" s="22"/>
      <c r="AI141" s="22"/>
      <c r="AJ141" s="22"/>
      <c r="AK141" s="572"/>
      <c r="AL141" s="572"/>
      <c r="AM141" s="572">
        <f t="shared" si="54"/>
        <v>21.44589552</v>
      </c>
      <c r="AN141" s="572"/>
      <c r="AO141" s="153"/>
      <c r="AP141" s="22"/>
      <c r="AQ141" s="22"/>
      <c r="AR141" s="22"/>
      <c r="AS141" s="22"/>
      <c r="AT141" s="22"/>
      <c r="AU141" s="22"/>
      <c r="AV141" s="22"/>
      <c r="AW141" s="134"/>
      <c r="AX141" s="134"/>
      <c r="AY141" s="90"/>
      <c r="AZ141" s="91"/>
      <c r="BA141" s="91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</row>
    <row r="142" ht="12.75" hidden="1" customHeight="1">
      <c r="A142" s="8">
        <f t="shared" ref="A142:A230" si="325">A141+8</f>
        <v>16</v>
      </c>
      <c r="B142" s="8">
        <f t="shared" ref="B142:B320" si="326">B141+4</f>
        <v>8</v>
      </c>
      <c r="C142" s="232"/>
      <c r="D142" s="232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142"/>
      <c r="P142" s="88">
        <f t="shared" si="212"/>
        <v>540</v>
      </c>
      <c r="Q142" s="160">
        <f>Q141+1</f>
        <v>35</v>
      </c>
      <c r="R142" s="152">
        <f t="shared" ref="R142:S142" si="320">R141-1</f>
        <v>17</v>
      </c>
      <c r="S142" s="152">
        <f t="shared" si="320"/>
        <v>17</v>
      </c>
      <c r="T142" s="134">
        <f t="shared" ref="T142:U142" si="321">T141+1</f>
        <v>68</v>
      </c>
      <c r="U142" s="134">
        <f t="shared" si="321"/>
        <v>68</v>
      </c>
      <c r="V142" s="134">
        <f t="shared" ref="V142:W142" si="322">V141</f>
        <v>34</v>
      </c>
      <c r="W142" s="134">
        <f t="shared" si="322"/>
        <v>34</v>
      </c>
      <c r="X142" s="134">
        <f t="shared" si="323"/>
        <v>135</v>
      </c>
      <c r="Y142" s="22"/>
      <c r="Z142" s="22">
        <f>Z141+80</f>
        <v>11575</v>
      </c>
      <c r="AA142" s="22">
        <f>AA141+50</f>
        <v>6415</v>
      </c>
      <c r="AB142" s="152">
        <f t="shared" ref="AB142:AC142" si="324">Z142-Z141</f>
        <v>80</v>
      </c>
      <c r="AC142" s="152">
        <f t="shared" si="324"/>
        <v>50</v>
      </c>
      <c r="AD142" s="22">
        <f>AD141+70</f>
        <v>5865</v>
      </c>
      <c r="AE142" s="22">
        <f>AE141+45</f>
        <v>3230</v>
      </c>
      <c r="AF142" s="22">
        <f>AF141+70</f>
        <v>6545</v>
      </c>
      <c r="AG142" s="22">
        <f>45+AG141</f>
        <v>3910</v>
      </c>
      <c r="AH142" s="22"/>
      <c r="AI142" s="22"/>
      <c r="AJ142" s="22"/>
      <c r="AK142" s="572"/>
      <c r="AL142" s="572"/>
      <c r="AM142" s="572">
        <f t="shared" si="54"/>
        <v>21.43518519</v>
      </c>
      <c r="AN142" s="572"/>
      <c r="AO142" s="153"/>
      <c r="AP142" s="22"/>
      <c r="AQ142" s="22"/>
      <c r="AR142" s="22"/>
      <c r="AS142" s="22"/>
      <c r="AT142" s="22"/>
      <c r="AU142" s="22"/>
      <c r="AV142" s="22"/>
      <c r="AW142" s="134"/>
      <c r="AX142" s="134"/>
      <c r="AY142" s="90"/>
      <c r="AZ142" s="91"/>
      <c r="BA142" s="91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</row>
    <row r="143" ht="12.75" hidden="1" customHeight="1">
      <c r="A143" s="8">
        <f t="shared" si="325"/>
        <v>24</v>
      </c>
      <c r="B143" s="8">
        <f t="shared" si="326"/>
        <v>12</v>
      </c>
      <c r="C143" s="232"/>
      <c r="D143" s="232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142"/>
      <c r="P143" s="88">
        <f t="shared" si="212"/>
        <v>544</v>
      </c>
      <c r="Q143" s="160">
        <f>Q142-1</f>
        <v>34</v>
      </c>
      <c r="R143" s="152">
        <f t="shared" ref="R143:W143" si="327">R142</f>
        <v>17</v>
      </c>
      <c r="S143" s="152">
        <f t="shared" si="327"/>
        <v>17</v>
      </c>
      <c r="T143" s="134">
        <f t="shared" si="327"/>
        <v>68</v>
      </c>
      <c r="U143" s="134">
        <f t="shared" si="327"/>
        <v>68</v>
      </c>
      <c r="V143" s="134">
        <f t="shared" si="327"/>
        <v>34</v>
      </c>
      <c r="W143" s="134">
        <f t="shared" si="327"/>
        <v>34</v>
      </c>
      <c r="X143" s="134">
        <f t="shared" si="323"/>
        <v>136</v>
      </c>
      <c r="Y143" s="22"/>
      <c r="Z143" s="22">
        <f>Z142+70</f>
        <v>11645</v>
      </c>
      <c r="AA143" s="22">
        <f>AA142+45</f>
        <v>6460</v>
      </c>
      <c r="AB143" s="152">
        <f t="shared" ref="AB143:AC143" si="328">Z143-Z142</f>
        <v>70</v>
      </c>
      <c r="AC143" s="152">
        <f t="shared" si="328"/>
        <v>45</v>
      </c>
      <c r="AD143" s="22">
        <f t="shared" ref="AD143:AG143" si="329">AD142</f>
        <v>5865</v>
      </c>
      <c r="AE143" s="22">
        <f t="shared" si="329"/>
        <v>3230</v>
      </c>
      <c r="AF143" s="22">
        <f t="shared" si="329"/>
        <v>6545</v>
      </c>
      <c r="AG143" s="22">
        <f t="shared" si="329"/>
        <v>3910</v>
      </c>
      <c r="AH143" s="22"/>
      <c r="AI143" s="22"/>
      <c r="AJ143" s="22"/>
      <c r="AK143" s="572"/>
      <c r="AL143" s="572"/>
      <c r="AM143" s="572">
        <f t="shared" si="54"/>
        <v>21.40625</v>
      </c>
      <c r="AN143" s="572"/>
      <c r="AO143" s="153"/>
      <c r="AP143" s="22"/>
      <c r="AQ143" s="22"/>
      <c r="AR143" s="22"/>
      <c r="AS143" s="22"/>
      <c r="AT143" s="22"/>
      <c r="AU143" s="22"/>
      <c r="AV143" s="22"/>
      <c r="AW143" s="134"/>
      <c r="AX143" s="134"/>
      <c r="AY143" s="90"/>
      <c r="AZ143" s="91"/>
      <c r="BA143" s="91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</row>
    <row r="144" ht="12.75" hidden="1" customHeight="1">
      <c r="A144" s="8">
        <f t="shared" si="325"/>
        <v>32</v>
      </c>
      <c r="B144" s="8">
        <f t="shared" si="326"/>
        <v>16</v>
      </c>
      <c r="C144" s="232"/>
      <c r="D144" s="232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142"/>
      <c r="P144" s="88">
        <f t="shared" si="212"/>
        <v>548</v>
      </c>
      <c r="Q144" s="160">
        <f t="shared" ref="Q144:X144" si="330">Q143+1</f>
        <v>35</v>
      </c>
      <c r="R144" s="152">
        <f t="shared" si="330"/>
        <v>18</v>
      </c>
      <c r="S144" s="152">
        <f t="shared" si="330"/>
        <v>18</v>
      </c>
      <c r="T144" s="134">
        <f t="shared" si="330"/>
        <v>69</v>
      </c>
      <c r="U144" s="134">
        <f t="shared" si="330"/>
        <v>69</v>
      </c>
      <c r="V144" s="134">
        <f t="shared" si="330"/>
        <v>35</v>
      </c>
      <c r="W144" s="134">
        <f t="shared" si="330"/>
        <v>35</v>
      </c>
      <c r="X144" s="134">
        <f t="shared" si="330"/>
        <v>137</v>
      </c>
      <c r="Y144" s="22"/>
      <c r="Z144" s="22">
        <f>Z143+100</f>
        <v>11745</v>
      </c>
      <c r="AA144" s="22">
        <f>AA143+50</f>
        <v>6510</v>
      </c>
      <c r="AB144" s="152">
        <f t="shared" ref="AB144:AC144" si="331">Z144-Z143</f>
        <v>100</v>
      </c>
      <c r="AC144" s="152">
        <f t="shared" si="331"/>
        <v>50</v>
      </c>
      <c r="AD144" s="22">
        <f>AD143+100</f>
        <v>5965</v>
      </c>
      <c r="AE144" s="22">
        <f>AE143+50</f>
        <v>3280</v>
      </c>
      <c r="AF144" s="22">
        <f>AF143+120</f>
        <v>6665</v>
      </c>
      <c r="AG144" s="22">
        <f>AG143+70</f>
        <v>3980</v>
      </c>
      <c r="AH144" s="22"/>
      <c r="AI144" s="22"/>
      <c r="AJ144" s="22"/>
      <c r="AK144" s="572"/>
      <c r="AL144" s="572"/>
      <c r="AM144" s="572">
        <f t="shared" si="54"/>
        <v>21.43248175</v>
      </c>
      <c r="AN144" s="572"/>
      <c r="AO144" s="153"/>
      <c r="AP144" s="22"/>
      <c r="AQ144" s="22"/>
      <c r="AR144" s="22"/>
      <c r="AS144" s="22"/>
      <c r="AT144" s="22"/>
      <c r="AU144" s="22"/>
      <c r="AV144" s="22"/>
      <c r="AW144" s="134"/>
      <c r="AX144" s="134"/>
      <c r="AY144" s="90"/>
      <c r="AZ144" s="91"/>
      <c r="BA144" s="91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</row>
    <row r="145" ht="12.75" customHeight="1">
      <c r="A145" s="8">
        <f t="shared" si="325"/>
        <v>40</v>
      </c>
      <c r="B145" s="8">
        <f t="shared" si="326"/>
        <v>20</v>
      </c>
      <c r="C145" s="232"/>
      <c r="D145" s="232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142"/>
      <c r="P145" s="88">
        <f t="shared" si="212"/>
        <v>552</v>
      </c>
      <c r="Q145" s="160">
        <f t="shared" ref="Q145:W145" si="332">Q144</f>
        <v>35</v>
      </c>
      <c r="R145" s="152">
        <f t="shared" si="332"/>
        <v>18</v>
      </c>
      <c r="S145" s="152">
        <f t="shared" si="332"/>
        <v>18</v>
      </c>
      <c r="T145" s="134">
        <f t="shared" si="332"/>
        <v>69</v>
      </c>
      <c r="U145" s="134">
        <f t="shared" si="332"/>
        <v>69</v>
      </c>
      <c r="V145" s="134">
        <f t="shared" si="332"/>
        <v>35</v>
      </c>
      <c r="W145" s="134">
        <f t="shared" si="332"/>
        <v>35</v>
      </c>
      <c r="X145" s="134">
        <f t="shared" ref="X145:X147" si="338">X144+1</f>
        <v>138</v>
      </c>
      <c r="Y145" s="22"/>
      <c r="Z145" s="22">
        <f>Z144+90</f>
        <v>11835</v>
      </c>
      <c r="AA145" s="22">
        <f>AA144+45</f>
        <v>6555</v>
      </c>
      <c r="AB145" s="152">
        <f t="shared" ref="AB145:AC145" si="333">Z145-Z144</f>
        <v>90</v>
      </c>
      <c r="AC145" s="152">
        <f t="shared" si="333"/>
        <v>45</v>
      </c>
      <c r="AD145" s="22">
        <f t="shared" ref="AD145:AG145" si="334">AD144</f>
        <v>5965</v>
      </c>
      <c r="AE145" s="22">
        <f t="shared" si="334"/>
        <v>3280</v>
      </c>
      <c r="AF145" s="22">
        <f t="shared" si="334"/>
        <v>6665</v>
      </c>
      <c r="AG145" s="22">
        <f t="shared" si="334"/>
        <v>3980</v>
      </c>
      <c r="AH145" s="22"/>
      <c r="AI145" s="22"/>
      <c r="AJ145" s="22"/>
      <c r="AK145" s="572"/>
      <c r="AL145" s="572"/>
      <c r="AM145" s="572">
        <f t="shared" si="54"/>
        <v>21.44021739</v>
      </c>
      <c r="AN145" s="572"/>
      <c r="AO145" s="153"/>
      <c r="AP145" s="22"/>
      <c r="AQ145" s="22"/>
      <c r="AR145" s="22"/>
      <c r="AS145" s="22"/>
      <c r="AT145" s="22"/>
      <c r="AU145" s="22"/>
      <c r="AV145" s="22"/>
      <c r="AW145" s="134"/>
      <c r="AX145" s="134"/>
      <c r="AY145" s="90"/>
      <c r="AZ145" s="91"/>
      <c r="BA145" s="91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</row>
    <row r="146" ht="12.75" hidden="1" customHeight="1">
      <c r="A146" s="8">
        <f t="shared" si="325"/>
        <v>48</v>
      </c>
      <c r="B146" s="8">
        <f t="shared" si="326"/>
        <v>24</v>
      </c>
      <c r="C146" s="232"/>
      <c r="D146" s="232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142"/>
      <c r="P146" s="88">
        <f t="shared" si="212"/>
        <v>556</v>
      </c>
      <c r="Q146" s="160">
        <f>Q145+1</f>
        <v>36</v>
      </c>
      <c r="R146" s="152">
        <f t="shared" ref="R146:S146" si="335">R145</f>
        <v>18</v>
      </c>
      <c r="S146" s="152">
        <f t="shared" si="335"/>
        <v>18</v>
      </c>
      <c r="T146" s="134">
        <f t="shared" ref="T146:U146" si="336">T145+1</f>
        <v>70</v>
      </c>
      <c r="U146" s="134">
        <f t="shared" si="336"/>
        <v>70</v>
      </c>
      <c r="V146" s="134">
        <f t="shared" ref="V146:W146" si="337">V145</f>
        <v>35</v>
      </c>
      <c r="W146" s="134">
        <f t="shared" si="337"/>
        <v>35</v>
      </c>
      <c r="X146" s="134">
        <f t="shared" si="338"/>
        <v>139</v>
      </c>
      <c r="Y146" s="22"/>
      <c r="Z146" s="22">
        <f>Z145+80</f>
        <v>11915</v>
      </c>
      <c r="AA146" s="22">
        <f>AA145+50</f>
        <v>6605</v>
      </c>
      <c r="AB146" s="152">
        <f t="shared" ref="AB146:AC146" si="339">Z146-Z145</f>
        <v>80</v>
      </c>
      <c r="AC146" s="152">
        <f t="shared" si="339"/>
        <v>50</v>
      </c>
      <c r="AD146" s="22">
        <f>AD145+90</f>
        <v>6055</v>
      </c>
      <c r="AE146" s="22">
        <f>AE145+45</f>
        <v>3325</v>
      </c>
      <c r="AF146" s="22">
        <f>AF145+90</f>
        <v>6755</v>
      </c>
      <c r="AG146" s="22">
        <f>45+AG145</f>
        <v>4025</v>
      </c>
      <c r="AH146" s="22"/>
      <c r="AI146" s="22"/>
      <c r="AJ146" s="22"/>
      <c r="AK146" s="572"/>
      <c r="AL146" s="572"/>
      <c r="AM146" s="572">
        <f t="shared" si="54"/>
        <v>21.42985612</v>
      </c>
      <c r="AN146" s="572"/>
      <c r="AO146" s="153"/>
      <c r="AP146" s="22"/>
      <c r="AQ146" s="22"/>
      <c r="AR146" s="22"/>
      <c r="AS146" s="22"/>
      <c r="AT146" s="22"/>
      <c r="AU146" s="22"/>
      <c r="AV146" s="22"/>
      <c r="AW146" s="134"/>
      <c r="AX146" s="134"/>
      <c r="AY146" s="90"/>
      <c r="AZ146" s="91"/>
      <c r="BA146" s="91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</row>
    <row r="147" ht="12.75" hidden="1" customHeight="1">
      <c r="A147" s="8">
        <f t="shared" si="325"/>
        <v>56</v>
      </c>
      <c r="B147" s="8">
        <f t="shared" si="326"/>
        <v>28</v>
      </c>
      <c r="C147" s="8" t="s">
        <v>105</v>
      </c>
      <c r="D147" s="232" t="s">
        <v>190</v>
      </c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142"/>
      <c r="P147" s="88">
        <f t="shared" si="212"/>
        <v>560</v>
      </c>
      <c r="Q147" s="160">
        <f>Q146-1</f>
        <v>35</v>
      </c>
      <c r="R147" s="152">
        <f t="shared" ref="R147:W147" si="340">R146</f>
        <v>18</v>
      </c>
      <c r="S147" s="152">
        <f t="shared" si="340"/>
        <v>18</v>
      </c>
      <c r="T147" s="134">
        <f t="shared" si="340"/>
        <v>70</v>
      </c>
      <c r="U147" s="134">
        <f t="shared" si="340"/>
        <v>70</v>
      </c>
      <c r="V147" s="134">
        <f t="shared" si="340"/>
        <v>35</v>
      </c>
      <c r="W147" s="134">
        <f t="shared" si="340"/>
        <v>35</v>
      </c>
      <c r="X147" s="134">
        <f t="shared" si="338"/>
        <v>140</v>
      </c>
      <c r="Y147" s="22"/>
      <c r="Z147" s="22">
        <f>Z146+70</f>
        <v>11985</v>
      </c>
      <c r="AA147" s="22">
        <f>AA146+45</f>
        <v>6650</v>
      </c>
      <c r="AB147" s="152">
        <f t="shared" ref="AB147:AC147" si="341">Z147-Z146</f>
        <v>70</v>
      </c>
      <c r="AC147" s="152">
        <f t="shared" si="341"/>
        <v>45</v>
      </c>
      <c r="AD147" s="22">
        <f t="shared" ref="AD147:AG147" si="342">AD146</f>
        <v>6055</v>
      </c>
      <c r="AE147" s="22">
        <f t="shared" si="342"/>
        <v>3325</v>
      </c>
      <c r="AF147" s="22">
        <f t="shared" si="342"/>
        <v>6755</v>
      </c>
      <c r="AG147" s="22">
        <f t="shared" si="342"/>
        <v>4025</v>
      </c>
      <c r="AH147" s="22"/>
      <c r="AI147" s="22"/>
      <c r="AJ147" s="22"/>
      <c r="AK147" s="572"/>
      <c r="AL147" s="572"/>
      <c r="AM147" s="572">
        <f t="shared" si="54"/>
        <v>21.40178571</v>
      </c>
      <c r="AN147" s="572"/>
      <c r="AO147" s="153"/>
      <c r="AP147" s="22"/>
      <c r="AQ147" s="22"/>
      <c r="AR147" s="22"/>
      <c r="AS147" s="22"/>
      <c r="AT147" s="22"/>
      <c r="AU147" s="22"/>
      <c r="AV147" s="22"/>
      <c r="AW147" s="134"/>
      <c r="AX147" s="134"/>
      <c r="AY147" s="90"/>
      <c r="AZ147" s="91"/>
      <c r="BA147" s="91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</row>
    <row r="148" ht="12.75" hidden="1" customHeight="1">
      <c r="A148" s="8">
        <f t="shared" si="325"/>
        <v>64</v>
      </c>
      <c r="B148" s="8">
        <f t="shared" si="326"/>
        <v>32</v>
      </c>
      <c r="C148" s="8" t="s">
        <v>106</v>
      </c>
      <c r="D148" s="232" t="s">
        <v>191</v>
      </c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142"/>
      <c r="P148" s="88">
        <f t="shared" si="212"/>
        <v>564</v>
      </c>
      <c r="Q148" s="160">
        <f t="shared" ref="Q148:X148" si="343">Q147+1</f>
        <v>36</v>
      </c>
      <c r="R148" s="152">
        <f t="shared" si="343"/>
        <v>19</v>
      </c>
      <c r="S148" s="152">
        <f t="shared" si="343"/>
        <v>19</v>
      </c>
      <c r="T148" s="134">
        <f t="shared" si="343"/>
        <v>71</v>
      </c>
      <c r="U148" s="134">
        <f t="shared" si="343"/>
        <v>71</v>
      </c>
      <c r="V148" s="134">
        <f t="shared" si="343"/>
        <v>36</v>
      </c>
      <c r="W148" s="134">
        <f t="shared" si="343"/>
        <v>36</v>
      </c>
      <c r="X148" s="134">
        <f t="shared" si="343"/>
        <v>141</v>
      </c>
      <c r="Y148" s="22"/>
      <c r="Z148" s="22">
        <f>Z147+100</f>
        <v>12085</v>
      </c>
      <c r="AA148" s="22">
        <f>AA147+50</f>
        <v>6700</v>
      </c>
      <c r="AB148" s="152">
        <f t="shared" ref="AB148:AC148" si="344">Z148-Z147</f>
        <v>100</v>
      </c>
      <c r="AC148" s="152">
        <f t="shared" si="344"/>
        <v>50</v>
      </c>
      <c r="AD148" s="22">
        <f>AD147+80</f>
        <v>6135</v>
      </c>
      <c r="AE148" s="22">
        <f>AE147+50</f>
        <v>3375</v>
      </c>
      <c r="AF148" s="22">
        <f>AF147+100</f>
        <v>6855</v>
      </c>
      <c r="AG148" s="22">
        <f>AG147+70</f>
        <v>4095</v>
      </c>
      <c r="AH148" s="22"/>
      <c r="AI148" s="22"/>
      <c r="AJ148" s="22"/>
      <c r="AK148" s="572"/>
      <c r="AL148" s="572"/>
      <c r="AM148" s="572">
        <f t="shared" si="54"/>
        <v>21.42730496</v>
      </c>
      <c r="AN148" s="572"/>
      <c r="AO148" s="153"/>
      <c r="AP148" s="22"/>
      <c r="AQ148" s="22"/>
      <c r="AR148" s="22"/>
      <c r="AS148" s="22"/>
      <c r="AT148" s="22"/>
      <c r="AU148" s="22"/>
      <c r="AV148" s="22"/>
      <c r="AW148" s="134"/>
      <c r="AX148" s="134"/>
      <c r="AY148" s="90"/>
      <c r="AZ148" s="91"/>
      <c r="BA148" s="91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</row>
    <row r="149" ht="12.75" customHeight="1">
      <c r="A149" s="8">
        <f t="shared" si="325"/>
        <v>72</v>
      </c>
      <c r="B149" s="8">
        <f t="shared" si="326"/>
        <v>36</v>
      </c>
      <c r="C149" s="1" t="s">
        <v>74</v>
      </c>
      <c r="D149" s="232" t="s">
        <v>192</v>
      </c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142"/>
      <c r="P149" s="88">
        <f t="shared" si="212"/>
        <v>568</v>
      </c>
      <c r="Q149" s="160">
        <f t="shared" ref="Q149:W149" si="345">Q148</f>
        <v>36</v>
      </c>
      <c r="R149" s="152">
        <f t="shared" si="345"/>
        <v>19</v>
      </c>
      <c r="S149" s="152">
        <f t="shared" si="345"/>
        <v>19</v>
      </c>
      <c r="T149" s="134">
        <f t="shared" si="345"/>
        <v>71</v>
      </c>
      <c r="U149" s="134">
        <f t="shared" si="345"/>
        <v>71</v>
      </c>
      <c r="V149" s="134">
        <f t="shared" si="345"/>
        <v>36</v>
      </c>
      <c r="W149" s="134">
        <f t="shared" si="345"/>
        <v>36</v>
      </c>
      <c r="X149" s="134">
        <f t="shared" ref="X149:X151" si="351">X148+1</f>
        <v>142</v>
      </c>
      <c r="Y149" s="22"/>
      <c r="Z149" s="22">
        <f>Z148+90</f>
        <v>12175</v>
      </c>
      <c r="AA149" s="22">
        <f>AA148+45</f>
        <v>6745</v>
      </c>
      <c r="AB149" s="152">
        <f t="shared" ref="AB149:AC149" si="346">Z149-Z148</f>
        <v>90</v>
      </c>
      <c r="AC149" s="152">
        <f t="shared" si="346"/>
        <v>45</v>
      </c>
      <c r="AD149" s="22">
        <f t="shared" ref="AD149:AG149" si="347">AD148</f>
        <v>6135</v>
      </c>
      <c r="AE149" s="22">
        <f t="shared" si="347"/>
        <v>3375</v>
      </c>
      <c r="AF149" s="22">
        <f t="shared" si="347"/>
        <v>6855</v>
      </c>
      <c r="AG149" s="22">
        <f t="shared" si="347"/>
        <v>4095</v>
      </c>
      <c r="AH149" s="22"/>
      <c r="AI149" s="22"/>
      <c r="AJ149" s="22"/>
      <c r="AK149" s="572"/>
      <c r="AL149" s="572"/>
      <c r="AM149" s="572">
        <f t="shared" si="54"/>
        <v>21.43485915</v>
      </c>
      <c r="AN149" s="572"/>
      <c r="AO149" s="153"/>
      <c r="AP149" s="22"/>
      <c r="AQ149" s="22"/>
      <c r="AR149" s="22"/>
      <c r="AS149" s="22"/>
      <c r="AT149" s="22"/>
      <c r="AU149" s="22"/>
      <c r="AV149" s="22"/>
      <c r="AW149" s="134"/>
      <c r="AX149" s="134"/>
      <c r="AY149" s="90"/>
      <c r="AZ149" s="91"/>
      <c r="BA149" s="91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</row>
    <row r="150" ht="12.75" hidden="1" customHeight="1">
      <c r="A150" s="8">
        <f t="shared" si="325"/>
        <v>80</v>
      </c>
      <c r="B150" s="8">
        <f t="shared" si="326"/>
        <v>40</v>
      </c>
      <c r="C150" s="1" t="s">
        <v>87</v>
      </c>
      <c r="D150" s="232" t="s">
        <v>67</v>
      </c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142"/>
      <c r="P150" s="88">
        <f t="shared" si="212"/>
        <v>572</v>
      </c>
      <c r="Q150" s="160">
        <f>Q149+1</f>
        <v>37</v>
      </c>
      <c r="R150" s="152">
        <f t="shared" ref="R150:S150" si="348">R149-1</f>
        <v>18</v>
      </c>
      <c r="S150" s="152">
        <f t="shared" si="348"/>
        <v>18</v>
      </c>
      <c r="T150" s="134">
        <f t="shared" ref="T150:U150" si="349">T149+1</f>
        <v>72</v>
      </c>
      <c r="U150" s="134">
        <f t="shared" si="349"/>
        <v>72</v>
      </c>
      <c r="V150" s="134">
        <f t="shared" ref="V150:W150" si="350">V149</f>
        <v>36</v>
      </c>
      <c r="W150" s="134">
        <f t="shared" si="350"/>
        <v>36</v>
      </c>
      <c r="X150" s="134">
        <f t="shared" si="351"/>
        <v>143</v>
      </c>
      <c r="Y150" s="22"/>
      <c r="Z150" s="22">
        <f>Z149+80</f>
        <v>12255</v>
      </c>
      <c r="AA150" s="22">
        <f>AA149+50</f>
        <v>6795</v>
      </c>
      <c r="AB150" s="152">
        <f t="shared" ref="AB150:AC150" si="352">Z150-Z149</f>
        <v>80</v>
      </c>
      <c r="AC150" s="152">
        <f t="shared" si="352"/>
        <v>50</v>
      </c>
      <c r="AD150" s="22">
        <f>AD149+70</f>
        <v>6205</v>
      </c>
      <c r="AE150" s="22">
        <f>AE149+45</f>
        <v>3420</v>
      </c>
      <c r="AF150" s="22">
        <f>AF149+70</f>
        <v>6925</v>
      </c>
      <c r="AG150" s="22">
        <f>45+AG149</f>
        <v>4140</v>
      </c>
      <c r="AH150" s="22"/>
      <c r="AI150" s="22"/>
      <c r="AJ150" s="22"/>
      <c r="AK150" s="572"/>
      <c r="AL150" s="572"/>
      <c r="AM150" s="572">
        <f t="shared" si="54"/>
        <v>21.42482517</v>
      </c>
      <c r="AN150" s="572"/>
      <c r="AO150" s="153"/>
      <c r="AP150" s="22"/>
      <c r="AQ150" s="22"/>
      <c r="AR150" s="22"/>
      <c r="AS150" s="22"/>
      <c r="AT150" s="22"/>
      <c r="AU150" s="22"/>
      <c r="AV150" s="22"/>
      <c r="AW150" s="134"/>
      <c r="AX150" s="134"/>
      <c r="AY150" s="90"/>
      <c r="AZ150" s="91"/>
      <c r="BA150" s="91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</row>
    <row r="151" ht="12.75" hidden="1" customHeight="1">
      <c r="A151" s="8">
        <f t="shared" si="325"/>
        <v>88</v>
      </c>
      <c r="B151" s="8">
        <f t="shared" si="326"/>
        <v>44</v>
      </c>
      <c r="C151" s="232"/>
      <c r="D151" s="232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142"/>
      <c r="P151" s="88">
        <f t="shared" si="212"/>
        <v>576</v>
      </c>
      <c r="Q151" s="160">
        <f>Q150-1</f>
        <v>36</v>
      </c>
      <c r="R151" s="152">
        <f t="shared" ref="R151:W151" si="353">R150</f>
        <v>18</v>
      </c>
      <c r="S151" s="152">
        <f t="shared" si="353"/>
        <v>18</v>
      </c>
      <c r="T151" s="134">
        <f t="shared" si="353"/>
        <v>72</v>
      </c>
      <c r="U151" s="134">
        <f t="shared" si="353"/>
        <v>72</v>
      </c>
      <c r="V151" s="134">
        <f t="shared" si="353"/>
        <v>36</v>
      </c>
      <c r="W151" s="134">
        <f t="shared" si="353"/>
        <v>36</v>
      </c>
      <c r="X151" s="134">
        <f t="shared" si="351"/>
        <v>144</v>
      </c>
      <c r="Y151" s="22"/>
      <c r="Z151" s="22">
        <f>Z150+70</f>
        <v>12325</v>
      </c>
      <c r="AA151" s="22">
        <f>AA150+45</f>
        <v>6840</v>
      </c>
      <c r="AB151" s="152">
        <f t="shared" ref="AB151:AC151" si="354">Z151-Z150</f>
        <v>70</v>
      </c>
      <c r="AC151" s="152">
        <f t="shared" si="354"/>
        <v>45</v>
      </c>
      <c r="AD151" s="22">
        <f t="shared" ref="AD151:AG151" si="355">AD150</f>
        <v>6205</v>
      </c>
      <c r="AE151" s="22">
        <f t="shared" si="355"/>
        <v>3420</v>
      </c>
      <c r="AF151" s="22">
        <f t="shared" si="355"/>
        <v>6925</v>
      </c>
      <c r="AG151" s="22">
        <f t="shared" si="355"/>
        <v>4140</v>
      </c>
      <c r="AH151" s="22"/>
      <c r="AI151" s="22"/>
      <c r="AJ151" s="22"/>
      <c r="AK151" s="572"/>
      <c r="AL151" s="572"/>
      <c r="AM151" s="572">
        <f t="shared" si="54"/>
        <v>21.39756944</v>
      </c>
      <c r="AN151" s="572"/>
      <c r="AO151" s="153"/>
      <c r="AP151" s="22"/>
      <c r="AQ151" s="22"/>
      <c r="AR151" s="22"/>
      <c r="AS151" s="22"/>
      <c r="AT151" s="22"/>
      <c r="AU151" s="22"/>
      <c r="AV151" s="22"/>
      <c r="AW151" s="134"/>
      <c r="AX151" s="134"/>
      <c r="AY151" s="90"/>
      <c r="AZ151" s="91"/>
      <c r="BA151" s="91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</row>
    <row r="152" ht="12.75" hidden="1" customHeight="1">
      <c r="A152" s="8">
        <f t="shared" si="325"/>
        <v>96</v>
      </c>
      <c r="B152" s="8">
        <f t="shared" si="326"/>
        <v>48</v>
      </c>
      <c r="C152" s="232"/>
      <c r="D152" s="232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142"/>
      <c r="P152" s="88">
        <f t="shared" si="212"/>
        <v>580</v>
      </c>
      <c r="Q152" s="160">
        <f t="shared" ref="Q152:X152" si="356">Q151+1</f>
        <v>37</v>
      </c>
      <c r="R152" s="152">
        <f t="shared" si="356"/>
        <v>19</v>
      </c>
      <c r="S152" s="152">
        <f t="shared" si="356"/>
        <v>19</v>
      </c>
      <c r="T152" s="134">
        <f t="shared" si="356"/>
        <v>73</v>
      </c>
      <c r="U152" s="134">
        <f t="shared" si="356"/>
        <v>73</v>
      </c>
      <c r="V152" s="134">
        <f t="shared" si="356"/>
        <v>37</v>
      </c>
      <c r="W152" s="134">
        <f t="shared" si="356"/>
        <v>37</v>
      </c>
      <c r="X152" s="134">
        <f t="shared" si="356"/>
        <v>145</v>
      </c>
      <c r="Y152" s="22"/>
      <c r="Z152" s="22">
        <f>Z151+100</f>
        <v>12425</v>
      </c>
      <c r="AA152" s="22">
        <f>AA151+50</f>
        <v>6890</v>
      </c>
      <c r="AB152" s="152">
        <f t="shared" ref="AB152:AC152" si="357">Z152-Z151</f>
        <v>100</v>
      </c>
      <c r="AC152" s="152">
        <f t="shared" si="357"/>
        <v>50</v>
      </c>
      <c r="AD152" s="22">
        <f>AD151+100</f>
        <v>6305</v>
      </c>
      <c r="AE152" s="22">
        <f>AE151+50</f>
        <v>3470</v>
      </c>
      <c r="AF152" s="22">
        <f>AF151+120</f>
        <v>7045</v>
      </c>
      <c r="AG152" s="22">
        <f>AG151+70</f>
        <v>4210</v>
      </c>
      <c r="AH152" s="22"/>
      <c r="AI152" s="22"/>
      <c r="AJ152" s="22"/>
      <c r="AK152" s="572"/>
      <c r="AL152" s="572"/>
      <c r="AM152" s="572">
        <f t="shared" si="54"/>
        <v>21.42241379</v>
      </c>
      <c r="AN152" s="572"/>
      <c r="AO152" s="153"/>
      <c r="AP152" s="22"/>
      <c r="AQ152" s="22"/>
      <c r="AR152" s="22"/>
      <c r="AS152" s="22"/>
      <c r="AT152" s="22"/>
      <c r="AU152" s="22"/>
      <c r="AV152" s="22"/>
      <c r="AW152" s="134"/>
      <c r="AX152" s="134"/>
      <c r="AY152" s="90"/>
      <c r="AZ152" s="91"/>
      <c r="BA152" s="91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</row>
    <row r="153" ht="12.75" customHeight="1">
      <c r="A153" s="8">
        <f t="shared" si="325"/>
        <v>104</v>
      </c>
      <c r="B153" s="8">
        <f t="shared" si="326"/>
        <v>52</v>
      </c>
      <c r="C153" s="8" t="s">
        <v>105</v>
      </c>
      <c r="D153" s="232" t="s">
        <v>193</v>
      </c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142"/>
      <c r="P153" s="88">
        <f t="shared" si="212"/>
        <v>584</v>
      </c>
      <c r="Q153" s="160">
        <f t="shared" ref="Q153:W153" si="358">Q152</f>
        <v>37</v>
      </c>
      <c r="R153" s="152">
        <f t="shared" si="358"/>
        <v>19</v>
      </c>
      <c r="S153" s="152">
        <f t="shared" si="358"/>
        <v>19</v>
      </c>
      <c r="T153" s="134">
        <f t="shared" si="358"/>
        <v>73</v>
      </c>
      <c r="U153" s="134">
        <f t="shared" si="358"/>
        <v>73</v>
      </c>
      <c r="V153" s="134">
        <f t="shared" si="358"/>
        <v>37</v>
      </c>
      <c r="W153" s="134">
        <f t="shared" si="358"/>
        <v>37</v>
      </c>
      <c r="X153" s="134">
        <f t="shared" ref="X153:X155" si="364">X152+1</f>
        <v>146</v>
      </c>
      <c r="Y153" s="22"/>
      <c r="Z153" s="22">
        <f>Z152+90</f>
        <v>12515</v>
      </c>
      <c r="AA153" s="22">
        <f>AA152+45</f>
        <v>6935</v>
      </c>
      <c r="AB153" s="152">
        <f t="shared" ref="AB153:AC153" si="359">Z153-Z152</f>
        <v>90</v>
      </c>
      <c r="AC153" s="152">
        <f t="shared" si="359"/>
        <v>45</v>
      </c>
      <c r="AD153" s="22">
        <f t="shared" ref="AD153:AG153" si="360">AD152</f>
        <v>6305</v>
      </c>
      <c r="AE153" s="22">
        <f t="shared" si="360"/>
        <v>3470</v>
      </c>
      <c r="AF153" s="22">
        <f t="shared" si="360"/>
        <v>7045</v>
      </c>
      <c r="AG153" s="22">
        <f t="shared" si="360"/>
        <v>4210</v>
      </c>
      <c r="AH153" s="22"/>
      <c r="AI153" s="22"/>
      <c r="AJ153" s="22"/>
      <c r="AK153" s="572"/>
      <c r="AL153" s="572"/>
      <c r="AM153" s="572">
        <f t="shared" si="54"/>
        <v>21.42979452</v>
      </c>
      <c r="AN153" s="572"/>
      <c r="AO153" s="153"/>
      <c r="AP153" s="22"/>
      <c r="AQ153" s="22"/>
      <c r="AR153" s="22"/>
      <c r="AS153" s="22"/>
      <c r="AT153" s="22"/>
      <c r="AU153" s="22"/>
      <c r="AV153" s="22"/>
      <c r="AW153" s="134"/>
      <c r="AX153" s="134"/>
      <c r="AY153" s="90"/>
      <c r="AZ153" s="91"/>
      <c r="BA153" s="91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</row>
    <row r="154" ht="12.75" hidden="1" customHeight="1">
      <c r="A154" s="8">
        <f t="shared" si="325"/>
        <v>112</v>
      </c>
      <c r="B154" s="8">
        <f t="shared" si="326"/>
        <v>56</v>
      </c>
      <c r="C154" s="8" t="s">
        <v>106</v>
      </c>
      <c r="D154" s="232" t="s">
        <v>194</v>
      </c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142"/>
      <c r="P154" s="88">
        <f t="shared" si="212"/>
        <v>588</v>
      </c>
      <c r="Q154" s="160">
        <f>Q153+1</f>
        <v>38</v>
      </c>
      <c r="R154" s="152">
        <f t="shared" ref="R154:S154" si="361">R153</f>
        <v>19</v>
      </c>
      <c r="S154" s="152">
        <f t="shared" si="361"/>
        <v>19</v>
      </c>
      <c r="T154" s="134">
        <f t="shared" ref="T154:U154" si="362">T153+1</f>
        <v>74</v>
      </c>
      <c r="U154" s="134">
        <f t="shared" si="362"/>
        <v>74</v>
      </c>
      <c r="V154" s="134">
        <f t="shared" ref="V154:W154" si="363">V153</f>
        <v>37</v>
      </c>
      <c r="W154" s="134">
        <f t="shared" si="363"/>
        <v>37</v>
      </c>
      <c r="X154" s="134">
        <f t="shared" si="364"/>
        <v>147</v>
      </c>
      <c r="Y154" s="22"/>
      <c r="Z154" s="22">
        <f>Z153+80</f>
        <v>12595</v>
      </c>
      <c r="AA154" s="22">
        <f>AA153+50</f>
        <v>6985</v>
      </c>
      <c r="AB154" s="152">
        <f t="shared" ref="AB154:AC154" si="365">Z154-Z153</f>
        <v>80</v>
      </c>
      <c r="AC154" s="152">
        <f t="shared" si="365"/>
        <v>50</v>
      </c>
      <c r="AD154" s="22">
        <f>AD153+90</f>
        <v>6395</v>
      </c>
      <c r="AE154" s="22">
        <f>AE153+45</f>
        <v>3515</v>
      </c>
      <c r="AF154" s="22">
        <f>AF153+90</f>
        <v>7135</v>
      </c>
      <c r="AG154" s="22">
        <f>45+AG153</f>
        <v>4255</v>
      </c>
      <c r="AH154" s="22"/>
      <c r="AI154" s="22"/>
      <c r="AJ154" s="22"/>
      <c r="AK154" s="572"/>
      <c r="AL154" s="572"/>
      <c r="AM154" s="572">
        <f t="shared" si="54"/>
        <v>21.42006803</v>
      </c>
      <c r="AN154" s="572"/>
      <c r="AO154" s="153"/>
      <c r="AP154" s="22"/>
      <c r="AQ154" s="22"/>
      <c r="AR154" s="22"/>
      <c r="AS154" s="22"/>
      <c r="AT154" s="22"/>
      <c r="AU154" s="22"/>
      <c r="AV154" s="22"/>
      <c r="AW154" s="134"/>
      <c r="AX154" s="134"/>
      <c r="AY154" s="90"/>
      <c r="AZ154" s="91"/>
      <c r="BA154" s="91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</row>
    <row r="155" ht="12.75" hidden="1" customHeight="1">
      <c r="A155" s="8">
        <f t="shared" si="325"/>
        <v>120</v>
      </c>
      <c r="B155" s="8">
        <f t="shared" si="326"/>
        <v>60</v>
      </c>
      <c r="C155" s="1" t="s">
        <v>74</v>
      </c>
      <c r="D155" s="232" t="s">
        <v>195</v>
      </c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142"/>
      <c r="P155" s="88">
        <f t="shared" si="212"/>
        <v>592</v>
      </c>
      <c r="Q155" s="160">
        <f>Q154-1</f>
        <v>37</v>
      </c>
      <c r="R155" s="152">
        <f t="shared" ref="R155:W155" si="366">R154</f>
        <v>19</v>
      </c>
      <c r="S155" s="152">
        <f t="shared" si="366"/>
        <v>19</v>
      </c>
      <c r="T155" s="134">
        <f t="shared" si="366"/>
        <v>74</v>
      </c>
      <c r="U155" s="134">
        <f t="shared" si="366"/>
        <v>74</v>
      </c>
      <c r="V155" s="134">
        <f t="shared" si="366"/>
        <v>37</v>
      </c>
      <c r="W155" s="134">
        <f t="shared" si="366"/>
        <v>37</v>
      </c>
      <c r="X155" s="134">
        <f t="shared" si="364"/>
        <v>148</v>
      </c>
      <c r="Y155" s="22"/>
      <c r="Z155" s="22">
        <f>Z154+70</f>
        <v>12665</v>
      </c>
      <c r="AA155" s="22">
        <f>AA154+45</f>
        <v>7030</v>
      </c>
      <c r="AB155" s="152">
        <f t="shared" ref="AB155:AC155" si="367">Z155-Z154</f>
        <v>70</v>
      </c>
      <c r="AC155" s="152">
        <f t="shared" si="367"/>
        <v>45</v>
      </c>
      <c r="AD155" s="22">
        <f t="shared" ref="AD155:AG155" si="368">AD154</f>
        <v>6395</v>
      </c>
      <c r="AE155" s="22">
        <f t="shared" si="368"/>
        <v>3515</v>
      </c>
      <c r="AF155" s="22">
        <f t="shared" si="368"/>
        <v>7135</v>
      </c>
      <c r="AG155" s="22">
        <f t="shared" si="368"/>
        <v>4255</v>
      </c>
      <c r="AH155" s="22"/>
      <c r="AI155" s="22"/>
      <c r="AJ155" s="22"/>
      <c r="AK155" s="572"/>
      <c r="AL155" s="572"/>
      <c r="AM155" s="572">
        <f t="shared" si="54"/>
        <v>21.39358108</v>
      </c>
      <c r="AN155" s="572"/>
      <c r="AO155" s="153"/>
      <c r="AP155" s="22"/>
      <c r="AQ155" s="22"/>
      <c r="AR155" s="22"/>
      <c r="AS155" s="22"/>
      <c r="AT155" s="22"/>
      <c r="AU155" s="22"/>
      <c r="AV155" s="22"/>
      <c r="AW155" s="134"/>
      <c r="AX155" s="134"/>
      <c r="AY155" s="90"/>
      <c r="AZ155" s="91"/>
      <c r="BA155" s="91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</row>
    <row r="156" ht="12.75" hidden="1" customHeight="1">
      <c r="A156" s="8">
        <f t="shared" si="325"/>
        <v>128</v>
      </c>
      <c r="B156" s="8">
        <f t="shared" si="326"/>
        <v>64</v>
      </c>
      <c r="C156" s="1" t="s">
        <v>87</v>
      </c>
      <c r="D156" s="232" t="s">
        <v>196</v>
      </c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142"/>
      <c r="P156" s="88">
        <f t="shared" si="212"/>
        <v>596</v>
      </c>
      <c r="Q156" s="160">
        <f t="shared" ref="Q156:X156" si="369">Q155+1</f>
        <v>38</v>
      </c>
      <c r="R156" s="152">
        <f t="shared" si="369"/>
        <v>20</v>
      </c>
      <c r="S156" s="152">
        <f t="shared" si="369"/>
        <v>20</v>
      </c>
      <c r="T156" s="134">
        <f t="shared" si="369"/>
        <v>75</v>
      </c>
      <c r="U156" s="134">
        <f t="shared" si="369"/>
        <v>75</v>
      </c>
      <c r="V156" s="134">
        <f t="shared" si="369"/>
        <v>38</v>
      </c>
      <c r="W156" s="134">
        <f t="shared" si="369"/>
        <v>38</v>
      </c>
      <c r="X156" s="134">
        <f t="shared" si="369"/>
        <v>149</v>
      </c>
      <c r="Y156" s="22"/>
      <c r="Z156" s="22">
        <f>Z155+100</f>
        <v>12765</v>
      </c>
      <c r="AA156" s="22">
        <f>AA155+50</f>
        <v>7080</v>
      </c>
      <c r="AB156" s="152">
        <f t="shared" ref="AB156:AC156" si="370">Z156-Z155</f>
        <v>100</v>
      </c>
      <c r="AC156" s="152">
        <f t="shared" si="370"/>
        <v>50</v>
      </c>
      <c r="AD156" s="22">
        <f>AD155+80</f>
        <v>6475</v>
      </c>
      <c r="AE156" s="22">
        <f>AE155+50</f>
        <v>3565</v>
      </c>
      <c r="AF156" s="22">
        <f>AF155+100</f>
        <v>7235</v>
      </c>
      <c r="AG156" s="22">
        <f>AG155+70</f>
        <v>4325</v>
      </c>
      <c r="AH156" s="22"/>
      <c r="AI156" s="22"/>
      <c r="AJ156" s="22"/>
      <c r="AK156" s="572"/>
      <c r="AL156" s="572"/>
      <c r="AM156" s="572">
        <f t="shared" si="54"/>
        <v>21.41778523</v>
      </c>
      <c r="AN156" s="572"/>
      <c r="AO156" s="153"/>
      <c r="AP156" s="22"/>
      <c r="AQ156" s="22"/>
      <c r="AR156" s="22"/>
      <c r="AS156" s="22"/>
      <c r="AT156" s="22"/>
      <c r="AU156" s="22"/>
      <c r="AV156" s="22"/>
      <c r="AW156" s="134"/>
      <c r="AX156" s="134"/>
      <c r="AY156" s="90"/>
      <c r="AZ156" s="91"/>
      <c r="BA156" s="91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</row>
    <row r="157" ht="12.75" customHeight="1">
      <c r="A157" s="8">
        <f t="shared" si="325"/>
        <v>136</v>
      </c>
      <c r="B157" s="8">
        <f t="shared" si="326"/>
        <v>68</v>
      </c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142"/>
      <c r="P157" s="88">
        <f t="shared" si="212"/>
        <v>600</v>
      </c>
      <c r="Q157" s="160">
        <f t="shared" ref="Q157:W157" si="371">Q156</f>
        <v>38</v>
      </c>
      <c r="R157" s="152">
        <f t="shared" si="371"/>
        <v>20</v>
      </c>
      <c r="S157" s="152">
        <f t="shared" si="371"/>
        <v>20</v>
      </c>
      <c r="T157" s="134">
        <f t="shared" si="371"/>
        <v>75</v>
      </c>
      <c r="U157" s="134">
        <f t="shared" si="371"/>
        <v>75</v>
      </c>
      <c r="V157" s="134">
        <f t="shared" si="371"/>
        <v>38</v>
      </c>
      <c r="W157" s="134">
        <f t="shared" si="371"/>
        <v>38</v>
      </c>
      <c r="X157" s="134">
        <f t="shared" ref="X157:X159" si="377">X156+1</f>
        <v>150</v>
      </c>
      <c r="Y157" s="22"/>
      <c r="Z157" s="22">
        <f>Z156+90</f>
        <v>12855</v>
      </c>
      <c r="AA157" s="22">
        <f>AA156+45</f>
        <v>7125</v>
      </c>
      <c r="AB157" s="152">
        <f t="shared" ref="AB157:AC157" si="372">Z157-Z156</f>
        <v>90</v>
      </c>
      <c r="AC157" s="152">
        <f t="shared" si="372"/>
        <v>45</v>
      </c>
      <c r="AD157" s="22">
        <f t="shared" ref="AD157:AG157" si="373">AD156</f>
        <v>6475</v>
      </c>
      <c r="AE157" s="22">
        <f t="shared" si="373"/>
        <v>3565</v>
      </c>
      <c r="AF157" s="22">
        <f t="shared" si="373"/>
        <v>7235</v>
      </c>
      <c r="AG157" s="22">
        <f t="shared" si="373"/>
        <v>4325</v>
      </c>
      <c r="AH157" s="22"/>
      <c r="AI157" s="22"/>
      <c r="AJ157" s="22"/>
      <c r="AK157" s="572"/>
      <c r="AL157" s="572"/>
      <c r="AM157" s="572">
        <f t="shared" si="54"/>
        <v>21.425</v>
      </c>
      <c r="AN157" s="572"/>
      <c r="AO157" s="153"/>
      <c r="AP157" s="22"/>
      <c r="AQ157" s="22"/>
      <c r="AR157" s="22"/>
      <c r="AS157" s="22"/>
      <c r="AT157" s="22"/>
      <c r="AU157" s="22"/>
      <c r="AV157" s="22"/>
      <c r="AW157" s="134"/>
      <c r="AX157" s="134"/>
      <c r="AY157" s="90"/>
      <c r="AZ157" s="91"/>
      <c r="BA157" s="91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</row>
    <row r="158" ht="12.75" hidden="1" customHeight="1">
      <c r="A158" s="8">
        <f t="shared" si="325"/>
        <v>144</v>
      </c>
      <c r="B158" s="8">
        <f t="shared" si="326"/>
        <v>72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142"/>
      <c r="P158" s="88">
        <f t="shared" si="212"/>
        <v>604</v>
      </c>
      <c r="Q158" s="160">
        <f>Q157+1</f>
        <v>39</v>
      </c>
      <c r="R158" s="152">
        <f t="shared" ref="R158:S158" si="374">R157-1</f>
        <v>19</v>
      </c>
      <c r="S158" s="152">
        <f t="shared" si="374"/>
        <v>19</v>
      </c>
      <c r="T158" s="134">
        <f t="shared" ref="T158:U158" si="375">T157+1</f>
        <v>76</v>
      </c>
      <c r="U158" s="134">
        <f t="shared" si="375"/>
        <v>76</v>
      </c>
      <c r="V158" s="134">
        <f t="shared" ref="V158:W158" si="376">V157</f>
        <v>38</v>
      </c>
      <c r="W158" s="134">
        <f t="shared" si="376"/>
        <v>38</v>
      </c>
      <c r="X158" s="134">
        <f t="shared" si="377"/>
        <v>151</v>
      </c>
      <c r="Y158" s="22"/>
      <c r="Z158" s="22">
        <f>Z157+80</f>
        <v>12935</v>
      </c>
      <c r="AA158" s="22">
        <f>AA157+50</f>
        <v>7175</v>
      </c>
      <c r="AB158" s="152">
        <f t="shared" ref="AB158:AC158" si="378">Z158-Z157</f>
        <v>80</v>
      </c>
      <c r="AC158" s="152">
        <f t="shared" si="378"/>
        <v>50</v>
      </c>
      <c r="AD158" s="22">
        <f>AD157+70</f>
        <v>6545</v>
      </c>
      <c r="AE158" s="22">
        <f>AE157+45</f>
        <v>3610</v>
      </c>
      <c r="AF158" s="22">
        <f>AF157+70</f>
        <v>7305</v>
      </c>
      <c r="AG158" s="22">
        <f>45+AG157</f>
        <v>4370</v>
      </c>
      <c r="AH158" s="22"/>
      <c r="AI158" s="22"/>
      <c r="AJ158" s="22"/>
      <c r="AK158" s="572"/>
      <c r="AL158" s="572"/>
      <c r="AM158" s="572">
        <f t="shared" si="54"/>
        <v>21.41556291</v>
      </c>
      <c r="AN158" s="572"/>
      <c r="AO158" s="153"/>
      <c r="AP158" s="22"/>
      <c r="AQ158" s="22"/>
      <c r="AR158" s="22"/>
      <c r="AS158" s="22"/>
      <c r="AT158" s="22"/>
      <c r="AU158" s="22"/>
      <c r="AV158" s="22"/>
      <c r="AW158" s="134"/>
      <c r="AX158" s="134"/>
      <c r="AY158" s="90"/>
      <c r="AZ158" s="91"/>
      <c r="BA158" s="91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</row>
    <row r="159" ht="12.75" hidden="1" customHeight="1">
      <c r="A159" s="8">
        <f t="shared" si="325"/>
        <v>152</v>
      </c>
      <c r="B159" s="8">
        <f t="shared" si="326"/>
        <v>76</v>
      </c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142"/>
      <c r="P159" s="88">
        <f t="shared" si="212"/>
        <v>608</v>
      </c>
      <c r="Q159" s="160">
        <f>Q158-1</f>
        <v>38</v>
      </c>
      <c r="R159" s="152">
        <f t="shared" ref="R159:W159" si="379">R158</f>
        <v>19</v>
      </c>
      <c r="S159" s="152">
        <f t="shared" si="379"/>
        <v>19</v>
      </c>
      <c r="T159" s="134">
        <f t="shared" si="379"/>
        <v>76</v>
      </c>
      <c r="U159" s="134">
        <f t="shared" si="379"/>
        <v>76</v>
      </c>
      <c r="V159" s="134">
        <f t="shared" si="379"/>
        <v>38</v>
      </c>
      <c r="W159" s="134">
        <f t="shared" si="379"/>
        <v>38</v>
      </c>
      <c r="X159" s="134">
        <f t="shared" si="377"/>
        <v>152</v>
      </c>
      <c r="Y159" s="22"/>
      <c r="Z159" s="22">
        <f>Z158+70</f>
        <v>13005</v>
      </c>
      <c r="AA159" s="22">
        <f>AA158+45</f>
        <v>7220</v>
      </c>
      <c r="AB159" s="152">
        <f t="shared" ref="AB159:AC159" si="380">Z159-Z158</f>
        <v>70</v>
      </c>
      <c r="AC159" s="152">
        <f t="shared" si="380"/>
        <v>45</v>
      </c>
      <c r="AD159" s="22">
        <f t="shared" ref="AD159:AG159" si="381">AD158</f>
        <v>6545</v>
      </c>
      <c r="AE159" s="22">
        <f t="shared" si="381"/>
        <v>3610</v>
      </c>
      <c r="AF159" s="22">
        <f t="shared" si="381"/>
        <v>7305</v>
      </c>
      <c r="AG159" s="22">
        <f t="shared" si="381"/>
        <v>4370</v>
      </c>
      <c r="AH159" s="22"/>
      <c r="AI159" s="22"/>
      <c r="AJ159" s="22"/>
      <c r="AK159" s="572"/>
      <c r="AL159" s="572"/>
      <c r="AM159" s="572">
        <f t="shared" si="54"/>
        <v>21.38980263</v>
      </c>
      <c r="AN159" s="572"/>
      <c r="AO159" s="153"/>
      <c r="AP159" s="22"/>
      <c r="AQ159" s="22"/>
      <c r="AR159" s="22"/>
      <c r="AS159" s="22"/>
      <c r="AT159" s="22"/>
      <c r="AU159" s="22"/>
      <c r="AV159" s="22"/>
      <c r="AW159" s="134"/>
      <c r="AX159" s="134"/>
      <c r="AY159" s="90"/>
      <c r="AZ159" s="91"/>
      <c r="BA159" s="91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</row>
    <row r="160" ht="12.75" hidden="1" customHeight="1">
      <c r="A160" s="8">
        <f t="shared" si="325"/>
        <v>160</v>
      </c>
      <c r="B160" s="8">
        <f t="shared" si="326"/>
        <v>80</v>
      </c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142"/>
      <c r="P160" s="88">
        <f t="shared" si="212"/>
        <v>612</v>
      </c>
      <c r="Q160" s="160">
        <f t="shared" ref="Q160:X160" si="382">Q159+1</f>
        <v>39</v>
      </c>
      <c r="R160" s="152">
        <f t="shared" si="382"/>
        <v>20</v>
      </c>
      <c r="S160" s="152">
        <f t="shared" si="382"/>
        <v>20</v>
      </c>
      <c r="T160" s="134">
        <f t="shared" si="382"/>
        <v>77</v>
      </c>
      <c r="U160" s="134">
        <f t="shared" si="382"/>
        <v>77</v>
      </c>
      <c r="V160" s="134">
        <f t="shared" si="382"/>
        <v>39</v>
      </c>
      <c r="W160" s="134">
        <f t="shared" si="382"/>
        <v>39</v>
      </c>
      <c r="X160" s="134">
        <f t="shared" si="382"/>
        <v>153</v>
      </c>
      <c r="Y160" s="22"/>
      <c r="Z160" s="22">
        <f>Z159+100</f>
        <v>13105</v>
      </c>
      <c r="AA160" s="22">
        <f>AA159+50</f>
        <v>7270</v>
      </c>
      <c r="AB160" s="152">
        <f t="shared" ref="AB160:AC160" si="383">Z160-Z159</f>
        <v>100</v>
      </c>
      <c r="AC160" s="152">
        <f t="shared" si="383"/>
        <v>50</v>
      </c>
      <c r="AD160" s="22">
        <f>AD159+100</f>
        <v>6645</v>
      </c>
      <c r="AE160" s="22">
        <f>AE159+50</f>
        <v>3660</v>
      </c>
      <c r="AF160" s="22">
        <f>AF159+120</f>
        <v>7425</v>
      </c>
      <c r="AG160" s="22">
        <f>AG159+70</f>
        <v>4440</v>
      </c>
      <c r="AH160" s="22"/>
      <c r="AI160" s="22"/>
      <c r="AJ160" s="22"/>
      <c r="AK160" s="572"/>
      <c r="AL160" s="572"/>
      <c r="AM160" s="572">
        <f t="shared" si="54"/>
        <v>21.41339869</v>
      </c>
      <c r="AN160" s="572"/>
      <c r="AO160" s="153"/>
      <c r="AP160" s="22"/>
      <c r="AQ160" s="22"/>
      <c r="AR160" s="22"/>
      <c r="AS160" s="22"/>
      <c r="AT160" s="22"/>
      <c r="AU160" s="22"/>
      <c r="AV160" s="22"/>
      <c r="AW160" s="22"/>
      <c r="AX160" s="22"/>
      <c r="AY160" s="91"/>
      <c r="AZ160" s="91"/>
      <c r="BA160" s="91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</row>
    <row r="161" ht="12.75" customHeight="1">
      <c r="A161" s="8">
        <f t="shared" si="325"/>
        <v>168</v>
      </c>
      <c r="B161" s="8">
        <f t="shared" si="326"/>
        <v>84</v>
      </c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142"/>
      <c r="P161" s="88">
        <f t="shared" si="212"/>
        <v>616</v>
      </c>
      <c r="Q161" s="160">
        <f t="shared" ref="Q161:W161" si="384">Q160</f>
        <v>39</v>
      </c>
      <c r="R161" s="152">
        <f t="shared" si="384"/>
        <v>20</v>
      </c>
      <c r="S161" s="152">
        <f t="shared" si="384"/>
        <v>20</v>
      </c>
      <c r="T161" s="134">
        <f t="shared" si="384"/>
        <v>77</v>
      </c>
      <c r="U161" s="134">
        <f t="shared" si="384"/>
        <v>77</v>
      </c>
      <c r="V161" s="134">
        <f t="shared" si="384"/>
        <v>39</v>
      </c>
      <c r="W161" s="134">
        <f t="shared" si="384"/>
        <v>39</v>
      </c>
      <c r="X161" s="134">
        <f t="shared" ref="X161:X163" si="390">X160+1</f>
        <v>154</v>
      </c>
      <c r="Y161" s="22"/>
      <c r="Z161" s="22">
        <f>Z160+90</f>
        <v>13195</v>
      </c>
      <c r="AA161" s="22">
        <f>AA160+45</f>
        <v>7315</v>
      </c>
      <c r="AB161" s="152">
        <f t="shared" ref="AB161:AC161" si="385">Z161-Z160</f>
        <v>90</v>
      </c>
      <c r="AC161" s="152">
        <f t="shared" si="385"/>
        <v>45</v>
      </c>
      <c r="AD161" s="22">
        <f t="shared" ref="AD161:AG161" si="386">AD160</f>
        <v>6645</v>
      </c>
      <c r="AE161" s="22">
        <f t="shared" si="386"/>
        <v>3660</v>
      </c>
      <c r="AF161" s="22">
        <f t="shared" si="386"/>
        <v>7425</v>
      </c>
      <c r="AG161" s="22">
        <f t="shared" si="386"/>
        <v>4440</v>
      </c>
      <c r="AH161" s="22"/>
      <c r="AI161" s="22"/>
      <c r="AJ161" s="22"/>
      <c r="AK161" s="22"/>
      <c r="AL161" s="22"/>
      <c r="AM161" s="572">
        <f t="shared" si="54"/>
        <v>21.42045455</v>
      </c>
      <c r="AN161" s="577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91"/>
      <c r="AZ161" s="91"/>
      <c r="BA161" s="91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</row>
    <row r="162" ht="12.75" hidden="1" customHeight="1">
      <c r="A162" s="8">
        <f t="shared" si="325"/>
        <v>176</v>
      </c>
      <c r="B162" s="8">
        <f t="shared" si="326"/>
        <v>88</v>
      </c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142"/>
      <c r="P162" s="88">
        <f t="shared" si="212"/>
        <v>620</v>
      </c>
      <c r="Q162" s="160">
        <f>Q161+1</f>
        <v>40</v>
      </c>
      <c r="R162" s="152">
        <f t="shared" ref="R162:S162" si="387">R161</f>
        <v>20</v>
      </c>
      <c r="S162" s="152">
        <f t="shared" si="387"/>
        <v>20</v>
      </c>
      <c r="T162" s="134">
        <f t="shared" ref="T162:U162" si="388">T161+1</f>
        <v>78</v>
      </c>
      <c r="U162" s="134">
        <f t="shared" si="388"/>
        <v>78</v>
      </c>
      <c r="V162" s="134">
        <f t="shared" ref="V162:W162" si="389">V161</f>
        <v>39</v>
      </c>
      <c r="W162" s="134">
        <f t="shared" si="389"/>
        <v>39</v>
      </c>
      <c r="X162" s="134">
        <f t="shared" si="390"/>
        <v>155</v>
      </c>
      <c r="Y162" s="22"/>
      <c r="Z162" s="22">
        <f>Z161+80</f>
        <v>13275</v>
      </c>
      <c r="AA162" s="22">
        <f>AA161+50</f>
        <v>7365</v>
      </c>
      <c r="AB162" s="152">
        <f t="shared" ref="AB162:AC162" si="391">Z162-Z161</f>
        <v>80</v>
      </c>
      <c r="AC162" s="152">
        <f t="shared" si="391"/>
        <v>50</v>
      </c>
      <c r="AD162" s="22">
        <f>AD161+90</f>
        <v>6735</v>
      </c>
      <c r="AE162" s="22">
        <f>AE161+45</f>
        <v>3705</v>
      </c>
      <c r="AF162" s="22">
        <f>AF161+90</f>
        <v>7515</v>
      </c>
      <c r="AG162" s="22">
        <f>45+AG161</f>
        <v>4485</v>
      </c>
      <c r="AH162" s="22"/>
      <c r="AI162" s="22"/>
      <c r="AJ162" s="22"/>
      <c r="AK162" s="22"/>
      <c r="AL162" s="22"/>
      <c r="AM162" s="572">
        <f t="shared" si="54"/>
        <v>21.41129032</v>
      </c>
      <c r="AN162" s="577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91"/>
      <c r="AZ162" s="91"/>
      <c r="BA162" s="91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</row>
    <row r="163" ht="12.75" hidden="1" customHeight="1">
      <c r="A163" s="8">
        <f t="shared" si="325"/>
        <v>184</v>
      </c>
      <c r="B163" s="8">
        <f t="shared" si="326"/>
        <v>92</v>
      </c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142"/>
      <c r="P163" s="88">
        <f t="shared" si="212"/>
        <v>624</v>
      </c>
      <c r="Q163" s="160">
        <f>Q162-1</f>
        <v>39</v>
      </c>
      <c r="R163" s="152">
        <f t="shared" ref="R163:W163" si="392">R162</f>
        <v>20</v>
      </c>
      <c r="S163" s="152">
        <f t="shared" si="392"/>
        <v>20</v>
      </c>
      <c r="T163" s="134">
        <f t="shared" si="392"/>
        <v>78</v>
      </c>
      <c r="U163" s="134">
        <f t="shared" si="392"/>
        <v>78</v>
      </c>
      <c r="V163" s="134">
        <f t="shared" si="392"/>
        <v>39</v>
      </c>
      <c r="W163" s="134">
        <f t="shared" si="392"/>
        <v>39</v>
      </c>
      <c r="X163" s="134">
        <f t="shared" si="390"/>
        <v>156</v>
      </c>
      <c r="Y163" s="22"/>
      <c r="Z163" s="22">
        <f>Z162+70</f>
        <v>13345</v>
      </c>
      <c r="AA163" s="22">
        <f>AA162+45</f>
        <v>7410</v>
      </c>
      <c r="AB163" s="152">
        <f t="shared" ref="AB163:AC163" si="393">Z163-Z162</f>
        <v>70</v>
      </c>
      <c r="AC163" s="152">
        <f t="shared" si="393"/>
        <v>45</v>
      </c>
      <c r="AD163" s="22">
        <f t="shared" ref="AD163:AG163" si="394">AD162</f>
        <v>6735</v>
      </c>
      <c r="AE163" s="22">
        <f t="shared" si="394"/>
        <v>3705</v>
      </c>
      <c r="AF163" s="22">
        <f t="shared" si="394"/>
        <v>7515</v>
      </c>
      <c r="AG163" s="22">
        <f t="shared" si="394"/>
        <v>4485</v>
      </c>
      <c r="AH163" s="22"/>
      <c r="AI163" s="22"/>
      <c r="AJ163" s="22"/>
      <c r="AK163" s="22"/>
      <c r="AL163" s="22"/>
      <c r="AM163" s="572">
        <f t="shared" si="54"/>
        <v>21.38621795</v>
      </c>
      <c r="AN163" s="577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91"/>
      <c r="AZ163" s="91"/>
      <c r="BA163" s="91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</row>
    <row r="164" ht="12.75" hidden="1" customHeight="1">
      <c r="A164" s="8">
        <f t="shared" si="325"/>
        <v>192</v>
      </c>
      <c r="B164" s="8">
        <f t="shared" si="326"/>
        <v>96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142"/>
      <c r="P164" s="88">
        <f t="shared" si="212"/>
        <v>628</v>
      </c>
      <c r="Q164" s="160">
        <f t="shared" ref="Q164:X164" si="395">Q163+1</f>
        <v>40</v>
      </c>
      <c r="R164" s="152">
        <f t="shared" si="395"/>
        <v>21</v>
      </c>
      <c r="S164" s="152">
        <f t="shared" si="395"/>
        <v>21</v>
      </c>
      <c r="T164" s="134">
        <f t="shared" si="395"/>
        <v>79</v>
      </c>
      <c r="U164" s="134">
        <f t="shared" si="395"/>
        <v>79</v>
      </c>
      <c r="V164" s="134">
        <f t="shared" si="395"/>
        <v>40</v>
      </c>
      <c r="W164" s="134">
        <f t="shared" si="395"/>
        <v>40</v>
      </c>
      <c r="X164" s="134">
        <f t="shared" si="395"/>
        <v>157</v>
      </c>
      <c r="Y164" s="22"/>
      <c r="Z164" s="22">
        <f>Z163+100</f>
        <v>13445</v>
      </c>
      <c r="AA164" s="22">
        <f>AA163+50</f>
        <v>7460</v>
      </c>
      <c r="AB164" s="152">
        <f t="shared" ref="AB164:AC164" si="396">Z164-Z163</f>
        <v>100</v>
      </c>
      <c r="AC164" s="152">
        <f t="shared" si="396"/>
        <v>50</v>
      </c>
      <c r="AD164" s="22">
        <f>AD163+80</f>
        <v>6815</v>
      </c>
      <c r="AE164" s="22">
        <f>AE163+50</f>
        <v>3755</v>
      </c>
      <c r="AF164" s="22">
        <f>AF163+100</f>
        <v>7615</v>
      </c>
      <c r="AG164" s="22">
        <f>AG163+70</f>
        <v>4555</v>
      </c>
      <c r="AH164" s="22"/>
      <c r="AI164" s="22"/>
      <c r="AJ164" s="22"/>
      <c r="AK164" s="22"/>
      <c r="AL164" s="22"/>
      <c r="AM164" s="572">
        <f t="shared" si="54"/>
        <v>21.40923567</v>
      </c>
      <c r="AN164" s="577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91"/>
      <c r="AZ164" s="91"/>
      <c r="BA164" s="91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</row>
    <row r="165" ht="12.75" customHeight="1">
      <c r="A165" s="8">
        <f t="shared" si="325"/>
        <v>200</v>
      </c>
      <c r="B165" s="8">
        <f t="shared" si="326"/>
        <v>100</v>
      </c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142"/>
      <c r="P165" s="88">
        <f t="shared" si="212"/>
        <v>632</v>
      </c>
      <c r="Q165" s="160">
        <f t="shared" ref="Q165:W165" si="397">Q164</f>
        <v>40</v>
      </c>
      <c r="R165" s="152">
        <f t="shared" si="397"/>
        <v>21</v>
      </c>
      <c r="S165" s="152">
        <f t="shared" si="397"/>
        <v>21</v>
      </c>
      <c r="T165" s="134">
        <f t="shared" si="397"/>
        <v>79</v>
      </c>
      <c r="U165" s="134">
        <f t="shared" si="397"/>
        <v>79</v>
      </c>
      <c r="V165" s="134">
        <f t="shared" si="397"/>
        <v>40</v>
      </c>
      <c r="W165" s="134">
        <f t="shared" si="397"/>
        <v>40</v>
      </c>
      <c r="X165" s="134">
        <f t="shared" ref="X165:X167" si="403">X164+1</f>
        <v>158</v>
      </c>
      <c r="Y165" s="22"/>
      <c r="Z165" s="22">
        <f>Z164+90</f>
        <v>13535</v>
      </c>
      <c r="AA165" s="22">
        <f>AA164+45</f>
        <v>7505</v>
      </c>
      <c r="AB165" s="152">
        <f t="shared" ref="AB165:AC165" si="398">Z165-Z164</f>
        <v>90</v>
      </c>
      <c r="AC165" s="152">
        <f t="shared" si="398"/>
        <v>45</v>
      </c>
      <c r="AD165" s="22">
        <f t="shared" ref="AD165:AG165" si="399">AD164</f>
        <v>6815</v>
      </c>
      <c r="AE165" s="22">
        <f t="shared" si="399"/>
        <v>3755</v>
      </c>
      <c r="AF165" s="22">
        <f t="shared" si="399"/>
        <v>7615</v>
      </c>
      <c r="AG165" s="22">
        <f t="shared" si="399"/>
        <v>4555</v>
      </c>
      <c r="AH165" s="22"/>
      <c r="AI165" s="22"/>
      <c r="AJ165" s="22"/>
      <c r="AK165" s="22"/>
      <c r="AL165" s="22"/>
      <c r="AM165" s="572">
        <f t="shared" si="54"/>
        <v>21.41613924</v>
      </c>
      <c r="AN165" s="577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91"/>
      <c r="AZ165" s="91"/>
      <c r="BA165" s="91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</row>
    <row r="166" ht="12.75" hidden="1" customHeight="1">
      <c r="A166" s="8">
        <f t="shared" si="325"/>
        <v>208</v>
      </c>
      <c r="B166" s="8">
        <f t="shared" si="326"/>
        <v>104</v>
      </c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142"/>
      <c r="P166" s="88">
        <f t="shared" si="212"/>
        <v>636</v>
      </c>
      <c r="Q166" s="160">
        <f>Q165+1</f>
        <v>41</v>
      </c>
      <c r="R166" s="152">
        <f t="shared" ref="R166:S166" si="400">R165-1</f>
        <v>20</v>
      </c>
      <c r="S166" s="152">
        <f t="shared" si="400"/>
        <v>20</v>
      </c>
      <c r="T166" s="134">
        <f t="shared" ref="T166:U166" si="401">T165+1</f>
        <v>80</v>
      </c>
      <c r="U166" s="134">
        <f t="shared" si="401"/>
        <v>80</v>
      </c>
      <c r="V166" s="134">
        <f t="shared" ref="V166:W166" si="402">V165</f>
        <v>40</v>
      </c>
      <c r="W166" s="134">
        <f t="shared" si="402"/>
        <v>40</v>
      </c>
      <c r="X166" s="134">
        <f t="shared" si="403"/>
        <v>159</v>
      </c>
      <c r="Y166" s="22"/>
      <c r="Z166" s="22">
        <f>Z165+80</f>
        <v>13615</v>
      </c>
      <c r="AA166" s="22">
        <f>AA165+50</f>
        <v>7555</v>
      </c>
      <c r="AB166" s="152">
        <f t="shared" ref="AB166:AC166" si="404">Z166-Z165</f>
        <v>80</v>
      </c>
      <c r="AC166" s="152">
        <f t="shared" si="404"/>
        <v>50</v>
      </c>
      <c r="AD166" s="22">
        <f>AD165+70</f>
        <v>6885</v>
      </c>
      <c r="AE166" s="22">
        <f>AE165+45</f>
        <v>3800</v>
      </c>
      <c r="AF166" s="22">
        <f>AF165+70</f>
        <v>7685</v>
      </c>
      <c r="AG166" s="22">
        <f>45+AG165</f>
        <v>4600</v>
      </c>
      <c r="AH166" s="22"/>
      <c r="AI166" s="22"/>
      <c r="AJ166" s="22"/>
      <c r="AK166" s="22"/>
      <c r="AL166" s="22"/>
      <c r="AM166" s="572">
        <f t="shared" si="54"/>
        <v>21.4072327</v>
      </c>
      <c r="AN166" s="577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91"/>
      <c r="AZ166" s="91"/>
      <c r="BA166" s="91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</row>
    <row r="167" ht="12.75" hidden="1" customHeight="1">
      <c r="A167" s="8">
        <f t="shared" si="325"/>
        <v>216</v>
      </c>
      <c r="B167" s="8">
        <f t="shared" si="326"/>
        <v>108</v>
      </c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142"/>
      <c r="P167" s="88">
        <f t="shared" si="212"/>
        <v>640</v>
      </c>
      <c r="Q167" s="160">
        <f>Q166-1</f>
        <v>40</v>
      </c>
      <c r="R167" s="152">
        <f t="shared" ref="R167:W167" si="405">R166</f>
        <v>20</v>
      </c>
      <c r="S167" s="152">
        <f t="shared" si="405"/>
        <v>20</v>
      </c>
      <c r="T167" s="134">
        <f t="shared" si="405"/>
        <v>80</v>
      </c>
      <c r="U167" s="134">
        <f t="shared" si="405"/>
        <v>80</v>
      </c>
      <c r="V167" s="134">
        <f t="shared" si="405"/>
        <v>40</v>
      </c>
      <c r="W167" s="134">
        <f t="shared" si="405"/>
        <v>40</v>
      </c>
      <c r="X167" s="134">
        <f t="shared" si="403"/>
        <v>160</v>
      </c>
      <c r="Y167" s="22"/>
      <c r="Z167" s="22">
        <f>Z166+70</f>
        <v>13685</v>
      </c>
      <c r="AA167" s="22">
        <f>AA166+45</f>
        <v>7600</v>
      </c>
      <c r="AB167" s="152">
        <f t="shared" ref="AB167:AC167" si="406">Z167-Z166</f>
        <v>70</v>
      </c>
      <c r="AC167" s="152">
        <f t="shared" si="406"/>
        <v>45</v>
      </c>
      <c r="AD167" s="22">
        <f t="shared" ref="AD167:AG167" si="407">AD166</f>
        <v>6885</v>
      </c>
      <c r="AE167" s="22">
        <f t="shared" si="407"/>
        <v>3800</v>
      </c>
      <c r="AF167" s="22">
        <f t="shared" si="407"/>
        <v>7685</v>
      </c>
      <c r="AG167" s="22">
        <f t="shared" si="407"/>
        <v>4600</v>
      </c>
      <c r="AH167" s="22"/>
      <c r="AI167" s="22"/>
      <c r="AJ167" s="22"/>
      <c r="AK167" s="22"/>
      <c r="AL167" s="22"/>
      <c r="AM167" s="572">
        <f t="shared" si="54"/>
        <v>21.3828125</v>
      </c>
      <c r="AN167" s="577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91"/>
      <c r="AZ167" s="91"/>
      <c r="BA167" s="91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</row>
    <row r="168" ht="12.75" hidden="1" customHeight="1">
      <c r="A168" s="8">
        <f t="shared" si="325"/>
        <v>224</v>
      </c>
      <c r="B168" s="8">
        <f t="shared" si="326"/>
        <v>112</v>
      </c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142"/>
      <c r="P168" s="88">
        <f t="shared" si="212"/>
        <v>644</v>
      </c>
      <c r="Q168" s="160">
        <f t="shared" ref="Q168:X168" si="408">Q167+1</f>
        <v>41</v>
      </c>
      <c r="R168" s="152">
        <f t="shared" si="408"/>
        <v>21</v>
      </c>
      <c r="S168" s="152">
        <f t="shared" si="408"/>
        <v>21</v>
      </c>
      <c r="T168" s="134">
        <f t="shared" si="408"/>
        <v>81</v>
      </c>
      <c r="U168" s="134">
        <f t="shared" si="408"/>
        <v>81</v>
      </c>
      <c r="V168" s="134">
        <f t="shared" si="408"/>
        <v>41</v>
      </c>
      <c r="W168" s="134">
        <f t="shared" si="408"/>
        <v>41</v>
      </c>
      <c r="X168" s="134">
        <f t="shared" si="408"/>
        <v>161</v>
      </c>
      <c r="Y168" s="22"/>
      <c r="Z168" s="22">
        <f>Z167+100</f>
        <v>13785</v>
      </c>
      <c r="AA168" s="22">
        <f>AA167+50</f>
        <v>7650</v>
      </c>
      <c r="AB168" s="152">
        <f t="shared" ref="AB168:AC168" si="409">Z168-Z167</f>
        <v>100</v>
      </c>
      <c r="AC168" s="152">
        <f t="shared" si="409"/>
        <v>50</v>
      </c>
      <c r="AD168" s="22">
        <f>AD167+100</f>
        <v>6985</v>
      </c>
      <c r="AE168" s="22">
        <f>AE167+50</f>
        <v>3850</v>
      </c>
      <c r="AF168" s="22">
        <f>AF167+120</f>
        <v>7805</v>
      </c>
      <c r="AG168" s="22">
        <f>AG167+70</f>
        <v>4670</v>
      </c>
      <c r="AH168" s="22"/>
      <c r="AI168" s="22"/>
      <c r="AJ168" s="22"/>
      <c r="AK168" s="22"/>
      <c r="AL168" s="22"/>
      <c r="AM168" s="572">
        <f t="shared" si="54"/>
        <v>21.4052795</v>
      </c>
      <c r="AN168" s="577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91"/>
      <c r="AZ168" s="91"/>
      <c r="BA168" s="91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</row>
    <row r="169" ht="12.75" customHeight="1">
      <c r="A169" s="8">
        <f t="shared" si="325"/>
        <v>232</v>
      </c>
      <c r="B169" s="8">
        <f t="shared" si="326"/>
        <v>116</v>
      </c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142"/>
      <c r="P169" s="88">
        <f t="shared" si="212"/>
        <v>648</v>
      </c>
      <c r="Q169" s="160">
        <f t="shared" ref="Q169:W169" si="410">Q168</f>
        <v>41</v>
      </c>
      <c r="R169" s="152">
        <f t="shared" si="410"/>
        <v>21</v>
      </c>
      <c r="S169" s="152">
        <f t="shared" si="410"/>
        <v>21</v>
      </c>
      <c r="T169" s="134">
        <f t="shared" si="410"/>
        <v>81</v>
      </c>
      <c r="U169" s="134">
        <f t="shared" si="410"/>
        <v>81</v>
      </c>
      <c r="V169" s="134">
        <f t="shared" si="410"/>
        <v>41</v>
      </c>
      <c r="W169" s="134">
        <f t="shared" si="410"/>
        <v>41</v>
      </c>
      <c r="X169" s="134">
        <f t="shared" ref="X169:X171" si="416">X168+1</f>
        <v>162</v>
      </c>
      <c r="Y169" s="22"/>
      <c r="Z169" s="22">
        <f>Z168+90</f>
        <v>13875</v>
      </c>
      <c r="AA169" s="22">
        <f>AA168+45</f>
        <v>7695</v>
      </c>
      <c r="AB169" s="152">
        <f t="shared" ref="AB169:AC169" si="411">Z169-Z168</f>
        <v>90</v>
      </c>
      <c r="AC169" s="152">
        <f t="shared" si="411"/>
        <v>45</v>
      </c>
      <c r="AD169" s="22">
        <f t="shared" ref="AD169:AG169" si="412">AD168</f>
        <v>6985</v>
      </c>
      <c r="AE169" s="22">
        <f t="shared" si="412"/>
        <v>3850</v>
      </c>
      <c r="AF169" s="22">
        <f t="shared" si="412"/>
        <v>7805</v>
      </c>
      <c r="AG169" s="22">
        <f t="shared" si="412"/>
        <v>4670</v>
      </c>
      <c r="AH169" s="22"/>
      <c r="AI169" s="22"/>
      <c r="AJ169" s="22"/>
      <c r="AK169" s="22"/>
      <c r="AL169" s="22"/>
      <c r="AM169" s="572">
        <f t="shared" si="54"/>
        <v>21.41203704</v>
      </c>
      <c r="AN169" s="577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91"/>
      <c r="AZ169" s="91"/>
      <c r="BA169" s="91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</row>
    <row r="170" ht="12.75" hidden="1" customHeight="1">
      <c r="A170" s="8">
        <f t="shared" si="325"/>
        <v>240</v>
      </c>
      <c r="B170" s="8">
        <f t="shared" si="326"/>
        <v>120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142"/>
      <c r="P170" s="88">
        <f t="shared" si="212"/>
        <v>652</v>
      </c>
      <c r="Q170" s="160">
        <f>Q169+1</f>
        <v>42</v>
      </c>
      <c r="R170" s="152">
        <f t="shared" ref="R170:S170" si="413">R169</f>
        <v>21</v>
      </c>
      <c r="S170" s="152">
        <f t="shared" si="413"/>
        <v>21</v>
      </c>
      <c r="T170" s="134">
        <f t="shared" ref="T170:U170" si="414">T169+1</f>
        <v>82</v>
      </c>
      <c r="U170" s="134">
        <f t="shared" si="414"/>
        <v>82</v>
      </c>
      <c r="V170" s="134">
        <f t="shared" ref="V170:W170" si="415">V169</f>
        <v>41</v>
      </c>
      <c r="W170" s="134">
        <f t="shared" si="415"/>
        <v>41</v>
      </c>
      <c r="X170" s="134">
        <f t="shared" si="416"/>
        <v>163</v>
      </c>
      <c r="Y170" s="22"/>
      <c r="Z170" s="22">
        <f>Z169+80</f>
        <v>13955</v>
      </c>
      <c r="AA170" s="22">
        <f>AA169+50</f>
        <v>7745</v>
      </c>
      <c r="AB170" s="152">
        <f t="shared" ref="AB170:AC170" si="417">Z170-Z169</f>
        <v>80</v>
      </c>
      <c r="AC170" s="152">
        <f t="shared" si="417"/>
        <v>50</v>
      </c>
      <c r="AD170" s="22">
        <f>AD169+90</f>
        <v>7075</v>
      </c>
      <c r="AE170" s="22">
        <f>AE169+45</f>
        <v>3895</v>
      </c>
      <c r="AF170" s="22">
        <f>AF169+90</f>
        <v>7895</v>
      </c>
      <c r="AG170" s="22">
        <f>45+AG169</f>
        <v>4715</v>
      </c>
      <c r="AH170" s="22"/>
      <c r="AI170" s="22"/>
      <c r="AJ170" s="22"/>
      <c r="AK170" s="22"/>
      <c r="AL170" s="22"/>
      <c r="AM170" s="572">
        <f t="shared" si="54"/>
        <v>21.40337423</v>
      </c>
      <c r="AN170" s="577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91"/>
      <c r="AZ170" s="91"/>
      <c r="BA170" s="91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</row>
    <row r="171" ht="12.75" hidden="1" customHeight="1">
      <c r="A171" s="8">
        <f t="shared" si="325"/>
        <v>248</v>
      </c>
      <c r="B171" s="8">
        <f t="shared" si="326"/>
        <v>124</v>
      </c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142"/>
      <c r="P171" s="88">
        <f t="shared" si="212"/>
        <v>656</v>
      </c>
      <c r="Q171" s="160">
        <f>Q170-1</f>
        <v>41</v>
      </c>
      <c r="R171" s="152">
        <f t="shared" ref="R171:W171" si="418">R170</f>
        <v>21</v>
      </c>
      <c r="S171" s="152">
        <f t="shared" si="418"/>
        <v>21</v>
      </c>
      <c r="T171" s="134">
        <f t="shared" si="418"/>
        <v>82</v>
      </c>
      <c r="U171" s="134">
        <f t="shared" si="418"/>
        <v>82</v>
      </c>
      <c r="V171" s="134">
        <f t="shared" si="418"/>
        <v>41</v>
      </c>
      <c r="W171" s="134">
        <f t="shared" si="418"/>
        <v>41</v>
      </c>
      <c r="X171" s="134">
        <f t="shared" si="416"/>
        <v>164</v>
      </c>
      <c r="Y171" s="22"/>
      <c r="Z171" s="22">
        <f>Z170+70</f>
        <v>14025</v>
      </c>
      <c r="AA171" s="22">
        <f>AA170+45</f>
        <v>7790</v>
      </c>
      <c r="AB171" s="152">
        <f t="shared" ref="AB171:AC171" si="419">Z171-Z170</f>
        <v>70</v>
      </c>
      <c r="AC171" s="152">
        <f t="shared" si="419"/>
        <v>45</v>
      </c>
      <c r="AD171" s="22">
        <f t="shared" ref="AD171:AG171" si="420">AD170</f>
        <v>7075</v>
      </c>
      <c r="AE171" s="22">
        <f t="shared" si="420"/>
        <v>3895</v>
      </c>
      <c r="AF171" s="22">
        <f t="shared" si="420"/>
        <v>7895</v>
      </c>
      <c r="AG171" s="22">
        <f t="shared" si="420"/>
        <v>4715</v>
      </c>
      <c r="AH171" s="22"/>
      <c r="AI171" s="22"/>
      <c r="AJ171" s="22"/>
      <c r="AK171" s="22"/>
      <c r="AL171" s="22"/>
      <c r="AM171" s="572">
        <f t="shared" si="54"/>
        <v>21.37957317</v>
      </c>
      <c r="AN171" s="577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91"/>
      <c r="AZ171" s="91"/>
      <c r="BA171" s="91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</row>
    <row r="172" ht="12.75" hidden="1" customHeight="1">
      <c r="A172" s="8">
        <f t="shared" si="325"/>
        <v>256</v>
      </c>
      <c r="B172" s="8">
        <f t="shared" si="326"/>
        <v>128</v>
      </c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142"/>
      <c r="P172" s="88">
        <f t="shared" si="212"/>
        <v>660</v>
      </c>
      <c r="Q172" s="160">
        <f t="shared" ref="Q172:X172" si="421">Q171+1</f>
        <v>42</v>
      </c>
      <c r="R172" s="152">
        <f t="shared" si="421"/>
        <v>22</v>
      </c>
      <c r="S172" s="152">
        <f t="shared" si="421"/>
        <v>22</v>
      </c>
      <c r="T172" s="134">
        <f t="shared" si="421"/>
        <v>83</v>
      </c>
      <c r="U172" s="134">
        <f t="shared" si="421"/>
        <v>83</v>
      </c>
      <c r="V172" s="134">
        <f t="shared" si="421"/>
        <v>42</v>
      </c>
      <c r="W172" s="134">
        <f t="shared" si="421"/>
        <v>42</v>
      </c>
      <c r="X172" s="134">
        <f t="shared" si="421"/>
        <v>165</v>
      </c>
      <c r="Y172" s="22"/>
      <c r="Z172" s="22">
        <f>Z171+100</f>
        <v>14125</v>
      </c>
      <c r="AA172" s="22">
        <f>AA171+50</f>
        <v>7840</v>
      </c>
      <c r="AB172" s="152">
        <f t="shared" ref="AB172:AC172" si="422">Z172-Z171</f>
        <v>100</v>
      </c>
      <c r="AC172" s="152">
        <f t="shared" si="422"/>
        <v>50</v>
      </c>
      <c r="AD172" s="22">
        <f>AD171+80</f>
        <v>7155</v>
      </c>
      <c r="AE172" s="22">
        <f>AE171+50</f>
        <v>3945</v>
      </c>
      <c r="AF172" s="22">
        <f>AF171+100</f>
        <v>7995</v>
      </c>
      <c r="AG172" s="22">
        <f>AG171+70</f>
        <v>4785</v>
      </c>
      <c r="AH172" s="22"/>
      <c r="AI172" s="22"/>
      <c r="AJ172" s="22"/>
      <c r="AK172" s="22"/>
      <c r="AL172" s="22"/>
      <c r="AM172" s="572">
        <f t="shared" si="54"/>
        <v>21.40151515</v>
      </c>
      <c r="AN172" s="577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91"/>
      <c r="AZ172" s="91"/>
      <c r="BA172" s="91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</row>
    <row r="173" ht="12.75" customHeight="1">
      <c r="A173" s="8">
        <f t="shared" si="325"/>
        <v>264</v>
      </c>
      <c r="B173" s="8">
        <f t="shared" si="326"/>
        <v>132</v>
      </c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142"/>
      <c r="P173" s="88">
        <f t="shared" si="212"/>
        <v>664</v>
      </c>
      <c r="Q173" s="160">
        <f t="shared" ref="Q173:W173" si="423">Q172</f>
        <v>42</v>
      </c>
      <c r="R173" s="152">
        <f t="shared" si="423"/>
        <v>22</v>
      </c>
      <c r="S173" s="152">
        <f t="shared" si="423"/>
        <v>22</v>
      </c>
      <c r="T173" s="134">
        <f t="shared" si="423"/>
        <v>83</v>
      </c>
      <c r="U173" s="134">
        <f t="shared" si="423"/>
        <v>83</v>
      </c>
      <c r="V173" s="134">
        <f t="shared" si="423"/>
        <v>42</v>
      </c>
      <c r="W173" s="134">
        <f t="shared" si="423"/>
        <v>42</v>
      </c>
      <c r="X173" s="134">
        <f t="shared" ref="X173:X175" si="429">X172+1</f>
        <v>166</v>
      </c>
      <c r="Y173" s="22"/>
      <c r="Z173" s="22">
        <f>Z172+90</f>
        <v>14215</v>
      </c>
      <c r="AA173" s="22">
        <f>AA172+45</f>
        <v>7885</v>
      </c>
      <c r="AB173" s="152">
        <f t="shared" ref="AB173:AC173" si="424">Z173-Z172</f>
        <v>90</v>
      </c>
      <c r="AC173" s="152">
        <f t="shared" si="424"/>
        <v>45</v>
      </c>
      <c r="AD173" s="22">
        <f t="shared" ref="AD173:AG173" si="425">AD172</f>
        <v>7155</v>
      </c>
      <c r="AE173" s="22">
        <f t="shared" si="425"/>
        <v>3945</v>
      </c>
      <c r="AF173" s="22">
        <f t="shared" si="425"/>
        <v>7995</v>
      </c>
      <c r="AG173" s="22">
        <f t="shared" si="425"/>
        <v>4785</v>
      </c>
      <c r="AH173" s="22"/>
      <c r="AI173" s="22"/>
      <c r="AJ173" s="22"/>
      <c r="AK173" s="22"/>
      <c r="AL173" s="22"/>
      <c r="AM173" s="572">
        <f t="shared" si="54"/>
        <v>21.40813253</v>
      </c>
      <c r="AN173" s="577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91"/>
      <c r="AZ173" s="91"/>
      <c r="BA173" s="91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</row>
    <row r="174" ht="12.75" hidden="1" customHeight="1">
      <c r="A174" s="8">
        <f t="shared" si="325"/>
        <v>272</v>
      </c>
      <c r="B174" s="8">
        <f t="shared" si="326"/>
        <v>136</v>
      </c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142"/>
      <c r="P174" s="88">
        <f t="shared" si="212"/>
        <v>668</v>
      </c>
      <c r="Q174" s="160">
        <f>Q173+1</f>
        <v>43</v>
      </c>
      <c r="R174" s="152">
        <f t="shared" ref="R174:S174" si="426">R173-1</f>
        <v>21</v>
      </c>
      <c r="S174" s="152">
        <f t="shared" si="426"/>
        <v>21</v>
      </c>
      <c r="T174" s="134">
        <f t="shared" ref="T174:U174" si="427">T173+1</f>
        <v>84</v>
      </c>
      <c r="U174" s="134">
        <f t="shared" si="427"/>
        <v>84</v>
      </c>
      <c r="V174" s="134">
        <f t="shared" ref="V174:W174" si="428">V173</f>
        <v>42</v>
      </c>
      <c r="W174" s="134">
        <f t="shared" si="428"/>
        <v>42</v>
      </c>
      <c r="X174" s="134">
        <f t="shared" si="429"/>
        <v>167</v>
      </c>
      <c r="Y174" s="22"/>
      <c r="Z174" s="22">
        <f>Z173+80</f>
        <v>14295</v>
      </c>
      <c r="AA174" s="22">
        <f>AA173+50</f>
        <v>7935</v>
      </c>
      <c r="AB174" s="152">
        <f t="shared" ref="AB174:AC174" si="430">Z174-Z173</f>
        <v>80</v>
      </c>
      <c r="AC174" s="152">
        <f t="shared" si="430"/>
        <v>50</v>
      </c>
      <c r="AD174" s="22">
        <f>AD173+70</f>
        <v>7225</v>
      </c>
      <c r="AE174" s="22">
        <f>AE173+45</f>
        <v>3990</v>
      </c>
      <c r="AF174" s="22">
        <f>AF173+70</f>
        <v>8065</v>
      </c>
      <c r="AG174" s="22">
        <f>45+AG173</f>
        <v>4830</v>
      </c>
      <c r="AH174" s="22"/>
      <c r="AI174" s="22"/>
      <c r="AJ174" s="22"/>
      <c r="AK174" s="22"/>
      <c r="AL174" s="22"/>
      <c r="AM174" s="572">
        <f t="shared" si="54"/>
        <v>21.3997006</v>
      </c>
      <c r="AN174" s="577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91"/>
      <c r="AZ174" s="91"/>
      <c r="BA174" s="91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</row>
    <row r="175" ht="12.75" hidden="1" customHeight="1">
      <c r="A175" s="8">
        <f t="shared" si="325"/>
        <v>280</v>
      </c>
      <c r="B175" s="8">
        <f t="shared" si="326"/>
        <v>140</v>
      </c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142"/>
      <c r="P175" s="88">
        <f t="shared" si="212"/>
        <v>672</v>
      </c>
      <c r="Q175" s="160">
        <f>Q174-1</f>
        <v>42</v>
      </c>
      <c r="R175" s="152">
        <f t="shared" ref="R175:W175" si="431">R174</f>
        <v>21</v>
      </c>
      <c r="S175" s="152">
        <f t="shared" si="431"/>
        <v>21</v>
      </c>
      <c r="T175" s="134">
        <f t="shared" si="431"/>
        <v>84</v>
      </c>
      <c r="U175" s="134">
        <f t="shared" si="431"/>
        <v>84</v>
      </c>
      <c r="V175" s="134">
        <f t="shared" si="431"/>
        <v>42</v>
      </c>
      <c r="W175" s="134">
        <f t="shared" si="431"/>
        <v>42</v>
      </c>
      <c r="X175" s="134">
        <f t="shared" si="429"/>
        <v>168</v>
      </c>
      <c r="Y175" s="22"/>
      <c r="Z175" s="22">
        <f>Z174+70</f>
        <v>14365</v>
      </c>
      <c r="AA175" s="22">
        <f>AA174+45</f>
        <v>7980</v>
      </c>
      <c r="AB175" s="152">
        <f t="shared" ref="AB175:AC175" si="432">Z175-Z174</f>
        <v>70</v>
      </c>
      <c r="AC175" s="152">
        <f t="shared" si="432"/>
        <v>45</v>
      </c>
      <c r="AD175" s="22">
        <f t="shared" ref="AD175:AG175" si="433">AD174</f>
        <v>7225</v>
      </c>
      <c r="AE175" s="22">
        <f t="shared" si="433"/>
        <v>3990</v>
      </c>
      <c r="AF175" s="22">
        <f t="shared" si="433"/>
        <v>8065</v>
      </c>
      <c r="AG175" s="22">
        <f t="shared" si="433"/>
        <v>4830</v>
      </c>
      <c r="AH175" s="22"/>
      <c r="AI175" s="22"/>
      <c r="AJ175" s="22"/>
      <c r="AK175" s="22"/>
      <c r="AL175" s="22"/>
      <c r="AM175" s="572">
        <f t="shared" si="54"/>
        <v>21.3764881</v>
      </c>
      <c r="AN175" s="577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91"/>
      <c r="AZ175" s="91"/>
      <c r="BA175" s="91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</row>
    <row r="176" ht="12.75" hidden="1" customHeight="1">
      <c r="A176" s="8">
        <f t="shared" si="325"/>
        <v>288</v>
      </c>
      <c r="B176" s="8">
        <f t="shared" si="326"/>
        <v>144</v>
      </c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142"/>
      <c r="P176" s="88">
        <f t="shared" si="212"/>
        <v>676</v>
      </c>
      <c r="Q176" s="160">
        <f t="shared" ref="Q176:X176" si="434">Q175+1</f>
        <v>43</v>
      </c>
      <c r="R176" s="152">
        <f t="shared" si="434"/>
        <v>22</v>
      </c>
      <c r="S176" s="152">
        <f t="shared" si="434"/>
        <v>22</v>
      </c>
      <c r="T176" s="134">
        <f t="shared" si="434"/>
        <v>85</v>
      </c>
      <c r="U176" s="134">
        <f t="shared" si="434"/>
        <v>85</v>
      </c>
      <c r="V176" s="134">
        <f t="shared" si="434"/>
        <v>43</v>
      </c>
      <c r="W176" s="134">
        <f t="shared" si="434"/>
        <v>43</v>
      </c>
      <c r="X176" s="134">
        <f t="shared" si="434"/>
        <v>169</v>
      </c>
      <c r="Y176" s="22"/>
      <c r="Z176" s="22">
        <f>Z175+100</f>
        <v>14465</v>
      </c>
      <c r="AA176" s="22">
        <f>AA175+50</f>
        <v>8030</v>
      </c>
      <c r="AB176" s="152">
        <f t="shared" ref="AB176:AC176" si="435">Z176-Z175</f>
        <v>100</v>
      </c>
      <c r="AC176" s="152">
        <f t="shared" si="435"/>
        <v>50</v>
      </c>
      <c r="AD176" s="22">
        <f>AD175+100</f>
        <v>7325</v>
      </c>
      <c r="AE176" s="22">
        <f>AE175+50</f>
        <v>4040</v>
      </c>
      <c r="AF176" s="22">
        <f>AF175+120</f>
        <v>8185</v>
      </c>
      <c r="AG176" s="22">
        <f>AG175+70</f>
        <v>4900</v>
      </c>
      <c r="AH176" s="22"/>
      <c r="AI176" s="22"/>
      <c r="AJ176" s="22"/>
      <c r="AK176" s="22"/>
      <c r="AL176" s="22"/>
      <c r="AM176" s="572">
        <f t="shared" si="54"/>
        <v>21.39792899</v>
      </c>
      <c r="AN176" s="577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91"/>
      <c r="AZ176" s="91"/>
      <c r="BA176" s="91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</row>
    <row r="177" ht="12.75" customHeight="1">
      <c r="A177" s="8">
        <f t="shared" si="325"/>
        <v>296</v>
      </c>
      <c r="B177" s="8">
        <f t="shared" si="326"/>
        <v>148</v>
      </c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142"/>
      <c r="P177" s="88">
        <f t="shared" si="212"/>
        <v>680</v>
      </c>
      <c r="Q177" s="160">
        <f t="shared" ref="Q177:W177" si="436">Q176</f>
        <v>43</v>
      </c>
      <c r="R177" s="152">
        <f t="shared" si="436"/>
        <v>22</v>
      </c>
      <c r="S177" s="152">
        <f t="shared" si="436"/>
        <v>22</v>
      </c>
      <c r="T177" s="134">
        <f t="shared" si="436"/>
        <v>85</v>
      </c>
      <c r="U177" s="134">
        <f t="shared" si="436"/>
        <v>85</v>
      </c>
      <c r="V177" s="134">
        <f t="shared" si="436"/>
        <v>43</v>
      </c>
      <c r="W177" s="134">
        <f t="shared" si="436"/>
        <v>43</v>
      </c>
      <c r="X177" s="134">
        <f t="shared" ref="X177:X179" si="442">X176+1</f>
        <v>170</v>
      </c>
      <c r="Y177" s="22"/>
      <c r="Z177" s="22">
        <f>Z176+90</f>
        <v>14555</v>
      </c>
      <c r="AA177" s="22">
        <f>AA176+45</f>
        <v>8075</v>
      </c>
      <c r="AB177" s="152">
        <f t="shared" ref="AB177:AC177" si="437">Z177-Z176</f>
        <v>90</v>
      </c>
      <c r="AC177" s="152">
        <f t="shared" si="437"/>
        <v>45</v>
      </c>
      <c r="AD177" s="22">
        <f t="shared" ref="AD177:AG177" si="438">AD176</f>
        <v>7325</v>
      </c>
      <c r="AE177" s="22">
        <f t="shared" si="438"/>
        <v>4040</v>
      </c>
      <c r="AF177" s="22">
        <f t="shared" si="438"/>
        <v>8185</v>
      </c>
      <c r="AG177" s="22">
        <f t="shared" si="438"/>
        <v>4900</v>
      </c>
      <c r="AH177" s="22"/>
      <c r="AI177" s="22"/>
      <c r="AJ177" s="22"/>
      <c r="AK177" s="22"/>
      <c r="AL177" s="22"/>
      <c r="AM177" s="572">
        <f t="shared" si="54"/>
        <v>21.40441176</v>
      </c>
      <c r="AN177" s="577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91"/>
      <c r="AZ177" s="91"/>
      <c r="BA177" s="91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</row>
    <row r="178" ht="12.75" hidden="1" customHeight="1">
      <c r="A178" s="8">
        <f t="shared" si="325"/>
        <v>304</v>
      </c>
      <c r="B178" s="8">
        <f t="shared" si="326"/>
        <v>152</v>
      </c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142"/>
      <c r="P178" s="88">
        <f t="shared" si="212"/>
        <v>684</v>
      </c>
      <c r="Q178" s="160">
        <f>Q177+1</f>
        <v>44</v>
      </c>
      <c r="R178" s="152">
        <f t="shared" ref="R178:S178" si="439">R177</f>
        <v>22</v>
      </c>
      <c r="S178" s="152">
        <f t="shared" si="439"/>
        <v>22</v>
      </c>
      <c r="T178" s="134">
        <f t="shared" ref="T178:U178" si="440">T177+1</f>
        <v>86</v>
      </c>
      <c r="U178" s="134">
        <f t="shared" si="440"/>
        <v>86</v>
      </c>
      <c r="V178" s="134">
        <f t="shared" ref="V178:W178" si="441">V177</f>
        <v>43</v>
      </c>
      <c r="W178" s="134">
        <f t="shared" si="441"/>
        <v>43</v>
      </c>
      <c r="X178" s="134">
        <f t="shared" si="442"/>
        <v>171</v>
      </c>
      <c r="Y178" s="22"/>
      <c r="Z178" s="22">
        <f>Z177+80</f>
        <v>14635</v>
      </c>
      <c r="AA178" s="22">
        <f>AA177+50</f>
        <v>8125</v>
      </c>
      <c r="AB178" s="152">
        <f t="shared" ref="AB178:AC178" si="443">Z178-Z177</f>
        <v>80</v>
      </c>
      <c r="AC178" s="152">
        <f t="shared" si="443"/>
        <v>50</v>
      </c>
      <c r="AD178" s="22">
        <f>AD177+90</f>
        <v>7415</v>
      </c>
      <c r="AE178" s="22">
        <f>AE177+45</f>
        <v>4085</v>
      </c>
      <c r="AF178" s="22">
        <f>AF177+90</f>
        <v>8275</v>
      </c>
      <c r="AG178" s="22">
        <f>45+AG177</f>
        <v>4945</v>
      </c>
      <c r="AH178" s="22"/>
      <c r="AI178" s="22"/>
      <c r="AJ178" s="22"/>
      <c r="AK178" s="22"/>
      <c r="AL178" s="22"/>
      <c r="AM178" s="572">
        <f t="shared" si="54"/>
        <v>21.39619883</v>
      </c>
      <c r="AN178" s="577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91"/>
      <c r="AZ178" s="91"/>
      <c r="BA178" s="91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</row>
    <row r="179" ht="12.75" hidden="1" customHeight="1">
      <c r="A179" s="8">
        <f t="shared" si="325"/>
        <v>312</v>
      </c>
      <c r="B179" s="8">
        <f t="shared" si="326"/>
        <v>156</v>
      </c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142"/>
      <c r="P179" s="88">
        <f t="shared" si="212"/>
        <v>688</v>
      </c>
      <c r="Q179" s="160">
        <f>Q178-1</f>
        <v>43</v>
      </c>
      <c r="R179" s="152">
        <f t="shared" ref="R179:W179" si="444">R178</f>
        <v>22</v>
      </c>
      <c r="S179" s="152">
        <f t="shared" si="444"/>
        <v>22</v>
      </c>
      <c r="T179" s="134">
        <f t="shared" si="444"/>
        <v>86</v>
      </c>
      <c r="U179" s="134">
        <f t="shared" si="444"/>
        <v>86</v>
      </c>
      <c r="V179" s="134">
        <f t="shared" si="444"/>
        <v>43</v>
      </c>
      <c r="W179" s="134">
        <f t="shared" si="444"/>
        <v>43</v>
      </c>
      <c r="X179" s="134">
        <f t="shared" si="442"/>
        <v>172</v>
      </c>
      <c r="Y179" s="22"/>
      <c r="Z179" s="22">
        <f>Z178+70</f>
        <v>14705</v>
      </c>
      <c r="AA179" s="22">
        <f>AA178+45</f>
        <v>8170</v>
      </c>
      <c r="AB179" s="152">
        <f t="shared" ref="AB179:AC179" si="445">Z179-Z178</f>
        <v>70</v>
      </c>
      <c r="AC179" s="152">
        <f t="shared" si="445"/>
        <v>45</v>
      </c>
      <c r="AD179" s="22">
        <f t="shared" ref="AD179:AG179" si="446">AD178</f>
        <v>7415</v>
      </c>
      <c r="AE179" s="22">
        <f t="shared" si="446"/>
        <v>4085</v>
      </c>
      <c r="AF179" s="22">
        <f t="shared" si="446"/>
        <v>8275</v>
      </c>
      <c r="AG179" s="22">
        <f t="shared" si="446"/>
        <v>4945</v>
      </c>
      <c r="AH179" s="22"/>
      <c r="AI179" s="22"/>
      <c r="AJ179" s="22"/>
      <c r="AK179" s="22"/>
      <c r="AL179" s="22"/>
      <c r="AM179" s="572">
        <f t="shared" si="54"/>
        <v>21.37354651</v>
      </c>
      <c r="AN179" s="577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91"/>
      <c r="AZ179" s="91"/>
      <c r="BA179" s="91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</row>
    <row r="180" ht="12.75" hidden="1" customHeight="1">
      <c r="A180" s="8">
        <f t="shared" si="325"/>
        <v>320</v>
      </c>
      <c r="B180" s="8">
        <f t="shared" si="326"/>
        <v>160</v>
      </c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142"/>
      <c r="P180" s="88">
        <f t="shared" si="212"/>
        <v>692</v>
      </c>
      <c r="Q180" s="160">
        <f t="shared" ref="Q180:X180" si="447">Q179+1</f>
        <v>44</v>
      </c>
      <c r="R180" s="152">
        <f t="shared" si="447"/>
        <v>23</v>
      </c>
      <c r="S180" s="152">
        <f t="shared" si="447"/>
        <v>23</v>
      </c>
      <c r="T180" s="134">
        <f t="shared" si="447"/>
        <v>87</v>
      </c>
      <c r="U180" s="134">
        <f t="shared" si="447"/>
        <v>87</v>
      </c>
      <c r="V180" s="134">
        <f t="shared" si="447"/>
        <v>44</v>
      </c>
      <c r="W180" s="134">
        <f t="shared" si="447"/>
        <v>44</v>
      </c>
      <c r="X180" s="134">
        <f t="shared" si="447"/>
        <v>173</v>
      </c>
      <c r="Y180" s="22"/>
      <c r="Z180" s="22">
        <f>Z179+100</f>
        <v>14805</v>
      </c>
      <c r="AA180" s="22">
        <f>AA179+50</f>
        <v>8220</v>
      </c>
      <c r="AB180" s="152">
        <f t="shared" ref="AB180:AC180" si="448">Z180-Z179</f>
        <v>100</v>
      </c>
      <c r="AC180" s="152">
        <f t="shared" si="448"/>
        <v>50</v>
      </c>
      <c r="AD180" s="22">
        <f>AD179+80</f>
        <v>7495</v>
      </c>
      <c r="AE180" s="22">
        <f>AE179+50</f>
        <v>4135</v>
      </c>
      <c r="AF180" s="22">
        <f>AF179+100</f>
        <v>8375</v>
      </c>
      <c r="AG180" s="22">
        <f>AG179+70</f>
        <v>5015</v>
      </c>
      <c r="AH180" s="22"/>
      <c r="AI180" s="22"/>
      <c r="AJ180" s="22"/>
      <c r="AK180" s="22"/>
      <c r="AL180" s="22"/>
      <c r="AM180" s="572">
        <f t="shared" si="54"/>
        <v>21.39450867</v>
      </c>
      <c r="AN180" s="577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91"/>
      <c r="AZ180" s="91"/>
      <c r="BA180" s="91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</row>
    <row r="181" ht="12.75" customHeight="1">
      <c r="A181" s="8">
        <f t="shared" si="325"/>
        <v>328</v>
      </c>
      <c r="B181" s="8">
        <f t="shared" si="326"/>
        <v>164</v>
      </c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142"/>
      <c r="P181" s="88">
        <f t="shared" si="212"/>
        <v>696</v>
      </c>
      <c r="Q181" s="160">
        <f t="shared" ref="Q181:W181" si="449">Q180</f>
        <v>44</v>
      </c>
      <c r="R181" s="152">
        <f t="shared" si="449"/>
        <v>23</v>
      </c>
      <c r="S181" s="152">
        <f t="shared" si="449"/>
        <v>23</v>
      </c>
      <c r="T181" s="134">
        <f t="shared" si="449"/>
        <v>87</v>
      </c>
      <c r="U181" s="134">
        <f t="shared" si="449"/>
        <v>87</v>
      </c>
      <c r="V181" s="134">
        <f t="shared" si="449"/>
        <v>44</v>
      </c>
      <c r="W181" s="134">
        <f t="shared" si="449"/>
        <v>44</v>
      </c>
      <c r="X181" s="134">
        <f t="shared" ref="X181:X183" si="455">X180+1</f>
        <v>174</v>
      </c>
      <c r="Y181" s="22"/>
      <c r="Z181" s="22">
        <f>Z180+90</f>
        <v>14895</v>
      </c>
      <c r="AA181" s="22">
        <f>AA180+45</f>
        <v>8265</v>
      </c>
      <c r="AB181" s="152">
        <f t="shared" ref="AB181:AC181" si="450">Z181-Z180</f>
        <v>90</v>
      </c>
      <c r="AC181" s="152">
        <f t="shared" si="450"/>
        <v>45</v>
      </c>
      <c r="AD181" s="22">
        <f t="shared" ref="AD181:AG181" si="451">AD180</f>
        <v>7495</v>
      </c>
      <c r="AE181" s="22">
        <f t="shared" si="451"/>
        <v>4135</v>
      </c>
      <c r="AF181" s="22">
        <f t="shared" si="451"/>
        <v>8375</v>
      </c>
      <c r="AG181" s="22">
        <f t="shared" si="451"/>
        <v>5015</v>
      </c>
      <c r="AH181" s="22"/>
      <c r="AI181" s="22"/>
      <c r="AJ181" s="22"/>
      <c r="AK181" s="22"/>
      <c r="AL181" s="22"/>
      <c r="AM181" s="572">
        <f t="shared" si="54"/>
        <v>21.40086207</v>
      </c>
      <c r="AN181" s="577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91"/>
      <c r="AZ181" s="91"/>
      <c r="BA181" s="91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</row>
    <row r="182" ht="12.75" hidden="1" customHeight="1">
      <c r="A182" s="8">
        <f t="shared" si="325"/>
        <v>336</v>
      </c>
      <c r="B182" s="8">
        <f t="shared" si="326"/>
        <v>168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142"/>
      <c r="P182" s="88">
        <f t="shared" si="212"/>
        <v>700</v>
      </c>
      <c r="Q182" s="160">
        <f>Q181+1</f>
        <v>45</v>
      </c>
      <c r="R182" s="152">
        <f t="shared" ref="R182:S182" si="452">R181-1</f>
        <v>22</v>
      </c>
      <c r="S182" s="152">
        <f t="shared" si="452"/>
        <v>22</v>
      </c>
      <c r="T182" s="134">
        <f t="shared" ref="T182:U182" si="453">T181+1</f>
        <v>88</v>
      </c>
      <c r="U182" s="134">
        <f t="shared" si="453"/>
        <v>88</v>
      </c>
      <c r="V182" s="134">
        <f t="shared" ref="V182:W182" si="454">V181</f>
        <v>44</v>
      </c>
      <c r="W182" s="134">
        <f t="shared" si="454"/>
        <v>44</v>
      </c>
      <c r="X182" s="134">
        <f t="shared" si="455"/>
        <v>175</v>
      </c>
      <c r="Y182" s="22"/>
      <c r="Z182" s="22">
        <f>Z181+80</f>
        <v>14975</v>
      </c>
      <c r="AA182" s="22">
        <f>AA181+50</f>
        <v>8315</v>
      </c>
      <c r="AB182" s="152">
        <f t="shared" ref="AB182:AC182" si="456">Z182-Z181</f>
        <v>80</v>
      </c>
      <c r="AC182" s="152">
        <f t="shared" si="456"/>
        <v>50</v>
      </c>
      <c r="AD182" s="22">
        <f>AD181+70</f>
        <v>7565</v>
      </c>
      <c r="AE182" s="22">
        <f>AE181+45</f>
        <v>4180</v>
      </c>
      <c r="AF182" s="22">
        <f>AF181+70</f>
        <v>8445</v>
      </c>
      <c r="AG182" s="22">
        <f>45+AG181</f>
        <v>5060</v>
      </c>
      <c r="AH182" s="22"/>
      <c r="AI182" s="22"/>
      <c r="AJ182" s="22"/>
      <c r="AK182" s="22"/>
      <c r="AL182" s="22"/>
      <c r="AM182" s="572">
        <f t="shared" si="54"/>
        <v>21.39285714</v>
      </c>
      <c r="AN182" s="577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91"/>
      <c r="AZ182" s="91"/>
      <c r="BA182" s="91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</row>
    <row r="183" ht="12.75" hidden="1" customHeight="1">
      <c r="A183" s="8">
        <f t="shared" si="325"/>
        <v>344</v>
      </c>
      <c r="B183" s="8">
        <f t="shared" si="326"/>
        <v>172</v>
      </c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142"/>
      <c r="P183" s="88">
        <f t="shared" si="212"/>
        <v>704</v>
      </c>
      <c r="Q183" s="160">
        <f>Q182-1</f>
        <v>44</v>
      </c>
      <c r="R183" s="152">
        <f t="shared" ref="R183:W183" si="457">R182</f>
        <v>22</v>
      </c>
      <c r="S183" s="152">
        <f t="shared" si="457"/>
        <v>22</v>
      </c>
      <c r="T183" s="134">
        <f t="shared" si="457"/>
        <v>88</v>
      </c>
      <c r="U183" s="134">
        <f t="shared" si="457"/>
        <v>88</v>
      </c>
      <c r="V183" s="134">
        <f t="shared" si="457"/>
        <v>44</v>
      </c>
      <c r="W183" s="134">
        <f t="shared" si="457"/>
        <v>44</v>
      </c>
      <c r="X183" s="134">
        <f t="shared" si="455"/>
        <v>176</v>
      </c>
      <c r="Y183" s="22"/>
      <c r="Z183" s="22">
        <f>Z182+70</f>
        <v>15045</v>
      </c>
      <c r="AA183" s="22">
        <f>AA182+45</f>
        <v>8360</v>
      </c>
      <c r="AB183" s="152">
        <f t="shared" ref="AB183:AC183" si="458">Z183-Z182</f>
        <v>70</v>
      </c>
      <c r="AC183" s="152">
        <f t="shared" si="458"/>
        <v>45</v>
      </c>
      <c r="AD183" s="22">
        <f t="shared" ref="AD183:AG183" si="459">AD182</f>
        <v>7565</v>
      </c>
      <c r="AE183" s="22">
        <f t="shared" si="459"/>
        <v>4180</v>
      </c>
      <c r="AF183" s="22">
        <f t="shared" si="459"/>
        <v>8445</v>
      </c>
      <c r="AG183" s="22">
        <f t="shared" si="459"/>
        <v>5060</v>
      </c>
      <c r="AH183" s="22"/>
      <c r="AI183" s="22"/>
      <c r="AJ183" s="22"/>
      <c r="AK183" s="22"/>
      <c r="AL183" s="22"/>
      <c r="AM183" s="572">
        <f t="shared" si="54"/>
        <v>21.37073864</v>
      </c>
      <c r="AN183" s="577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91"/>
      <c r="AZ183" s="91"/>
      <c r="BA183" s="91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</row>
    <row r="184" ht="12.75" hidden="1" customHeight="1">
      <c r="A184" s="8">
        <f t="shared" si="325"/>
        <v>352</v>
      </c>
      <c r="B184" s="8">
        <f t="shared" si="326"/>
        <v>176</v>
      </c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142"/>
      <c r="P184" s="88">
        <f t="shared" si="212"/>
        <v>708</v>
      </c>
      <c r="Q184" s="160">
        <f t="shared" ref="Q184:X184" si="460">Q183+1</f>
        <v>45</v>
      </c>
      <c r="R184" s="152">
        <f t="shared" si="460"/>
        <v>23</v>
      </c>
      <c r="S184" s="152">
        <f t="shared" si="460"/>
        <v>23</v>
      </c>
      <c r="T184" s="134">
        <f t="shared" si="460"/>
        <v>89</v>
      </c>
      <c r="U184" s="134">
        <f t="shared" si="460"/>
        <v>89</v>
      </c>
      <c r="V184" s="134">
        <f t="shared" si="460"/>
        <v>45</v>
      </c>
      <c r="W184" s="134">
        <f t="shared" si="460"/>
        <v>45</v>
      </c>
      <c r="X184" s="134">
        <f t="shared" si="460"/>
        <v>177</v>
      </c>
      <c r="Y184" s="22"/>
      <c r="Z184" s="22">
        <f>Z183+100</f>
        <v>15145</v>
      </c>
      <c r="AA184" s="22">
        <f>AA183+50</f>
        <v>8410</v>
      </c>
      <c r="AB184" s="152">
        <f t="shared" ref="AB184:AC184" si="461">Z184-Z183</f>
        <v>100</v>
      </c>
      <c r="AC184" s="152">
        <f t="shared" si="461"/>
        <v>50</v>
      </c>
      <c r="AD184" s="22">
        <f>AD183+100</f>
        <v>7665</v>
      </c>
      <c r="AE184" s="22">
        <f>AE183+50</f>
        <v>4230</v>
      </c>
      <c r="AF184" s="22">
        <f>AF183+120</f>
        <v>8565</v>
      </c>
      <c r="AG184" s="22">
        <f>AG183+70</f>
        <v>5130</v>
      </c>
      <c r="AH184" s="22"/>
      <c r="AI184" s="22"/>
      <c r="AJ184" s="22"/>
      <c r="AK184" s="22"/>
      <c r="AL184" s="22"/>
      <c r="AM184" s="572">
        <f t="shared" si="54"/>
        <v>21.39124294</v>
      </c>
      <c r="AN184" s="577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91"/>
      <c r="AZ184" s="91"/>
      <c r="BA184" s="91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</row>
    <row r="185" ht="12.75" customHeight="1">
      <c r="A185" s="8">
        <f t="shared" si="325"/>
        <v>360</v>
      </c>
      <c r="B185" s="8">
        <f t="shared" si="326"/>
        <v>180</v>
      </c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142"/>
      <c r="P185" s="88">
        <f t="shared" si="212"/>
        <v>712</v>
      </c>
      <c r="Q185" s="160">
        <f t="shared" ref="Q185:W185" si="462">Q184</f>
        <v>45</v>
      </c>
      <c r="R185" s="152">
        <f t="shared" si="462"/>
        <v>23</v>
      </c>
      <c r="S185" s="152">
        <f t="shared" si="462"/>
        <v>23</v>
      </c>
      <c r="T185" s="134">
        <f t="shared" si="462"/>
        <v>89</v>
      </c>
      <c r="U185" s="134">
        <f t="shared" si="462"/>
        <v>89</v>
      </c>
      <c r="V185" s="134">
        <f t="shared" si="462"/>
        <v>45</v>
      </c>
      <c r="W185" s="134">
        <f t="shared" si="462"/>
        <v>45</v>
      </c>
      <c r="X185" s="134">
        <f t="shared" ref="X185:X187" si="468">X184+1</f>
        <v>178</v>
      </c>
      <c r="Y185" s="22"/>
      <c r="Z185" s="22">
        <f>Z184+90</f>
        <v>15235</v>
      </c>
      <c r="AA185" s="22">
        <f>AA184+45</f>
        <v>8455</v>
      </c>
      <c r="AB185" s="152">
        <f t="shared" ref="AB185:AC185" si="463">Z185-Z184</f>
        <v>90</v>
      </c>
      <c r="AC185" s="152">
        <f t="shared" si="463"/>
        <v>45</v>
      </c>
      <c r="AD185" s="22">
        <f t="shared" ref="AD185:AG185" si="464">AD184</f>
        <v>7665</v>
      </c>
      <c r="AE185" s="22">
        <f t="shared" si="464"/>
        <v>4230</v>
      </c>
      <c r="AF185" s="22">
        <f t="shared" si="464"/>
        <v>8565</v>
      </c>
      <c r="AG185" s="22">
        <f t="shared" si="464"/>
        <v>5130</v>
      </c>
      <c r="AH185" s="22"/>
      <c r="AI185" s="22"/>
      <c r="AJ185" s="22"/>
      <c r="AK185" s="22"/>
      <c r="AL185" s="22"/>
      <c r="AM185" s="572">
        <f t="shared" si="54"/>
        <v>21.39747191</v>
      </c>
      <c r="AN185" s="577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91"/>
      <c r="AZ185" s="91"/>
      <c r="BA185" s="91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</row>
    <row r="186" ht="12.75" hidden="1" customHeight="1">
      <c r="A186" s="8">
        <f t="shared" si="325"/>
        <v>368</v>
      </c>
      <c r="B186" s="8">
        <f t="shared" si="326"/>
        <v>184</v>
      </c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142"/>
      <c r="P186" s="88">
        <f t="shared" si="212"/>
        <v>716</v>
      </c>
      <c r="Q186" s="160">
        <f>Q185+1</f>
        <v>46</v>
      </c>
      <c r="R186" s="152">
        <f t="shared" ref="R186:S186" si="465">R185</f>
        <v>23</v>
      </c>
      <c r="S186" s="152">
        <f t="shared" si="465"/>
        <v>23</v>
      </c>
      <c r="T186" s="134">
        <f t="shared" ref="T186:U186" si="466">T185+1</f>
        <v>90</v>
      </c>
      <c r="U186" s="134">
        <f t="shared" si="466"/>
        <v>90</v>
      </c>
      <c r="V186" s="134">
        <f t="shared" ref="V186:W186" si="467">V185</f>
        <v>45</v>
      </c>
      <c r="W186" s="134">
        <f t="shared" si="467"/>
        <v>45</v>
      </c>
      <c r="X186" s="134">
        <f t="shared" si="468"/>
        <v>179</v>
      </c>
      <c r="Y186" s="22"/>
      <c r="Z186" s="22">
        <f>Z185+80</f>
        <v>15315</v>
      </c>
      <c r="AA186" s="22">
        <f>AA185+50</f>
        <v>8505</v>
      </c>
      <c r="AB186" s="152">
        <f t="shared" ref="AB186:AC186" si="469">Z186-Z185</f>
        <v>80</v>
      </c>
      <c r="AC186" s="152">
        <f t="shared" si="469"/>
        <v>50</v>
      </c>
      <c r="AD186" s="22">
        <f>AD185+90</f>
        <v>7755</v>
      </c>
      <c r="AE186" s="22">
        <f>AE185+45</f>
        <v>4275</v>
      </c>
      <c r="AF186" s="22">
        <f>AF185+90</f>
        <v>8655</v>
      </c>
      <c r="AG186" s="22">
        <f>45+AG185</f>
        <v>5175</v>
      </c>
      <c r="AH186" s="22"/>
      <c r="AI186" s="22"/>
      <c r="AJ186" s="22"/>
      <c r="AK186" s="22"/>
      <c r="AL186" s="22"/>
      <c r="AM186" s="572">
        <f t="shared" si="54"/>
        <v>21.3896648</v>
      </c>
      <c r="AN186" s="577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91"/>
      <c r="AZ186" s="91"/>
      <c r="BA186" s="91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</row>
    <row r="187" ht="12.75" hidden="1" customHeight="1">
      <c r="A187" s="8">
        <f t="shared" si="325"/>
        <v>376</v>
      </c>
      <c r="B187" s="8">
        <f t="shared" si="326"/>
        <v>188</v>
      </c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142"/>
      <c r="P187" s="88">
        <f t="shared" si="212"/>
        <v>720</v>
      </c>
      <c r="Q187" s="160">
        <f>Q186-1</f>
        <v>45</v>
      </c>
      <c r="R187" s="152">
        <f t="shared" ref="R187:W187" si="470">R186</f>
        <v>23</v>
      </c>
      <c r="S187" s="152">
        <f t="shared" si="470"/>
        <v>23</v>
      </c>
      <c r="T187" s="134">
        <f t="shared" si="470"/>
        <v>90</v>
      </c>
      <c r="U187" s="134">
        <f t="shared" si="470"/>
        <v>90</v>
      </c>
      <c r="V187" s="134">
        <f t="shared" si="470"/>
        <v>45</v>
      </c>
      <c r="W187" s="134">
        <f t="shared" si="470"/>
        <v>45</v>
      </c>
      <c r="X187" s="134">
        <f t="shared" si="468"/>
        <v>180</v>
      </c>
      <c r="Y187" s="22"/>
      <c r="Z187" s="22">
        <f>Z186+70</f>
        <v>15385</v>
      </c>
      <c r="AA187" s="22">
        <f>AA186+45</f>
        <v>8550</v>
      </c>
      <c r="AB187" s="152">
        <f t="shared" ref="AB187:AC187" si="471">Z187-Z186</f>
        <v>70</v>
      </c>
      <c r="AC187" s="152">
        <f t="shared" si="471"/>
        <v>45</v>
      </c>
      <c r="AD187" s="22">
        <f t="shared" ref="AD187:AG187" si="472">AD186</f>
        <v>7755</v>
      </c>
      <c r="AE187" s="22">
        <f t="shared" si="472"/>
        <v>4275</v>
      </c>
      <c r="AF187" s="22">
        <f t="shared" si="472"/>
        <v>8655</v>
      </c>
      <c r="AG187" s="22">
        <f t="shared" si="472"/>
        <v>5175</v>
      </c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91"/>
      <c r="AZ187" s="91"/>
      <c r="BA187" s="91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</row>
    <row r="188" ht="12.75" hidden="1" customHeight="1">
      <c r="A188" s="8">
        <f t="shared" si="325"/>
        <v>384</v>
      </c>
      <c r="B188" s="8">
        <f t="shared" si="326"/>
        <v>192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142"/>
      <c r="P188" s="88"/>
      <c r="Q188" s="22"/>
      <c r="R188" s="152"/>
      <c r="S188" s="22"/>
      <c r="T188" s="134"/>
      <c r="U188" s="22"/>
      <c r="V188" s="134"/>
      <c r="W188" s="134"/>
      <c r="X188" s="134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91"/>
      <c r="AZ188" s="91"/>
      <c r="BA188" s="91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</row>
    <row r="189" ht="12.75" hidden="1" customHeight="1">
      <c r="A189" s="8">
        <f t="shared" si="325"/>
        <v>392</v>
      </c>
      <c r="B189" s="8">
        <f t="shared" si="326"/>
        <v>196</v>
      </c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142"/>
      <c r="P189" s="88"/>
      <c r="Q189" s="22"/>
      <c r="R189" s="152"/>
      <c r="S189" s="22"/>
      <c r="T189" s="134"/>
      <c r="U189" s="22"/>
      <c r="V189" s="134"/>
      <c r="W189" s="22"/>
      <c r="X189" s="134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91"/>
      <c r="AZ189" s="91"/>
      <c r="BA189" s="91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</row>
    <row r="190" ht="12.75" hidden="1" customHeight="1">
      <c r="A190" s="8">
        <f t="shared" si="325"/>
        <v>400</v>
      </c>
      <c r="B190" s="8">
        <f t="shared" si="326"/>
        <v>200</v>
      </c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142"/>
      <c r="P190" s="88"/>
      <c r="Q190" s="22"/>
      <c r="R190" s="152"/>
      <c r="S190" s="22"/>
      <c r="T190" s="134"/>
      <c r="U190" s="22"/>
      <c r="V190" s="134"/>
      <c r="W190" s="22"/>
      <c r="X190" s="134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91"/>
      <c r="AZ190" s="91"/>
      <c r="BA190" s="91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</row>
    <row r="191" ht="12.75" hidden="1" customHeight="1">
      <c r="A191" s="8">
        <f t="shared" si="325"/>
        <v>408</v>
      </c>
      <c r="B191" s="8">
        <f t="shared" si="326"/>
        <v>204</v>
      </c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142"/>
      <c r="P191" s="88"/>
      <c r="Q191" s="22"/>
      <c r="R191" s="152"/>
      <c r="S191" s="22"/>
      <c r="T191" s="134"/>
      <c r="U191" s="22"/>
      <c r="V191" s="134"/>
      <c r="W191" s="22"/>
      <c r="X191" s="134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91"/>
      <c r="AZ191" s="91"/>
      <c r="BA191" s="91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</row>
    <row r="192" ht="12.75" hidden="1" customHeight="1">
      <c r="A192" s="8">
        <f t="shared" si="325"/>
        <v>416</v>
      </c>
      <c r="B192" s="8">
        <f t="shared" si="326"/>
        <v>208</v>
      </c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142"/>
      <c r="P192" s="88"/>
      <c r="Q192" s="22"/>
      <c r="R192" s="152"/>
      <c r="S192" s="22"/>
      <c r="T192" s="22"/>
      <c r="U192" s="22"/>
      <c r="V192" s="22"/>
      <c r="W192" s="22"/>
      <c r="X192" s="134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91"/>
      <c r="AZ192" s="91"/>
      <c r="BA192" s="91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</row>
    <row r="193" ht="12.75" hidden="1" customHeight="1">
      <c r="A193" s="8">
        <f t="shared" si="325"/>
        <v>424</v>
      </c>
      <c r="B193" s="8">
        <f t="shared" si="326"/>
        <v>212</v>
      </c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142"/>
      <c r="P193" s="88"/>
      <c r="Q193" s="22"/>
      <c r="R193" s="152"/>
      <c r="S193" s="22"/>
      <c r="T193" s="22"/>
      <c r="U193" s="22"/>
      <c r="V193" s="22"/>
      <c r="W193" s="22"/>
      <c r="X193" s="134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91"/>
      <c r="AZ193" s="91"/>
      <c r="BA193" s="91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</row>
    <row r="194" ht="12.75" hidden="1" customHeight="1">
      <c r="A194" s="8">
        <f t="shared" si="325"/>
        <v>432</v>
      </c>
      <c r="B194" s="8">
        <f t="shared" si="326"/>
        <v>216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142"/>
      <c r="P194" s="88"/>
      <c r="Q194" s="22"/>
      <c r="R194" s="152"/>
      <c r="S194" s="22"/>
      <c r="T194" s="22"/>
      <c r="U194" s="22"/>
      <c r="V194" s="22"/>
      <c r="W194" s="22"/>
      <c r="X194" s="134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91"/>
      <c r="AZ194" s="91"/>
      <c r="BA194" s="91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</row>
    <row r="195" ht="12.75" hidden="1" customHeight="1">
      <c r="A195" s="8">
        <f t="shared" si="325"/>
        <v>440</v>
      </c>
      <c r="B195" s="8">
        <f t="shared" si="326"/>
        <v>220</v>
      </c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142"/>
      <c r="P195" s="88"/>
      <c r="Q195" s="22"/>
      <c r="R195" s="152"/>
      <c r="S195" s="22"/>
      <c r="T195" s="22"/>
      <c r="U195" s="22"/>
      <c r="V195" s="22"/>
      <c r="W195" s="22"/>
      <c r="X195" s="134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91"/>
      <c r="AZ195" s="91"/>
      <c r="BA195" s="91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</row>
    <row r="196" ht="12.75" hidden="1" customHeight="1">
      <c r="A196" s="8">
        <f t="shared" si="325"/>
        <v>448</v>
      </c>
      <c r="B196" s="8">
        <f t="shared" si="326"/>
        <v>224</v>
      </c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142"/>
      <c r="P196" s="88"/>
      <c r="Q196" s="22"/>
      <c r="R196" s="152"/>
      <c r="S196" s="22"/>
      <c r="T196" s="22"/>
      <c r="U196" s="22"/>
      <c r="V196" s="22"/>
      <c r="W196" s="22"/>
      <c r="X196" s="134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91"/>
      <c r="AZ196" s="91"/>
      <c r="BA196" s="91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</row>
    <row r="197" ht="12.75" hidden="1" customHeight="1">
      <c r="A197" s="8">
        <f t="shared" si="325"/>
        <v>456</v>
      </c>
      <c r="B197" s="8">
        <f t="shared" si="326"/>
        <v>228</v>
      </c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142"/>
      <c r="P197" s="88"/>
      <c r="Q197" s="22"/>
      <c r="R197" s="152"/>
      <c r="S197" s="22"/>
      <c r="T197" s="22"/>
      <c r="U197" s="22"/>
      <c r="V197" s="22"/>
      <c r="W197" s="22"/>
      <c r="X197" s="134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91"/>
      <c r="AZ197" s="91"/>
      <c r="BA197" s="91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</row>
    <row r="198" ht="12.75" hidden="1" customHeight="1">
      <c r="A198" s="8">
        <f t="shared" si="325"/>
        <v>464</v>
      </c>
      <c r="B198" s="8">
        <f t="shared" si="326"/>
        <v>232</v>
      </c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142"/>
      <c r="P198" s="88"/>
      <c r="Q198" s="22"/>
      <c r="R198" s="152"/>
      <c r="S198" s="22"/>
      <c r="T198" s="22"/>
      <c r="U198" s="22"/>
      <c r="V198" s="22"/>
      <c r="W198" s="22"/>
      <c r="X198" s="134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91"/>
      <c r="AZ198" s="91"/>
      <c r="BA198" s="91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</row>
    <row r="199" ht="12.75" hidden="1" customHeight="1">
      <c r="A199" s="8">
        <f t="shared" si="325"/>
        <v>472</v>
      </c>
      <c r="B199" s="8">
        <f t="shared" si="326"/>
        <v>236</v>
      </c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142"/>
      <c r="P199" s="88"/>
      <c r="Q199" s="22"/>
      <c r="R199" s="152"/>
      <c r="S199" s="22"/>
      <c r="T199" s="22"/>
      <c r="U199" s="22"/>
      <c r="V199" s="22"/>
      <c r="W199" s="22"/>
      <c r="X199" s="134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91"/>
      <c r="AZ199" s="91"/>
      <c r="BA199" s="91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</row>
    <row r="200" ht="12.75" hidden="1" customHeight="1">
      <c r="A200" s="8">
        <f t="shared" si="325"/>
        <v>480</v>
      </c>
      <c r="B200" s="8">
        <f t="shared" si="326"/>
        <v>240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142"/>
      <c r="P200" s="88"/>
      <c r="Q200" s="22"/>
      <c r="R200" s="152"/>
      <c r="S200" s="22"/>
      <c r="T200" s="22"/>
      <c r="U200" s="22"/>
      <c r="V200" s="22"/>
      <c r="W200" s="22"/>
      <c r="X200" s="134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91"/>
      <c r="AZ200" s="91"/>
      <c r="BA200" s="91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</row>
    <row r="201" ht="12.75" hidden="1" customHeight="1">
      <c r="A201" s="8">
        <f t="shared" si="325"/>
        <v>488</v>
      </c>
      <c r="B201" s="8">
        <f t="shared" si="326"/>
        <v>244</v>
      </c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142"/>
      <c r="P201" s="88"/>
      <c r="Q201" s="22"/>
      <c r="R201" s="152"/>
      <c r="S201" s="22"/>
      <c r="T201" s="22"/>
      <c r="U201" s="22"/>
      <c r="V201" s="22"/>
      <c r="W201" s="22"/>
      <c r="X201" s="134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91"/>
      <c r="AZ201" s="91"/>
      <c r="BA201" s="91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</row>
    <row r="202" ht="12.75" hidden="1" customHeight="1">
      <c r="A202" s="8">
        <f t="shared" si="325"/>
        <v>496</v>
      </c>
      <c r="B202" s="8">
        <f t="shared" si="326"/>
        <v>248</v>
      </c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142"/>
      <c r="P202" s="88"/>
      <c r="Q202" s="22"/>
      <c r="R202" s="152"/>
      <c r="S202" s="22"/>
      <c r="T202" s="22"/>
      <c r="U202" s="22"/>
      <c r="V202" s="22"/>
      <c r="W202" s="22"/>
      <c r="X202" s="134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91"/>
      <c r="AZ202" s="91"/>
      <c r="BA202" s="91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</row>
    <row r="203" ht="12.75" hidden="1" customHeight="1">
      <c r="A203" s="8">
        <f t="shared" si="325"/>
        <v>504</v>
      </c>
      <c r="B203" s="8">
        <f t="shared" si="326"/>
        <v>252</v>
      </c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142"/>
      <c r="P203" s="88"/>
      <c r="Q203" s="22"/>
      <c r="R203" s="152"/>
      <c r="S203" s="22"/>
      <c r="T203" s="22"/>
      <c r="U203" s="22"/>
      <c r="V203" s="22"/>
      <c r="W203" s="22"/>
      <c r="X203" s="134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91"/>
      <c r="AZ203" s="91"/>
      <c r="BA203" s="91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</row>
    <row r="204" ht="12.75" hidden="1" customHeight="1">
      <c r="A204" s="8">
        <f t="shared" si="325"/>
        <v>512</v>
      </c>
      <c r="B204" s="8">
        <f t="shared" si="326"/>
        <v>256</v>
      </c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142"/>
      <c r="P204" s="88"/>
      <c r="Q204" s="22"/>
      <c r="R204" s="22"/>
      <c r="S204" s="22"/>
      <c r="T204" s="22"/>
      <c r="U204" s="22"/>
      <c r="V204" s="22"/>
      <c r="W204" s="22"/>
      <c r="X204" s="134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91"/>
      <c r="AZ204" s="91"/>
      <c r="BA204" s="91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</row>
    <row r="205" ht="12.75" hidden="1" customHeight="1">
      <c r="A205" s="8">
        <f t="shared" si="325"/>
        <v>520</v>
      </c>
      <c r="B205" s="8">
        <f t="shared" si="326"/>
        <v>260</v>
      </c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142"/>
      <c r="P205" s="88"/>
      <c r="Q205" s="22"/>
      <c r="R205" s="22"/>
      <c r="S205" s="22"/>
      <c r="T205" s="22"/>
      <c r="U205" s="22"/>
      <c r="V205" s="22"/>
      <c r="W205" s="22"/>
      <c r="X205" s="134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91"/>
      <c r="AZ205" s="91"/>
      <c r="BA205" s="91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</row>
    <row r="206" ht="12.75" hidden="1" customHeight="1">
      <c r="A206" s="8">
        <f t="shared" si="325"/>
        <v>528</v>
      </c>
      <c r="B206" s="8">
        <f t="shared" si="326"/>
        <v>264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142"/>
      <c r="P206" s="88"/>
      <c r="Q206" s="22"/>
      <c r="R206" s="22"/>
      <c r="S206" s="22"/>
      <c r="T206" s="22"/>
      <c r="U206" s="22"/>
      <c r="V206" s="22"/>
      <c r="W206" s="22"/>
      <c r="X206" s="134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91"/>
      <c r="AZ206" s="91"/>
      <c r="BA206" s="91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</row>
    <row r="207" ht="12.75" hidden="1" customHeight="1">
      <c r="A207" s="8">
        <f t="shared" si="325"/>
        <v>536</v>
      </c>
      <c r="B207" s="8">
        <f t="shared" si="326"/>
        <v>268</v>
      </c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142"/>
      <c r="P207" s="88"/>
      <c r="Q207" s="22"/>
      <c r="R207" s="22"/>
      <c r="S207" s="22"/>
      <c r="T207" s="22"/>
      <c r="U207" s="22"/>
      <c r="V207" s="22"/>
      <c r="W207" s="22"/>
      <c r="X207" s="134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91"/>
      <c r="AZ207" s="91"/>
      <c r="BA207" s="91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</row>
    <row r="208" ht="12.75" hidden="1" customHeight="1">
      <c r="A208" s="8">
        <f t="shared" si="325"/>
        <v>544</v>
      </c>
      <c r="B208" s="8">
        <f t="shared" si="326"/>
        <v>272</v>
      </c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142"/>
      <c r="P208" s="88"/>
      <c r="Q208" s="22"/>
      <c r="R208" s="22"/>
      <c r="S208" s="22"/>
      <c r="T208" s="22"/>
      <c r="U208" s="22"/>
      <c r="V208" s="22"/>
      <c r="W208" s="22"/>
      <c r="X208" s="134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91"/>
      <c r="AZ208" s="91"/>
      <c r="BA208" s="91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</row>
    <row r="209" ht="12.75" hidden="1" customHeight="1">
      <c r="A209" s="8">
        <f t="shared" si="325"/>
        <v>552</v>
      </c>
      <c r="B209" s="8">
        <f t="shared" si="326"/>
        <v>276</v>
      </c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142"/>
      <c r="P209" s="88"/>
      <c r="Q209" s="22"/>
      <c r="R209" s="22"/>
      <c r="S209" s="22"/>
      <c r="T209" s="22"/>
      <c r="U209" s="22"/>
      <c r="V209" s="22"/>
      <c r="W209" s="22"/>
      <c r="X209" s="134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91"/>
      <c r="AZ209" s="91"/>
      <c r="BA209" s="91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</row>
    <row r="210" ht="12.75" hidden="1" customHeight="1">
      <c r="A210" s="8">
        <f t="shared" si="325"/>
        <v>560</v>
      </c>
      <c r="B210" s="8">
        <f t="shared" si="326"/>
        <v>280</v>
      </c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142"/>
      <c r="P210" s="88"/>
      <c r="Q210" s="22"/>
      <c r="R210" s="22"/>
      <c r="S210" s="22"/>
      <c r="T210" s="22"/>
      <c r="U210" s="22"/>
      <c r="V210" s="22"/>
      <c r="W210" s="22"/>
      <c r="X210" s="134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91"/>
      <c r="AZ210" s="91"/>
      <c r="BA210" s="91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</row>
    <row r="211" ht="12.75" hidden="1" customHeight="1">
      <c r="A211" s="8">
        <f t="shared" si="325"/>
        <v>568</v>
      </c>
      <c r="B211" s="8">
        <f t="shared" si="326"/>
        <v>284</v>
      </c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142"/>
      <c r="P211" s="88"/>
      <c r="Q211" s="22"/>
      <c r="R211" s="22"/>
      <c r="S211" s="22"/>
      <c r="T211" s="22"/>
      <c r="U211" s="22"/>
      <c r="V211" s="22"/>
      <c r="W211" s="22"/>
      <c r="X211" s="134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91"/>
      <c r="AZ211" s="91"/>
      <c r="BA211" s="91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</row>
    <row r="212" ht="12.75" hidden="1" customHeight="1">
      <c r="A212" s="8">
        <f t="shared" si="325"/>
        <v>576</v>
      </c>
      <c r="B212" s="8">
        <f t="shared" si="326"/>
        <v>288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142"/>
      <c r="P212" s="88"/>
      <c r="Q212" s="22"/>
      <c r="R212" s="22"/>
      <c r="S212" s="22"/>
      <c r="T212" s="22"/>
      <c r="U212" s="22"/>
      <c r="V212" s="22"/>
      <c r="W212" s="22"/>
      <c r="X212" s="134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91"/>
      <c r="AZ212" s="91"/>
      <c r="BA212" s="91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</row>
    <row r="213" ht="12.75" hidden="1" customHeight="1">
      <c r="A213" s="8">
        <f t="shared" si="325"/>
        <v>584</v>
      </c>
      <c r="B213" s="8">
        <f t="shared" si="326"/>
        <v>292</v>
      </c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142"/>
      <c r="P213" s="88"/>
      <c r="Q213" s="22"/>
      <c r="R213" s="22"/>
      <c r="S213" s="22"/>
      <c r="T213" s="22"/>
      <c r="U213" s="22"/>
      <c r="V213" s="22"/>
      <c r="W213" s="22"/>
      <c r="X213" s="134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91"/>
      <c r="AZ213" s="91"/>
      <c r="BA213" s="91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</row>
    <row r="214" ht="12.75" hidden="1" customHeight="1">
      <c r="A214" s="8">
        <f t="shared" si="325"/>
        <v>592</v>
      </c>
      <c r="B214" s="8">
        <f t="shared" si="326"/>
        <v>296</v>
      </c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142"/>
      <c r="P214" s="88"/>
      <c r="Q214" s="22"/>
      <c r="R214" s="22"/>
      <c r="S214" s="22"/>
      <c r="T214" s="22"/>
      <c r="U214" s="22"/>
      <c r="V214" s="22"/>
      <c r="W214" s="22"/>
      <c r="X214" s="134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91"/>
      <c r="AZ214" s="91"/>
      <c r="BA214" s="91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</row>
    <row r="215" ht="12.75" hidden="1" customHeight="1">
      <c r="A215" s="8">
        <f t="shared" si="325"/>
        <v>600</v>
      </c>
      <c r="B215" s="8">
        <f t="shared" si="326"/>
        <v>300</v>
      </c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142"/>
      <c r="P215" s="88"/>
      <c r="Q215" s="22"/>
      <c r="R215" s="22"/>
      <c r="S215" s="22"/>
      <c r="T215" s="22"/>
      <c r="U215" s="22"/>
      <c r="V215" s="22"/>
      <c r="W215" s="22"/>
      <c r="X215" s="134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91"/>
      <c r="AZ215" s="91"/>
      <c r="BA215" s="91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</row>
    <row r="216" ht="12.75" hidden="1" customHeight="1">
      <c r="A216" s="8">
        <f t="shared" si="325"/>
        <v>608</v>
      </c>
      <c r="B216" s="8">
        <f t="shared" si="326"/>
        <v>304</v>
      </c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142"/>
      <c r="P216" s="88"/>
      <c r="Q216" s="22"/>
      <c r="R216" s="22"/>
      <c r="S216" s="22"/>
      <c r="T216" s="22"/>
      <c r="U216" s="22"/>
      <c r="V216" s="22"/>
      <c r="W216" s="22"/>
      <c r="X216" s="134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91"/>
      <c r="AZ216" s="91"/>
      <c r="BA216" s="91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</row>
    <row r="217" ht="12.75" hidden="1" customHeight="1">
      <c r="A217" s="8">
        <f t="shared" si="325"/>
        <v>616</v>
      </c>
      <c r="B217" s="8">
        <f t="shared" si="326"/>
        <v>308</v>
      </c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142"/>
      <c r="P217" s="88"/>
      <c r="Q217" s="22"/>
      <c r="R217" s="22"/>
      <c r="S217" s="22"/>
      <c r="T217" s="22"/>
      <c r="U217" s="22"/>
      <c r="V217" s="22"/>
      <c r="W217" s="22"/>
      <c r="X217" s="134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91"/>
      <c r="AZ217" s="91"/>
      <c r="BA217" s="91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</row>
    <row r="218" ht="12.75" hidden="1" customHeight="1">
      <c r="A218" s="8">
        <f t="shared" si="325"/>
        <v>624</v>
      </c>
      <c r="B218" s="8">
        <f t="shared" si="326"/>
        <v>312</v>
      </c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142"/>
      <c r="P218" s="88"/>
      <c r="Q218" s="22"/>
      <c r="R218" s="22"/>
      <c r="S218" s="22"/>
      <c r="T218" s="22"/>
      <c r="U218" s="22"/>
      <c r="V218" s="22"/>
      <c r="W218" s="22"/>
      <c r="X218" s="134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91"/>
      <c r="AZ218" s="91"/>
      <c r="BA218" s="91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</row>
    <row r="219" ht="12.75" hidden="1" customHeight="1">
      <c r="A219" s="8">
        <f t="shared" si="325"/>
        <v>632</v>
      </c>
      <c r="B219" s="8">
        <f t="shared" si="326"/>
        <v>316</v>
      </c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142"/>
      <c r="P219" s="88"/>
      <c r="Q219" s="22"/>
      <c r="R219" s="22"/>
      <c r="S219" s="22"/>
      <c r="T219" s="22"/>
      <c r="U219" s="22"/>
      <c r="V219" s="22"/>
      <c r="W219" s="22"/>
      <c r="X219" s="134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91"/>
      <c r="AZ219" s="91"/>
      <c r="BA219" s="91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</row>
    <row r="220" ht="12.75" hidden="1" customHeight="1">
      <c r="A220" s="8">
        <f t="shared" si="325"/>
        <v>640</v>
      </c>
      <c r="B220" s="8">
        <f t="shared" si="326"/>
        <v>320</v>
      </c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142"/>
      <c r="P220" s="88"/>
      <c r="Q220" s="22"/>
      <c r="R220" s="22"/>
      <c r="S220" s="22"/>
      <c r="T220" s="22"/>
      <c r="U220" s="22"/>
      <c r="V220" s="22"/>
      <c r="W220" s="22"/>
      <c r="X220" s="134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91"/>
      <c r="AZ220" s="91"/>
      <c r="BA220" s="91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</row>
    <row r="221" ht="12.75" hidden="1" customHeight="1">
      <c r="A221" s="8">
        <f t="shared" si="325"/>
        <v>648</v>
      </c>
      <c r="B221" s="8">
        <f t="shared" si="326"/>
        <v>324</v>
      </c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142"/>
      <c r="P221" s="88"/>
      <c r="Q221" s="22"/>
      <c r="R221" s="22"/>
      <c r="S221" s="22"/>
      <c r="T221" s="22"/>
      <c r="U221" s="22"/>
      <c r="V221" s="22"/>
      <c r="W221" s="22"/>
      <c r="X221" s="134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91"/>
      <c r="AZ221" s="91"/>
      <c r="BA221" s="91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</row>
    <row r="222" ht="12.75" hidden="1" customHeight="1">
      <c r="A222" s="8">
        <f t="shared" si="325"/>
        <v>656</v>
      </c>
      <c r="B222" s="8">
        <f t="shared" si="326"/>
        <v>328</v>
      </c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142"/>
      <c r="P222" s="88"/>
      <c r="Q222" s="22"/>
      <c r="R222" s="22"/>
      <c r="S222" s="22"/>
      <c r="T222" s="22"/>
      <c r="U222" s="22"/>
      <c r="V222" s="22"/>
      <c r="W222" s="22"/>
      <c r="X222" s="134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91"/>
      <c r="AZ222" s="91"/>
      <c r="BA222" s="91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</row>
    <row r="223" ht="12.75" hidden="1" customHeight="1">
      <c r="A223" s="8">
        <f t="shared" si="325"/>
        <v>664</v>
      </c>
      <c r="B223" s="8">
        <f t="shared" si="326"/>
        <v>332</v>
      </c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142"/>
      <c r="P223" s="88"/>
      <c r="Q223" s="22"/>
      <c r="R223" s="22"/>
      <c r="S223" s="22"/>
      <c r="T223" s="22"/>
      <c r="U223" s="22"/>
      <c r="V223" s="22"/>
      <c r="W223" s="22"/>
      <c r="X223" s="134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91"/>
      <c r="AZ223" s="91"/>
      <c r="BA223" s="91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</row>
    <row r="224" ht="12.75" hidden="1" customHeight="1">
      <c r="A224" s="8">
        <f t="shared" si="325"/>
        <v>672</v>
      </c>
      <c r="B224" s="8">
        <f t="shared" si="326"/>
        <v>336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142"/>
      <c r="P224" s="88"/>
      <c r="Q224" s="22"/>
      <c r="R224" s="22"/>
      <c r="S224" s="22"/>
      <c r="T224" s="22"/>
      <c r="U224" s="22"/>
      <c r="V224" s="22"/>
      <c r="W224" s="22"/>
      <c r="X224" s="134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91"/>
      <c r="AZ224" s="91"/>
      <c r="BA224" s="91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</row>
    <row r="225" ht="12.75" hidden="1" customHeight="1">
      <c r="A225" s="8">
        <f t="shared" si="325"/>
        <v>680</v>
      </c>
      <c r="B225" s="8">
        <f t="shared" si="326"/>
        <v>340</v>
      </c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142"/>
      <c r="P225" s="88"/>
      <c r="Q225" s="22"/>
      <c r="R225" s="22"/>
      <c r="S225" s="22"/>
      <c r="T225" s="22"/>
      <c r="U225" s="22"/>
      <c r="V225" s="22"/>
      <c r="W225" s="22"/>
      <c r="X225" s="134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91"/>
      <c r="AZ225" s="91"/>
      <c r="BA225" s="91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</row>
    <row r="226" ht="12.75" hidden="1" customHeight="1">
      <c r="A226" s="8">
        <f t="shared" si="325"/>
        <v>688</v>
      </c>
      <c r="B226" s="8">
        <f t="shared" si="326"/>
        <v>344</v>
      </c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142"/>
      <c r="P226" s="88"/>
      <c r="Q226" s="22"/>
      <c r="R226" s="22"/>
      <c r="S226" s="22"/>
      <c r="T226" s="22"/>
      <c r="U226" s="22"/>
      <c r="V226" s="22"/>
      <c r="W226" s="22"/>
      <c r="X226" s="134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91"/>
      <c r="AZ226" s="91"/>
      <c r="BA226" s="91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</row>
    <row r="227" ht="12.75" hidden="1" customHeight="1">
      <c r="A227" s="8">
        <f t="shared" si="325"/>
        <v>696</v>
      </c>
      <c r="B227" s="8">
        <f t="shared" si="326"/>
        <v>348</v>
      </c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142"/>
      <c r="P227" s="88"/>
      <c r="Q227" s="22"/>
      <c r="R227" s="22"/>
      <c r="S227" s="22"/>
      <c r="T227" s="22"/>
      <c r="U227" s="22"/>
      <c r="V227" s="22"/>
      <c r="W227" s="22"/>
      <c r="X227" s="134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91"/>
      <c r="AZ227" s="91"/>
      <c r="BA227" s="91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</row>
    <row r="228" ht="12.75" hidden="1" customHeight="1">
      <c r="A228" s="8">
        <f t="shared" si="325"/>
        <v>704</v>
      </c>
      <c r="B228" s="8">
        <f t="shared" si="326"/>
        <v>352</v>
      </c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142"/>
      <c r="P228" s="88"/>
      <c r="Q228" s="22"/>
      <c r="R228" s="22"/>
      <c r="S228" s="22"/>
      <c r="T228" s="22"/>
      <c r="U228" s="22"/>
      <c r="V228" s="22"/>
      <c r="W228" s="22"/>
      <c r="X228" s="134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91"/>
      <c r="AZ228" s="91"/>
      <c r="BA228" s="91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</row>
    <row r="229" ht="12.75" hidden="1" customHeight="1">
      <c r="A229" s="8">
        <f t="shared" si="325"/>
        <v>712</v>
      </c>
      <c r="B229" s="8">
        <f t="shared" si="326"/>
        <v>356</v>
      </c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142"/>
      <c r="P229" s="88"/>
      <c r="Q229" s="22"/>
      <c r="R229" s="22"/>
      <c r="S229" s="22"/>
      <c r="T229" s="22"/>
      <c r="U229" s="22"/>
      <c r="V229" s="22"/>
      <c r="W229" s="22"/>
      <c r="X229" s="134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91"/>
      <c r="AZ229" s="91"/>
      <c r="BA229" s="91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</row>
    <row r="230" ht="12.75" hidden="1" customHeight="1">
      <c r="A230" s="8">
        <f t="shared" si="325"/>
        <v>720</v>
      </c>
      <c r="B230" s="8">
        <f t="shared" si="326"/>
        <v>360</v>
      </c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142"/>
      <c r="P230" s="88"/>
      <c r="Q230" s="22"/>
      <c r="R230" s="22"/>
      <c r="S230" s="22"/>
      <c r="T230" s="22"/>
      <c r="U230" s="22"/>
      <c r="V230" s="22"/>
      <c r="W230" s="22"/>
      <c r="X230" s="134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91"/>
      <c r="AZ230" s="91"/>
      <c r="BA230" s="91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</row>
    <row r="231" ht="12.75" hidden="1" customHeight="1">
      <c r="A231" s="8"/>
      <c r="B231" s="8">
        <f t="shared" si="326"/>
        <v>364</v>
      </c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142"/>
      <c r="P231" s="88"/>
      <c r="Q231" s="22"/>
      <c r="R231" s="22"/>
      <c r="S231" s="22"/>
      <c r="T231" s="22"/>
      <c r="U231" s="22"/>
      <c r="V231" s="22"/>
      <c r="W231" s="22"/>
      <c r="X231" s="134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91"/>
      <c r="AZ231" s="91"/>
      <c r="BA231" s="91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</row>
    <row r="232" ht="12.75" hidden="1" customHeight="1">
      <c r="A232" s="8"/>
      <c r="B232" s="8">
        <f t="shared" si="326"/>
        <v>368</v>
      </c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142"/>
      <c r="P232" s="88"/>
      <c r="Q232" s="22"/>
      <c r="R232" s="22"/>
      <c r="S232" s="22"/>
      <c r="T232" s="22"/>
      <c r="U232" s="22"/>
      <c r="V232" s="22"/>
      <c r="W232" s="22"/>
      <c r="X232" s="134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91"/>
      <c r="AZ232" s="91"/>
      <c r="BA232" s="91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</row>
    <row r="233" ht="12.75" hidden="1" customHeight="1">
      <c r="A233" s="8"/>
      <c r="B233" s="8">
        <f t="shared" si="326"/>
        <v>372</v>
      </c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142"/>
      <c r="P233" s="88"/>
      <c r="Q233" s="22"/>
      <c r="R233" s="22"/>
      <c r="S233" s="22"/>
      <c r="T233" s="22"/>
      <c r="U233" s="22"/>
      <c r="V233" s="22"/>
      <c r="W233" s="22"/>
      <c r="X233" s="134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91"/>
      <c r="AZ233" s="91"/>
      <c r="BA233" s="91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</row>
    <row r="234" ht="12.75" hidden="1" customHeight="1">
      <c r="A234" s="8"/>
      <c r="B234" s="8">
        <f t="shared" si="326"/>
        <v>376</v>
      </c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142"/>
      <c r="P234" s="88"/>
      <c r="Q234" s="22"/>
      <c r="R234" s="22"/>
      <c r="S234" s="22"/>
      <c r="T234" s="22"/>
      <c r="U234" s="22"/>
      <c r="V234" s="22"/>
      <c r="W234" s="22"/>
      <c r="X234" s="134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91"/>
      <c r="AZ234" s="91"/>
      <c r="BA234" s="91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</row>
    <row r="235" ht="12.75" hidden="1" customHeight="1">
      <c r="A235" s="8"/>
      <c r="B235" s="8">
        <f t="shared" si="326"/>
        <v>380</v>
      </c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142"/>
      <c r="P235" s="88"/>
      <c r="Q235" s="22"/>
      <c r="R235" s="22"/>
      <c r="S235" s="22"/>
      <c r="T235" s="22"/>
      <c r="U235" s="22"/>
      <c r="V235" s="22"/>
      <c r="W235" s="22"/>
      <c r="X235" s="134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91"/>
      <c r="AZ235" s="91"/>
      <c r="BA235" s="91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</row>
    <row r="236" ht="12.75" hidden="1" customHeight="1">
      <c r="A236" s="8"/>
      <c r="B236" s="8">
        <f t="shared" si="326"/>
        <v>384</v>
      </c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142"/>
      <c r="P236" s="88"/>
      <c r="Q236" s="22"/>
      <c r="R236" s="22"/>
      <c r="S236" s="22"/>
      <c r="T236" s="22"/>
      <c r="U236" s="22"/>
      <c r="V236" s="22"/>
      <c r="W236" s="22"/>
      <c r="X236" s="134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91"/>
      <c r="AZ236" s="91"/>
      <c r="BA236" s="91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</row>
    <row r="237" ht="12.75" hidden="1" customHeight="1">
      <c r="A237" s="8"/>
      <c r="B237" s="8">
        <f t="shared" si="326"/>
        <v>388</v>
      </c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142"/>
      <c r="P237" s="88"/>
      <c r="Q237" s="22"/>
      <c r="R237" s="22"/>
      <c r="S237" s="22"/>
      <c r="T237" s="22"/>
      <c r="U237" s="22"/>
      <c r="V237" s="22"/>
      <c r="W237" s="22"/>
      <c r="X237" s="134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91"/>
      <c r="AZ237" s="91"/>
      <c r="BA237" s="91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</row>
    <row r="238" ht="12.75" hidden="1" customHeight="1">
      <c r="A238" s="8"/>
      <c r="B238" s="8">
        <f t="shared" si="326"/>
        <v>392</v>
      </c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142"/>
      <c r="P238" s="88"/>
      <c r="Q238" s="22"/>
      <c r="R238" s="22"/>
      <c r="S238" s="22"/>
      <c r="T238" s="22"/>
      <c r="U238" s="22"/>
      <c r="V238" s="22"/>
      <c r="W238" s="22"/>
      <c r="X238" s="134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91"/>
      <c r="AZ238" s="91"/>
      <c r="BA238" s="91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</row>
    <row r="239" ht="12.75" hidden="1" customHeight="1">
      <c r="A239" s="8"/>
      <c r="B239" s="8">
        <f t="shared" si="326"/>
        <v>396</v>
      </c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142"/>
      <c r="P239" s="88"/>
      <c r="Q239" s="22"/>
      <c r="R239" s="22"/>
      <c r="S239" s="22"/>
      <c r="T239" s="22"/>
      <c r="U239" s="22"/>
      <c r="V239" s="22"/>
      <c r="W239" s="22"/>
      <c r="X239" s="134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91"/>
      <c r="AZ239" s="91"/>
      <c r="BA239" s="91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</row>
    <row r="240" ht="12.75" hidden="1" customHeight="1">
      <c r="A240" s="8"/>
      <c r="B240" s="8">
        <f t="shared" si="326"/>
        <v>400</v>
      </c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142"/>
      <c r="P240" s="88"/>
      <c r="Q240" s="22"/>
      <c r="R240" s="22"/>
      <c r="S240" s="22"/>
      <c r="T240" s="22"/>
      <c r="U240" s="22"/>
      <c r="V240" s="22"/>
      <c r="W240" s="22"/>
      <c r="X240" s="134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91"/>
      <c r="AZ240" s="91"/>
      <c r="BA240" s="91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</row>
    <row r="241" ht="12.75" hidden="1" customHeight="1">
      <c r="A241" s="8"/>
      <c r="B241" s="8">
        <f t="shared" si="326"/>
        <v>404</v>
      </c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142"/>
      <c r="P241" s="88"/>
      <c r="Q241" s="22"/>
      <c r="R241" s="22"/>
      <c r="S241" s="22"/>
      <c r="T241" s="22"/>
      <c r="U241" s="22"/>
      <c r="V241" s="22"/>
      <c r="W241" s="22"/>
      <c r="X241" s="134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91"/>
      <c r="AZ241" s="91"/>
      <c r="BA241" s="91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</row>
    <row r="242" ht="12.75" hidden="1" customHeight="1">
      <c r="A242" s="8"/>
      <c r="B242" s="8">
        <f t="shared" si="326"/>
        <v>408</v>
      </c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142"/>
      <c r="P242" s="88"/>
      <c r="Q242" s="22"/>
      <c r="R242" s="22"/>
      <c r="S242" s="22"/>
      <c r="T242" s="22"/>
      <c r="U242" s="22"/>
      <c r="V242" s="22"/>
      <c r="W242" s="22"/>
      <c r="X242" s="134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91"/>
      <c r="AZ242" s="91"/>
      <c r="BA242" s="91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</row>
    <row r="243" ht="12.75" hidden="1" customHeight="1">
      <c r="A243" s="8"/>
      <c r="B243" s="8">
        <f t="shared" si="326"/>
        <v>412</v>
      </c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142"/>
      <c r="P243" s="88"/>
      <c r="Q243" s="22"/>
      <c r="R243" s="22"/>
      <c r="S243" s="22"/>
      <c r="T243" s="22"/>
      <c r="U243" s="22"/>
      <c r="V243" s="22"/>
      <c r="W243" s="22"/>
      <c r="X243" s="134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91"/>
      <c r="AZ243" s="91"/>
      <c r="BA243" s="91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</row>
    <row r="244" ht="12.75" hidden="1" customHeight="1">
      <c r="A244" s="8"/>
      <c r="B244" s="8">
        <f t="shared" si="326"/>
        <v>416</v>
      </c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142"/>
      <c r="P244" s="88"/>
      <c r="Q244" s="22"/>
      <c r="R244" s="22"/>
      <c r="S244" s="22"/>
      <c r="T244" s="22"/>
      <c r="U244" s="22"/>
      <c r="V244" s="22"/>
      <c r="W244" s="22"/>
      <c r="X244" s="134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91"/>
      <c r="AZ244" s="91"/>
      <c r="BA244" s="91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</row>
    <row r="245" ht="12.75" hidden="1" customHeight="1">
      <c r="A245" s="8"/>
      <c r="B245" s="8">
        <f t="shared" si="326"/>
        <v>420</v>
      </c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142"/>
      <c r="P245" s="88"/>
      <c r="Q245" s="22"/>
      <c r="R245" s="22"/>
      <c r="S245" s="22"/>
      <c r="T245" s="22"/>
      <c r="U245" s="22"/>
      <c r="V245" s="22"/>
      <c r="W245" s="22"/>
      <c r="X245" s="134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91"/>
      <c r="AZ245" s="91"/>
      <c r="BA245" s="91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</row>
    <row r="246" ht="12.75" hidden="1" customHeight="1">
      <c r="A246" s="8"/>
      <c r="B246" s="8">
        <f t="shared" si="326"/>
        <v>424</v>
      </c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142"/>
      <c r="P246" s="88"/>
      <c r="Q246" s="22"/>
      <c r="R246" s="22"/>
      <c r="S246" s="22"/>
      <c r="T246" s="22"/>
      <c r="U246" s="22"/>
      <c r="V246" s="22"/>
      <c r="W246" s="22"/>
      <c r="X246" s="134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91"/>
      <c r="AZ246" s="91"/>
      <c r="BA246" s="91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</row>
    <row r="247" ht="12.75" hidden="1" customHeight="1">
      <c r="A247" s="8"/>
      <c r="B247" s="8">
        <f t="shared" si="326"/>
        <v>428</v>
      </c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142"/>
      <c r="P247" s="88"/>
      <c r="Q247" s="22"/>
      <c r="R247" s="22"/>
      <c r="S247" s="22"/>
      <c r="T247" s="22"/>
      <c r="U247" s="22"/>
      <c r="V247" s="22"/>
      <c r="W247" s="22"/>
      <c r="X247" s="134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91"/>
      <c r="AZ247" s="91"/>
      <c r="BA247" s="91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</row>
    <row r="248" ht="12.75" hidden="1" customHeight="1">
      <c r="A248" s="8"/>
      <c r="B248" s="8">
        <f t="shared" si="326"/>
        <v>432</v>
      </c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142"/>
      <c r="P248" s="88"/>
      <c r="Q248" s="22"/>
      <c r="R248" s="22"/>
      <c r="S248" s="22"/>
      <c r="T248" s="22"/>
      <c r="U248" s="22"/>
      <c r="V248" s="22"/>
      <c r="W248" s="22"/>
      <c r="X248" s="134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91"/>
      <c r="AZ248" s="91"/>
      <c r="BA248" s="91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</row>
    <row r="249" ht="12.75" hidden="1" customHeight="1">
      <c r="A249" s="8"/>
      <c r="B249" s="8">
        <f t="shared" si="326"/>
        <v>436</v>
      </c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142"/>
      <c r="P249" s="88"/>
      <c r="Q249" s="22"/>
      <c r="R249" s="22"/>
      <c r="S249" s="22"/>
      <c r="T249" s="22"/>
      <c r="U249" s="22"/>
      <c r="V249" s="22"/>
      <c r="W249" s="22"/>
      <c r="X249" s="134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91"/>
      <c r="AZ249" s="91"/>
      <c r="BA249" s="91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</row>
    <row r="250" ht="12.75" hidden="1" customHeight="1">
      <c r="A250" s="8"/>
      <c r="B250" s="8">
        <f t="shared" si="326"/>
        <v>440</v>
      </c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142"/>
      <c r="P250" s="88"/>
      <c r="Q250" s="22"/>
      <c r="R250" s="22"/>
      <c r="S250" s="22"/>
      <c r="T250" s="22"/>
      <c r="U250" s="22"/>
      <c r="V250" s="22"/>
      <c r="W250" s="22"/>
      <c r="X250" s="134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91"/>
      <c r="AZ250" s="91"/>
      <c r="BA250" s="91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</row>
    <row r="251" ht="12.75" hidden="1" customHeight="1">
      <c r="A251" s="8"/>
      <c r="B251" s="8">
        <f t="shared" si="326"/>
        <v>444</v>
      </c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142"/>
      <c r="P251" s="88"/>
      <c r="Q251" s="22"/>
      <c r="R251" s="22"/>
      <c r="S251" s="22"/>
      <c r="T251" s="22"/>
      <c r="U251" s="22"/>
      <c r="V251" s="22"/>
      <c r="W251" s="22"/>
      <c r="X251" s="134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91"/>
      <c r="AZ251" s="91"/>
      <c r="BA251" s="91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</row>
    <row r="252" ht="12.75" hidden="1" customHeight="1">
      <c r="A252" s="8"/>
      <c r="B252" s="8">
        <f t="shared" si="326"/>
        <v>448</v>
      </c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142"/>
      <c r="P252" s="88"/>
      <c r="Q252" s="22"/>
      <c r="R252" s="22"/>
      <c r="S252" s="22"/>
      <c r="T252" s="22"/>
      <c r="U252" s="22"/>
      <c r="V252" s="22"/>
      <c r="W252" s="22"/>
      <c r="X252" s="134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91"/>
      <c r="AZ252" s="91"/>
      <c r="BA252" s="91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</row>
    <row r="253" ht="12.75" hidden="1" customHeight="1">
      <c r="A253" s="8"/>
      <c r="B253" s="8">
        <f t="shared" si="326"/>
        <v>452</v>
      </c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142"/>
      <c r="P253" s="88"/>
      <c r="Q253" s="22"/>
      <c r="R253" s="22"/>
      <c r="S253" s="22"/>
      <c r="T253" s="22"/>
      <c r="U253" s="22"/>
      <c r="V253" s="22"/>
      <c r="W253" s="22"/>
      <c r="X253" s="134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91"/>
      <c r="AZ253" s="91"/>
      <c r="BA253" s="91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</row>
    <row r="254" ht="12.75" hidden="1" customHeight="1">
      <c r="A254" s="8"/>
      <c r="B254" s="8">
        <f t="shared" si="326"/>
        <v>456</v>
      </c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142"/>
      <c r="P254" s="88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91"/>
      <c r="AZ254" s="91"/>
      <c r="BA254" s="91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</row>
    <row r="255" ht="12.75" hidden="1" customHeight="1">
      <c r="A255" s="8"/>
      <c r="B255" s="8">
        <f t="shared" si="326"/>
        <v>460</v>
      </c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142"/>
      <c r="P255" s="88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91"/>
      <c r="AZ255" s="91"/>
      <c r="BA255" s="91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</row>
    <row r="256" ht="12.75" hidden="1" customHeight="1">
      <c r="A256" s="8"/>
      <c r="B256" s="8">
        <f t="shared" si="326"/>
        <v>464</v>
      </c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142"/>
      <c r="P256" s="88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91"/>
      <c r="AZ256" s="91"/>
      <c r="BA256" s="91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</row>
    <row r="257" ht="12.75" hidden="1" customHeight="1">
      <c r="A257" s="8"/>
      <c r="B257" s="8">
        <f t="shared" si="326"/>
        <v>468</v>
      </c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142"/>
      <c r="P257" s="88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91"/>
      <c r="AZ257" s="91"/>
      <c r="BA257" s="91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</row>
    <row r="258" ht="12.75" hidden="1" customHeight="1">
      <c r="A258" s="8"/>
      <c r="B258" s="8">
        <f t="shared" si="326"/>
        <v>472</v>
      </c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142"/>
      <c r="P258" s="88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91"/>
      <c r="AZ258" s="91"/>
      <c r="BA258" s="91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</row>
    <row r="259" ht="12.75" hidden="1" customHeight="1">
      <c r="A259" s="8"/>
      <c r="B259" s="8">
        <f t="shared" si="326"/>
        <v>476</v>
      </c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142"/>
      <c r="P259" s="88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91"/>
      <c r="AZ259" s="91"/>
      <c r="BA259" s="91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</row>
    <row r="260" ht="12.75" hidden="1" customHeight="1">
      <c r="A260" s="8"/>
      <c r="B260" s="8">
        <f t="shared" si="326"/>
        <v>480</v>
      </c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142"/>
      <c r="P260" s="88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91"/>
      <c r="AZ260" s="91"/>
      <c r="BA260" s="91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</row>
    <row r="261" ht="12.75" hidden="1" customHeight="1">
      <c r="A261" s="8"/>
      <c r="B261" s="8">
        <f t="shared" si="326"/>
        <v>484</v>
      </c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142"/>
      <c r="P261" s="88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91"/>
      <c r="AZ261" s="91"/>
      <c r="BA261" s="91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</row>
    <row r="262" ht="12.75" hidden="1" customHeight="1">
      <c r="A262" s="8"/>
      <c r="B262" s="8">
        <f t="shared" si="326"/>
        <v>488</v>
      </c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142"/>
      <c r="P262" s="88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91"/>
      <c r="AZ262" s="91"/>
      <c r="BA262" s="91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</row>
    <row r="263" ht="12.75" hidden="1" customHeight="1">
      <c r="A263" s="8"/>
      <c r="B263" s="8">
        <f t="shared" si="326"/>
        <v>492</v>
      </c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142"/>
      <c r="P263" s="88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91"/>
      <c r="AZ263" s="91"/>
      <c r="BA263" s="91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</row>
    <row r="264" ht="12.75" hidden="1" customHeight="1">
      <c r="A264" s="8"/>
      <c r="B264" s="8">
        <f t="shared" si="326"/>
        <v>496</v>
      </c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142"/>
      <c r="P264" s="88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91"/>
      <c r="AZ264" s="91"/>
      <c r="BA264" s="91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</row>
    <row r="265" ht="12.75" hidden="1" customHeight="1">
      <c r="A265" s="8"/>
      <c r="B265" s="8">
        <f t="shared" si="326"/>
        <v>500</v>
      </c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142"/>
      <c r="P265" s="88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91"/>
      <c r="AZ265" s="91"/>
      <c r="BA265" s="91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</row>
    <row r="266" ht="12.75" hidden="1" customHeight="1">
      <c r="A266" s="8"/>
      <c r="B266" s="8">
        <f t="shared" si="326"/>
        <v>504</v>
      </c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142"/>
      <c r="P266" s="88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91"/>
      <c r="AZ266" s="91"/>
      <c r="BA266" s="91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</row>
    <row r="267" ht="12.75" hidden="1" customHeight="1">
      <c r="A267" s="8"/>
      <c r="B267" s="8">
        <f t="shared" si="326"/>
        <v>508</v>
      </c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142"/>
      <c r="P267" s="88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91"/>
      <c r="AZ267" s="91"/>
      <c r="BA267" s="91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</row>
    <row r="268" ht="12.75" hidden="1" customHeight="1">
      <c r="A268" s="8"/>
      <c r="B268" s="8">
        <f t="shared" si="326"/>
        <v>512</v>
      </c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142"/>
      <c r="P268" s="88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91"/>
      <c r="AZ268" s="91"/>
      <c r="BA268" s="91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</row>
    <row r="269" ht="12.75" hidden="1" customHeight="1">
      <c r="A269" s="8"/>
      <c r="B269" s="8">
        <f t="shared" si="326"/>
        <v>516</v>
      </c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142"/>
      <c r="P269" s="88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91"/>
      <c r="AZ269" s="91"/>
      <c r="BA269" s="91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</row>
    <row r="270" ht="12.75" hidden="1" customHeight="1">
      <c r="A270" s="8"/>
      <c r="B270" s="8">
        <f t="shared" si="326"/>
        <v>520</v>
      </c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142"/>
      <c r="P270" s="88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91"/>
      <c r="AZ270" s="91"/>
      <c r="BA270" s="91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</row>
    <row r="271" ht="12.75" hidden="1" customHeight="1">
      <c r="A271" s="8"/>
      <c r="B271" s="8">
        <f t="shared" si="326"/>
        <v>524</v>
      </c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142"/>
      <c r="P271" s="88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91"/>
      <c r="AZ271" s="91"/>
      <c r="BA271" s="91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</row>
    <row r="272" ht="12.75" hidden="1" customHeight="1">
      <c r="A272" s="8"/>
      <c r="B272" s="8">
        <f t="shared" si="326"/>
        <v>528</v>
      </c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142"/>
      <c r="P272" s="88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91"/>
      <c r="AZ272" s="91"/>
      <c r="BA272" s="91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</row>
    <row r="273" ht="12.75" hidden="1" customHeight="1">
      <c r="A273" s="8"/>
      <c r="B273" s="8">
        <f t="shared" si="326"/>
        <v>532</v>
      </c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142"/>
      <c r="P273" s="88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91"/>
      <c r="AZ273" s="91"/>
      <c r="BA273" s="91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</row>
    <row r="274" ht="12.75" hidden="1" customHeight="1">
      <c r="A274" s="8"/>
      <c r="B274" s="8">
        <f t="shared" si="326"/>
        <v>536</v>
      </c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142"/>
      <c r="P274" s="88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91"/>
      <c r="AZ274" s="91"/>
      <c r="BA274" s="91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</row>
    <row r="275" ht="12.75" hidden="1" customHeight="1">
      <c r="A275" s="8"/>
      <c r="B275" s="8">
        <f t="shared" si="326"/>
        <v>540</v>
      </c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142"/>
      <c r="P275" s="88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91"/>
      <c r="AZ275" s="91"/>
      <c r="BA275" s="91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</row>
    <row r="276" ht="12.75" hidden="1" customHeight="1">
      <c r="A276" s="8"/>
      <c r="B276" s="8">
        <f t="shared" si="326"/>
        <v>544</v>
      </c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142"/>
      <c r="P276" s="88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91"/>
      <c r="AZ276" s="91"/>
      <c r="BA276" s="91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</row>
    <row r="277" ht="12.75" hidden="1" customHeight="1">
      <c r="A277" s="8"/>
      <c r="B277" s="8">
        <f t="shared" si="326"/>
        <v>548</v>
      </c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142"/>
      <c r="P277" s="88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91"/>
      <c r="AZ277" s="91"/>
      <c r="BA277" s="91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</row>
    <row r="278" ht="12.75" hidden="1" customHeight="1">
      <c r="A278" s="8"/>
      <c r="B278" s="8">
        <f t="shared" si="326"/>
        <v>552</v>
      </c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142"/>
      <c r="P278" s="88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91"/>
      <c r="AZ278" s="91"/>
      <c r="BA278" s="91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</row>
    <row r="279" ht="12.75" hidden="1" customHeight="1">
      <c r="A279" s="8"/>
      <c r="B279" s="8">
        <f t="shared" si="326"/>
        <v>556</v>
      </c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142"/>
      <c r="P279" s="88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91"/>
      <c r="AZ279" s="91"/>
      <c r="BA279" s="91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</row>
    <row r="280" ht="12.75" hidden="1" customHeight="1">
      <c r="A280" s="8"/>
      <c r="B280" s="8">
        <f t="shared" si="326"/>
        <v>560</v>
      </c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142"/>
      <c r="P280" s="88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91"/>
      <c r="AZ280" s="91"/>
      <c r="BA280" s="91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</row>
    <row r="281" ht="12.75" hidden="1" customHeight="1">
      <c r="A281" s="8"/>
      <c r="B281" s="8">
        <f t="shared" si="326"/>
        <v>564</v>
      </c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142"/>
      <c r="P281" s="88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91"/>
      <c r="AZ281" s="91"/>
      <c r="BA281" s="91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</row>
    <row r="282" ht="12.75" hidden="1" customHeight="1">
      <c r="A282" s="8"/>
      <c r="B282" s="8">
        <f t="shared" si="326"/>
        <v>568</v>
      </c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142"/>
      <c r="P282" s="88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91"/>
      <c r="AZ282" s="91"/>
      <c r="BA282" s="91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</row>
    <row r="283" ht="12.75" hidden="1" customHeight="1">
      <c r="A283" s="8"/>
      <c r="B283" s="8">
        <f t="shared" si="326"/>
        <v>572</v>
      </c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142"/>
      <c r="P283" s="88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91"/>
      <c r="AZ283" s="91"/>
      <c r="BA283" s="91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</row>
    <row r="284" ht="12.75" hidden="1" customHeight="1">
      <c r="A284" s="8"/>
      <c r="B284" s="8">
        <f t="shared" si="326"/>
        <v>576</v>
      </c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142"/>
      <c r="P284" s="88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91"/>
      <c r="AZ284" s="91"/>
      <c r="BA284" s="91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</row>
    <row r="285" ht="12.75" hidden="1" customHeight="1">
      <c r="A285" s="8"/>
      <c r="B285" s="8">
        <f t="shared" si="326"/>
        <v>580</v>
      </c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142"/>
      <c r="P285" s="88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91"/>
      <c r="AZ285" s="91"/>
      <c r="BA285" s="91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</row>
    <row r="286" ht="12.75" hidden="1" customHeight="1">
      <c r="A286" s="8"/>
      <c r="B286" s="8">
        <f t="shared" si="326"/>
        <v>584</v>
      </c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142"/>
      <c r="P286" s="88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91"/>
      <c r="AZ286" s="91"/>
      <c r="BA286" s="91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</row>
    <row r="287" ht="12.75" hidden="1" customHeight="1">
      <c r="A287" s="8"/>
      <c r="B287" s="8">
        <f t="shared" si="326"/>
        <v>588</v>
      </c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142"/>
      <c r="P287" s="88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91"/>
      <c r="AZ287" s="91"/>
      <c r="BA287" s="91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</row>
    <row r="288" ht="12.75" hidden="1" customHeight="1">
      <c r="A288" s="8"/>
      <c r="B288" s="8">
        <f t="shared" si="326"/>
        <v>592</v>
      </c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142"/>
      <c r="P288" s="88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91"/>
      <c r="AZ288" s="91"/>
      <c r="BA288" s="91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</row>
    <row r="289" ht="12.75" hidden="1" customHeight="1">
      <c r="A289" s="8"/>
      <c r="B289" s="8">
        <f t="shared" si="326"/>
        <v>596</v>
      </c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142"/>
      <c r="P289" s="88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91"/>
      <c r="AZ289" s="91"/>
      <c r="BA289" s="91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</row>
    <row r="290" ht="12.75" hidden="1" customHeight="1">
      <c r="A290" s="8"/>
      <c r="B290" s="8">
        <f t="shared" si="326"/>
        <v>600</v>
      </c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142"/>
      <c r="P290" s="88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91"/>
      <c r="AZ290" s="91"/>
      <c r="BA290" s="91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</row>
    <row r="291" ht="12.75" hidden="1" customHeight="1">
      <c r="A291" s="8"/>
      <c r="B291" s="8">
        <f t="shared" si="326"/>
        <v>604</v>
      </c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142"/>
      <c r="P291" s="88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91"/>
      <c r="AZ291" s="91"/>
      <c r="BA291" s="91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</row>
    <row r="292" ht="12.75" hidden="1" customHeight="1">
      <c r="A292" s="8"/>
      <c r="B292" s="8">
        <f t="shared" si="326"/>
        <v>608</v>
      </c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142"/>
      <c r="P292" s="88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91"/>
      <c r="AZ292" s="91"/>
      <c r="BA292" s="91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</row>
    <row r="293" ht="12.75" hidden="1" customHeight="1">
      <c r="A293" s="8"/>
      <c r="B293" s="8">
        <f t="shared" si="326"/>
        <v>612</v>
      </c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142"/>
      <c r="P293" s="88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91"/>
      <c r="AZ293" s="91"/>
      <c r="BA293" s="91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</row>
    <row r="294" ht="12.75" hidden="1" customHeight="1">
      <c r="A294" s="8"/>
      <c r="B294" s="8">
        <f t="shared" si="326"/>
        <v>616</v>
      </c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142"/>
      <c r="P294" s="88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91"/>
      <c r="AZ294" s="91"/>
      <c r="BA294" s="91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</row>
    <row r="295" ht="12.75" hidden="1" customHeight="1">
      <c r="A295" s="8"/>
      <c r="B295" s="8">
        <f t="shared" si="326"/>
        <v>620</v>
      </c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142"/>
      <c r="P295" s="88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91"/>
      <c r="AZ295" s="91"/>
      <c r="BA295" s="91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</row>
    <row r="296" ht="12.75" hidden="1" customHeight="1">
      <c r="A296" s="8"/>
      <c r="B296" s="8">
        <f t="shared" si="326"/>
        <v>624</v>
      </c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142"/>
      <c r="P296" s="88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91"/>
      <c r="AZ296" s="91"/>
      <c r="BA296" s="91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</row>
    <row r="297" ht="12.75" hidden="1" customHeight="1">
      <c r="A297" s="8"/>
      <c r="B297" s="8">
        <f t="shared" si="326"/>
        <v>628</v>
      </c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142"/>
      <c r="P297" s="88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91"/>
      <c r="AZ297" s="91"/>
      <c r="BA297" s="91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</row>
    <row r="298" ht="12.75" hidden="1" customHeight="1">
      <c r="A298" s="8"/>
      <c r="B298" s="8">
        <f t="shared" si="326"/>
        <v>632</v>
      </c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142"/>
      <c r="P298" s="88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91"/>
      <c r="AZ298" s="91"/>
      <c r="BA298" s="91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</row>
    <row r="299" ht="12.75" hidden="1" customHeight="1">
      <c r="A299" s="8"/>
      <c r="B299" s="8">
        <f t="shared" si="326"/>
        <v>636</v>
      </c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142"/>
      <c r="P299" s="88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91"/>
      <c r="AZ299" s="91"/>
      <c r="BA299" s="91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</row>
    <row r="300" ht="12.75" hidden="1" customHeight="1">
      <c r="A300" s="8"/>
      <c r="B300" s="8">
        <f t="shared" si="326"/>
        <v>640</v>
      </c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142"/>
      <c r="P300" s="88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91"/>
      <c r="AZ300" s="91"/>
      <c r="BA300" s="91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</row>
    <row r="301" ht="12.75" hidden="1" customHeight="1">
      <c r="A301" s="8"/>
      <c r="B301" s="8">
        <f t="shared" si="326"/>
        <v>644</v>
      </c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142"/>
      <c r="P301" s="88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91"/>
      <c r="AZ301" s="91"/>
      <c r="BA301" s="91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</row>
    <row r="302" ht="12.75" hidden="1" customHeight="1">
      <c r="A302" s="8"/>
      <c r="B302" s="8">
        <f t="shared" si="326"/>
        <v>648</v>
      </c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142"/>
      <c r="P302" s="88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91"/>
      <c r="AZ302" s="91"/>
      <c r="BA302" s="91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</row>
    <row r="303" ht="12.75" hidden="1" customHeight="1">
      <c r="A303" s="8"/>
      <c r="B303" s="8">
        <f t="shared" si="326"/>
        <v>652</v>
      </c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142"/>
      <c r="P303" s="88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91"/>
      <c r="AZ303" s="91"/>
      <c r="BA303" s="91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</row>
    <row r="304" ht="12.75" hidden="1" customHeight="1">
      <c r="A304" s="8"/>
      <c r="B304" s="8">
        <f t="shared" si="326"/>
        <v>656</v>
      </c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142"/>
      <c r="P304" s="88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91"/>
      <c r="AZ304" s="91"/>
      <c r="BA304" s="91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</row>
    <row r="305" ht="12.75" hidden="1" customHeight="1">
      <c r="A305" s="8"/>
      <c r="B305" s="8">
        <f t="shared" si="326"/>
        <v>660</v>
      </c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142"/>
      <c r="P305" s="88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91"/>
      <c r="AZ305" s="91"/>
      <c r="BA305" s="91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</row>
    <row r="306" ht="12.75" hidden="1" customHeight="1">
      <c r="A306" s="8"/>
      <c r="B306" s="8">
        <f t="shared" si="326"/>
        <v>664</v>
      </c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142"/>
      <c r="P306" s="88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91"/>
      <c r="AZ306" s="91"/>
      <c r="BA306" s="91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</row>
    <row r="307" ht="12.75" hidden="1" customHeight="1">
      <c r="A307" s="8"/>
      <c r="B307" s="8">
        <f t="shared" si="326"/>
        <v>668</v>
      </c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142"/>
      <c r="P307" s="88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91"/>
      <c r="AZ307" s="91"/>
      <c r="BA307" s="91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</row>
    <row r="308" ht="12.75" hidden="1" customHeight="1">
      <c r="A308" s="8"/>
      <c r="B308" s="8">
        <f t="shared" si="326"/>
        <v>672</v>
      </c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142"/>
      <c r="P308" s="88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91"/>
      <c r="AZ308" s="91"/>
      <c r="BA308" s="91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</row>
    <row r="309" ht="12.75" hidden="1" customHeight="1">
      <c r="A309" s="8"/>
      <c r="B309" s="8">
        <f t="shared" si="326"/>
        <v>676</v>
      </c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142"/>
      <c r="P309" s="88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91"/>
      <c r="AZ309" s="91"/>
      <c r="BA309" s="91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</row>
    <row r="310" ht="12.75" hidden="1" customHeight="1">
      <c r="A310" s="8"/>
      <c r="B310" s="8">
        <f t="shared" si="326"/>
        <v>680</v>
      </c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142"/>
      <c r="P310" s="88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91"/>
      <c r="AZ310" s="91"/>
      <c r="BA310" s="91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</row>
    <row r="311" ht="12.75" hidden="1" customHeight="1">
      <c r="A311" s="8"/>
      <c r="B311" s="8">
        <f t="shared" si="326"/>
        <v>684</v>
      </c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142"/>
      <c r="P311" s="88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91"/>
      <c r="AZ311" s="91"/>
      <c r="BA311" s="91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</row>
    <row r="312" ht="12.75" hidden="1" customHeight="1">
      <c r="A312" s="8"/>
      <c r="B312" s="8">
        <f t="shared" si="326"/>
        <v>688</v>
      </c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142"/>
      <c r="P312" s="88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91"/>
      <c r="AZ312" s="91"/>
      <c r="BA312" s="91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</row>
    <row r="313" ht="12.75" hidden="1" customHeight="1">
      <c r="A313" s="8"/>
      <c r="B313" s="8">
        <f t="shared" si="326"/>
        <v>692</v>
      </c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142"/>
      <c r="P313" s="88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91"/>
      <c r="AZ313" s="91"/>
      <c r="BA313" s="91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</row>
    <row r="314" ht="12.75" hidden="1" customHeight="1">
      <c r="A314" s="8"/>
      <c r="B314" s="8">
        <f t="shared" si="326"/>
        <v>696</v>
      </c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142"/>
      <c r="P314" s="88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91"/>
      <c r="AZ314" s="91"/>
      <c r="BA314" s="91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</row>
    <row r="315" ht="12.75" hidden="1" customHeight="1">
      <c r="A315" s="8"/>
      <c r="B315" s="8">
        <f t="shared" si="326"/>
        <v>700</v>
      </c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142"/>
      <c r="P315" s="88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91"/>
      <c r="AZ315" s="91"/>
      <c r="BA315" s="91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</row>
    <row r="316" ht="12.75" hidden="1" customHeight="1">
      <c r="A316" s="8"/>
      <c r="B316" s="8">
        <f t="shared" si="326"/>
        <v>704</v>
      </c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142"/>
      <c r="P316" s="88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91"/>
      <c r="AZ316" s="91"/>
      <c r="BA316" s="91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</row>
    <row r="317" ht="12.75" hidden="1" customHeight="1">
      <c r="A317" s="8"/>
      <c r="B317" s="8">
        <f t="shared" si="326"/>
        <v>708</v>
      </c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142"/>
      <c r="P317" s="88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91"/>
      <c r="AZ317" s="91"/>
      <c r="BA317" s="91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</row>
    <row r="318" ht="12.75" hidden="1" customHeight="1">
      <c r="A318" s="8"/>
      <c r="B318" s="8">
        <f t="shared" si="326"/>
        <v>712</v>
      </c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142"/>
      <c r="P318" s="88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91"/>
      <c r="AZ318" s="91"/>
      <c r="BA318" s="91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</row>
    <row r="319" ht="12.75" hidden="1" customHeight="1">
      <c r="A319" s="8"/>
      <c r="B319" s="8">
        <f t="shared" si="326"/>
        <v>716</v>
      </c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142"/>
      <c r="P319" s="88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91"/>
      <c r="AZ319" s="91"/>
      <c r="BA319" s="91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</row>
    <row r="320" ht="12.75" hidden="1" customHeight="1">
      <c r="A320" s="8"/>
      <c r="B320" s="8">
        <f t="shared" si="326"/>
        <v>720</v>
      </c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142"/>
      <c r="P320" s="88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91"/>
      <c r="AZ320" s="91"/>
      <c r="BA320" s="91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</row>
    <row r="321" ht="12.75" hidden="1" customHeight="1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142"/>
      <c r="P321" s="88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91"/>
      <c r="AZ321" s="91"/>
      <c r="BA321" s="91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</row>
    <row r="322" ht="12.75" hidden="1" customHeight="1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142"/>
      <c r="P322" s="88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91"/>
      <c r="AZ322" s="91"/>
      <c r="BA322" s="91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</row>
    <row r="323" ht="12.75" hidden="1" customHeight="1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142"/>
      <c r="P323" s="88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91"/>
      <c r="AZ323" s="91"/>
      <c r="BA323" s="91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</row>
    <row r="324" ht="12.75" hidden="1" customHeight="1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142"/>
      <c r="P324" s="88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91"/>
      <c r="AZ324" s="91"/>
      <c r="BA324" s="91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</row>
    <row r="325" ht="12.75" hidden="1" customHeight="1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142"/>
      <c r="P325" s="88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91"/>
      <c r="AZ325" s="91"/>
      <c r="BA325" s="91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</row>
    <row r="326" ht="12.75" hidden="1" customHeight="1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142"/>
      <c r="P326" s="88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91"/>
      <c r="AZ326" s="91"/>
      <c r="BA326" s="91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</row>
    <row r="327" ht="12.75" hidden="1" customHeight="1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142"/>
      <c r="P327" s="88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91"/>
      <c r="AZ327" s="91"/>
      <c r="BA327" s="91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</row>
    <row r="328" ht="12.75" hidden="1" customHeight="1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142"/>
      <c r="P328" s="88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91"/>
      <c r="AZ328" s="91"/>
      <c r="BA328" s="91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</row>
    <row r="329" ht="12.75" hidden="1" customHeight="1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142"/>
      <c r="P329" s="88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91"/>
      <c r="AZ329" s="91"/>
      <c r="BA329" s="91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</row>
    <row r="330" ht="12.75" hidden="1" customHeight="1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142"/>
      <c r="P330" s="88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91"/>
      <c r="AZ330" s="91"/>
      <c r="BA330" s="91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</row>
    <row r="331" ht="12.75" hidden="1" customHeight="1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142"/>
      <c r="P331" s="88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91"/>
      <c r="AZ331" s="91"/>
      <c r="BA331" s="91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</row>
    <row r="332" ht="12.75" hidden="1" customHeight="1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142"/>
      <c r="P332" s="88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91"/>
      <c r="AZ332" s="91"/>
      <c r="BA332" s="91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</row>
    <row r="333" ht="12.75" hidden="1" customHeight="1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142"/>
      <c r="P333" s="88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91"/>
      <c r="AZ333" s="91"/>
      <c r="BA333" s="91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</row>
    <row r="334" ht="12.75" hidden="1" customHeight="1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142"/>
      <c r="P334" s="88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91"/>
      <c r="AZ334" s="91"/>
      <c r="BA334" s="91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</row>
    <row r="335" ht="12.75" hidden="1" customHeight="1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142"/>
      <c r="P335" s="88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91"/>
      <c r="AZ335" s="91"/>
      <c r="BA335" s="91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</row>
    <row r="336" ht="12.75" hidden="1" customHeight="1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142"/>
      <c r="P336" s="88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91"/>
      <c r="AZ336" s="91"/>
      <c r="BA336" s="91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</row>
    <row r="337" ht="12.75" hidden="1" customHeight="1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142"/>
      <c r="P337" s="88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91"/>
      <c r="AZ337" s="91"/>
      <c r="BA337" s="91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</row>
    <row r="338" ht="12.75" hidden="1" customHeight="1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142"/>
      <c r="P338" s="88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91"/>
      <c r="AZ338" s="91"/>
      <c r="BA338" s="91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</row>
    <row r="339" ht="12.75" hidden="1" customHeight="1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142"/>
      <c r="P339" s="88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91"/>
      <c r="AZ339" s="91"/>
      <c r="BA339" s="91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</row>
    <row r="340" ht="12.75" hidden="1" customHeight="1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142"/>
      <c r="P340" s="88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91"/>
      <c r="AZ340" s="91"/>
      <c r="BA340" s="91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</row>
    <row r="341" ht="12.75" hidden="1" customHeight="1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142"/>
      <c r="P341" s="88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91"/>
      <c r="AZ341" s="91"/>
      <c r="BA341" s="91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</row>
    <row r="342" ht="12.75" hidden="1" customHeight="1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142"/>
      <c r="P342" s="88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91"/>
      <c r="AZ342" s="91"/>
      <c r="BA342" s="91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</row>
    <row r="343" ht="12.75" hidden="1" customHeight="1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142"/>
      <c r="P343" s="88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91"/>
      <c r="AZ343" s="91"/>
      <c r="BA343" s="91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</row>
    <row r="344" ht="12.75" hidden="1" customHeight="1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142"/>
      <c r="P344" s="88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91"/>
      <c r="AZ344" s="91"/>
      <c r="BA344" s="91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</row>
    <row r="345" ht="12.75" hidden="1" customHeight="1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142"/>
      <c r="P345" s="88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91"/>
      <c r="AZ345" s="91"/>
      <c r="BA345" s="91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</row>
    <row r="346" ht="12.75" hidden="1" customHeight="1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142"/>
      <c r="P346" s="88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91"/>
      <c r="AZ346" s="91"/>
      <c r="BA346" s="91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</row>
    <row r="347" ht="12.75" hidden="1" customHeight="1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142"/>
      <c r="P347" s="88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91"/>
      <c r="AZ347" s="91"/>
      <c r="BA347" s="91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</row>
    <row r="348" ht="12.75" hidden="1" customHeight="1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142"/>
      <c r="P348" s="88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91"/>
      <c r="AZ348" s="91"/>
      <c r="BA348" s="91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</row>
    <row r="349" ht="12.75" hidden="1" customHeight="1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142"/>
      <c r="P349" s="88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91"/>
      <c r="AZ349" s="91"/>
      <c r="BA349" s="91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</row>
    <row r="350" ht="12.75" hidden="1" customHeight="1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142"/>
      <c r="P350" s="88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91"/>
      <c r="AZ350" s="91"/>
      <c r="BA350" s="91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</row>
    <row r="351" ht="12.75" hidden="1" customHeight="1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142"/>
      <c r="P351" s="88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91"/>
      <c r="AZ351" s="91"/>
      <c r="BA351" s="91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</row>
    <row r="352" ht="12.75" hidden="1" customHeight="1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142"/>
      <c r="P352" s="88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91"/>
      <c r="AZ352" s="91"/>
      <c r="BA352" s="91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</row>
    <row r="353" ht="12.75" hidden="1" customHeight="1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142"/>
      <c r="P353" s="88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91"/>
      <c r="AZ353" s="91"/>
      <c r="BA353" s="91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</row>
    <row r="354" ht="12.75" hidden="1" customHeight="1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142"/>
      <c r="P354" s="88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91"/>
      <c r="AZ354" s="91"/>
      <c r="BA354" s="91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</row>
    <row r="355" ht="12.75" hidden="1" customHeight="1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142"/>
      <c r="P355" s="88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91"/>
      <c r="AZ355" s="91"/>
      <c r="BA355" s="91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</row>
    <row r="356" ht="12.75" hidden="1" customHeight="1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142"/>
      <c r="P356" s="88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91"/>
      <c r="AZ356" s="91"/>
      <c r="BA356" s="91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</row>
    <row r="357" ht="12.75" hidden="1" customHeight="1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142"/>
      <c r="P357" s="88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91"/>
      <c r="AZ357" s="91"/>
      <c r="BA357" s="91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</row>
    <row r="358" ht="12.75" hidden="1" customHeight="1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142"/>
      <c r="P358" s="88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91"/>
      <c r="AZ358" s="91"/>
      <c r="BA358" s="91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</row>
    <row r="359" ht="12.75" hidden="1" customHeight="1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142"/>
      <c r="P359" s="88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91"/>
      <c r="AZ359" s="91"/>
      <c r="BA359" s="91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</row>
    <row r="360" ht="12.75" hidden="1" customHeight="1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142"/>
      <c r="P360" s="88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91"/>
      <c r="AZ360" s="91"/>
      <c r="BA360" s="91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</row>
    <row r="361" ht="12.75" hidden="1" customHeight="1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142"/>
      <c r="P361" s="88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91"/>
      <c r="AZ361" s="91"/>
      <c r="BA361" s="91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</row>
    <row r="362" ht="12.75" hidden="1" customHeight="1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142"/>
      <c r="P362" s="88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91"/>
      <c r="AZ362" s="91"/>
      <c r="BA362" s="91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</row>
    <row r="363" ht="12.75" hidden="1" customHeight="1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142"/>
      <c r="P363" s="88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91"/>
      <c r="AZ363" s="91"/>
      <c r="BA363" s="91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</row>
    <row r="364" ht="12.75" hidden="1" customHeight="1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142"/>
      <c r="P364" s="88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91"/>
      <c r="AZ364" s="91"/>
      <c r="BA364" s="91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</row>
    <row r="365" ht="12.75" hidden="1" customHeight="1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142"/>
      <c r="P365" s="88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91"/>
      <c r="AZ365" s="91"/>
      <c r="BA365" s="91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</row>
    <row r="366" ht="12.75" hidden="1" customHeight="1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142"/>
      <c r="P366" s="88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91"/>
      <c r="AZ366" s="91"/>
      <c r="BA366" s="91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</row>
    <row r="367" ht="12.75" hidden="1" customHeight="1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142"/>
      <c r="P367" s="88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91"/>
      <c r="AZ367" s="91"/>
      <c r="BA367" s="91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</row>
    <row r="368" ht="12.75" hidden="1" customHeight="1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142"/>
      <c r="P368" s="88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91"/>
      <c r="AZ368" s="91"/>
      <c r="BA368" s="91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</row>
    <row r="369" ht="12.75" hidden="1" customHeight="1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142"/>
      <c r="P369" s="88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91"/>
      <c r="AZ369" s="91"/>
      <c r="BA369" s="91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</row>
    <row r="370" ht="12.75" hidden="1" customHeight="1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142"/>
      <c r="P370" s="88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91"/>
      <c r="AZ370" s="91"/>
      <c r="BA370" s="91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</row>
    <row r="371" ht="12.75" hidden="1" customHeight="1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142"/>
      <c r="P371" s="88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91"/>
      <c r="AZ371" s="91"/>
      <c r="BA371" s="91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</row>
    <row r="372" ht="12.75" hidden="1" customHeight="1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142"/>
      <c r="P372" s="88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91"/>
      <c r="AZ372" s="91"/>
      <c r="BA372" s="91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</row>
    <row r="373" ht="12.75" hidden="1" customHeight="1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142"/>
      <c r="P373" s="88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91"/>
      <c r="AZ373" s="91"/>
      <c r="BA373" s="91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</row>
    <row r="374" ht="12.75" hidden="1" customHeight="1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142"/>
      <c r="P374" s="88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91"/>
      <c r="AZ374" s="91"/>
      <c r="BA374" s="91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</row>
    <row r="375" ht="12.75" hidden="1" customHeight="1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142"/>
      <c r="P375" s="88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91"/>
      <c r="AZ375" s="91"/>
      <c r="BA375" s="91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</row>
    <row r="376" ht="12.75" hidden="1" customHeight="1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142"/>
      <c r="P376" s="88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91"/>
      <c r="AZ376" s="91"/>
      <c r="BA376" s="91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</row>
    <row r="377" ht="12.75" hidden="1" customHeight="1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142"/>
      <c r="P377" s="88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91"/>
      <c r="AZ377" s="91"/>
      <c r="BA377" s="91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</row>
    <row r="378" ht="12.75" hidden="1" customHeight="1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142"/>
      <c r="P378" s="88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91"/>
      <c r="AZ378" s="91"/>
      <c r="BA378" s="91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</row>
    <row r="379" ht="12.75" hidden="1" customHeight="1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142"/>
      <c r="P379" s="88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91"/>
      <c r="AZ379" s="91"/>
      <c r="BA379" s="91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</row>
    <row r="380" ht="12.75" hidden="1" customHeight="1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142"/>
      <c r="P380" s="88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91"/>
      <c r="AZ380" s="91"/>
      <c r="BA380" s="91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</row>
    <row r="381" ht="12.75" hidden="1" customHeight="1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142"/>
      <c r="P381" s="88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91"/>
      <c r="AZ381" s="91"/>
      <c r="BA381" s="91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</row>
    <row r="382" ht="12.75" hidden="1" customHeight="1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142"/>
      <c r="P382" s="88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91"/>
      <c r="AZ382" s="91"/>
      <c r="BA382" s="91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</row>
    <row r="383" ht="12.75" hidden="1" customHeight="1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142"/>
      <c r="P383" s="88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91"/>
      <c r="AZ383" s="91"/>
      <c r="BA383" s="91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</row>
    <row r="384" ht="12.75" hidden="1" customHeight="1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142"/>
      <c r="P384" s="88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91"/>
      <c r="AZ384" s="91"/>
      <c r="BA384" s="91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</row>
    <row r="385" ht="12.75" hidden="1" customHeight="1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142"/>
      <c r="P385" s="88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91"/>
      <c r="AZ385" s="91"/>
      <c r="BA385" s="91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</row>
    <row r="386" ht="12.75" hidden="1" customHeight="1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142"/>
      <c r="P386" s="88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91"/>
      <c r="AZ386" s="91"/>
      <c r="BA386" s="91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</row>
    <row r="387" ht="12.75" hidden="1" customHeight="1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142"/>
      <c r="P387" s="88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91"/>
      <c r="AZ387" s="91"/>
      <c r="BA387" s="91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</row>
    <row r="388" ht="12.75" hidden="1" customHeight="1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142"/>
      <c r="P388" s="88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91"/>
      <c r="AZ388" s="91"/>
      <c r="BA388" s="91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</row>
    <row r="389" ht="12.75" hidden="1" customHeight="1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142"/>
      <c r="P389" s="88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91"/>
      <c r="AZ389" s="91"/>
      <c r="BA389" s="91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</row>
    <row r="390" ht="12.75" hidden="1" customHeight="1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142"/>
      <c r="P390" s="88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91"/>
      <c r="AZ390" s="91"/>
      <c r="BA390" s="91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</row>
    <row r="391" ht="12.75" hidden="1" customHeight="1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142"/>
      <c r="P391" s="88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91"/>
      <c r="AZ391" s="91"/>
      <c r="BA391" s="91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</row>
    <row r="392" ht="12.75" hidden="1" customHeight="1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142"/>
      <c r="P392" s="88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91"/>
      <c r="AZ392" s="91"/>
      <c r="BA392" s="91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</row>
    <row r="393" ht="12.75" hidden="1" customHeight="1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142"/>
      <c r="P393" s="88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91"/>
      <c r="AZ393" s="91"/>
      <c r="BA393" s="91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</row>
    <row r="394" ht="12.75" hidden="1" customHeight="1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142"/>
      <c r="P394" s="88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91"/>
      <c r="AZ394" s="91"/>
      <c r="BA394" s="91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</row>
    <row r="395" ht="12.75" hidden="1" customHeight="1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142"/>
      <c r="P395" s="88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91"/>
      <c r="AZ395" s="91"/>
      <c r="BA395" s="91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</row>
    <row r="396" ht="12.75" hidden="1" customHeight="1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142"/>
      <c r="P396" s="88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91"/>
      <c r="AZ396" s="91"/>
      <c r="BA396" s="91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</row>
    <row r="397" ht="12.75" hidden="1" customHeight="1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142"/>
      <c r="P397" s="88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91"/>
      <c r="AZ397" s="91"/>
      <c r="BA397" s="91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</row>
    <row r="398" ht="12.75" hidden="1" customHeight="1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142"/>
      <c r="P398" s="88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91"/>
      <c r="AZ398" s="91"/>
      <c r="BA398" s="91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</row>
    <row r="399" ht="12.75" hidden="1" customHeight="1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142"/>
      <c r="P399" s="88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91"/>
      <c r="AZ399" s="91"/>
      <c r="BA399" s="91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</row>
    <row r="400" ht="12.75" hidden="1" customHeight="1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142"/>
      <c r="P400" s="88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91"/>
      <c r="AZ400" s="91"/>
      <c r="BA400" s="91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</row>
    <row r="401" ht="12.75" hidden="1" customHeight="1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142"/>
      <c r="P401" s="88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91"/>
      <c r="AZ401" s="91"/>
      <c r="BA401" s="91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</row>
    <row r="402" ht="12.75" hidden="1" customHeight="1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142"/>
      <c r="P402" s="88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91"/>
      <c r="AZ402" s="91"/>
      <c r="BA402" s="91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</row>
    <row r="403" ht="12.75" hidden="1" customHeight="1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142"/>
      <c r="P403" s="88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91"/>
      <c r="AZ403" s="91"/>
      <c r="BA403" s="91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</row>
    <row r="404" ht="12.75" hidden="1" customHeight="1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142"/>
      <c r="P404" s="88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91"/>
      <c r="AZ404" s="91"/>
      <c r="BA404" s="91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</row>
    <row r="405" ht="12.75" hidden="1" customHeight="1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142"/>
      <c r="P405" s="88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91"/>
      <c r="AZ405" s="91"/>
      <c r="BA405" s="91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</row>
    <row r="406" ht="12.75" hidden="1" customHeight="1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142"/>
      <c r="P406" s="88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91"/>
      <c r="AZ406" s="91"/>
      <c r="BA406" s="91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</row>
    <row r="407" ht="12.75" hidden="1" customHeight="1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142"/>
      <c r="P407" s="88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91"/>
      <c r="AZ407" s="91"/>
      <c r="BA407" s="91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</row>
    <row r="408" ht="12.75" hidden="1" customHeight="1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142"/>
      <c r="P408" s="88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91"/>
      <c r="AZ408" s="91"/>
      <c r="BA408" s="91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</row>
    <row r="409" ht="12.75" hidden="1" customHeight="1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142"/>
      <c r="P409" s="88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91"/>
      <c r="AZ409" s="91"/>
      <c r="BA409" s="91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</row>
    <row r="410" ht="12.75" hidden="1" customHeight="1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142"/>
      <c r="P410" s="88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91"/>
      <c r="AZ410" s="91"/>
      <c r="BA410" s="91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</row>
    <row r="411" ht="12.75" hidden="1" customHeight="1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142"/>
      <c r="P411" s="88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91"/>
      <c r="AZ411" s="91"/>
      <c r="BA411" s="91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</row>
    <row r="412" ht="12.75" hidden="1" customHeight="1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142"/>
      <c r="P412" s="88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91"/>
      <c r="AZ412" s="91"/>
      <c r="BA412" s="91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</row>
    <row r="413" ht="12.75" hidden="1" customHeight="1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142"/>
      <c r="P413" s="88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91"/>
      <c r="AZ413" s="91"/>
      <c r="BA413" s="91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</row>
    <row r="414" ht="12.75" hidden="1" customHeight="1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142"/>
      <c r="P414" s="88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91"/>
      <c r="AZ414" s="91"/>
      <c r="BA414" s="91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</row>
    <row r="415" ht="12.75" hidden="1" customHeight="1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142"/>
      <c r="P415" s="88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91"/>
      <c r="AZ415" s="91"/>
      <c r="BA415" s="91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</row>
    <row r="416" ht="12.75" hidden="1" customHeight="1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142"/>
      <c r="P416" s="88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91"/>
      <c r="AZ416" s="91"/>
      <c r="BA416" s="91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</row>
    <row r="417" ht="12.75" hidden="1" customHeight="1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142"/>
      <c r="P417" s="88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91"/>
      <c r="AZ417" s="91"/>
      <c r="BA417" s="91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</row>
    <row r="418" ht="12.75" hidden="1" customHeight="1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142"/>
      <c r="P418" s="88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91"/>
      <c r="AZ418" s="91"/>
      <c r="BA418" s="91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</row>
    <row r="419" ht="12.75" hidden="1" customHeight="1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142"/>
      <c r="P419" s="88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91"/>
      <c r="AZ419" s="91"/>
      <c r="BA419" s="91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</row>
    <row r="420" ht="12.75" hidden="1" customHeight="1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142"/>
      <c r="P420" s="88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91"/>
      <c r="AZ420" s="91"/>
      <c r="BA420" s="91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</row>
    <row r="421" ht="12.75" hidden="1" customHeight="1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142"/>
      <c r="P421" s="88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91"/>
      <c r="AZ421" s="91"/>
      <c r="BA421" s="91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</row>
    <row r="422" ht="12.75" hidden="1" customHeight="1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142"/>
      <c r="P422" s="88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91"/>
      <c r="AZ422" s="91"/>
      <c r="BA422" s="91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</row>
    <row r="423" ht="12.75" hidden="1" customHeight="1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142"/>
      <c r="P423" s="88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91"/>
      <c r="AZ423" s="91"/>
      <c r="BA423" s="91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</row>
    <row r="424" ht="12.75" hidden="1" customHeight="1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142"/>
      <c r="P424" s="88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91"/>
      <c r="AZ424" s="91"/>
      <c r="BA424" s="91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</row>
    <row r="425" ht="12.75" hidden="1" customHeight="1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142"/>
      <c r="P425" s="88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91"/>
      <c r="AZ425" s="91"/>
      <c r="BA425" s="91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</row>
    <row r="426" ht="12.75" hidden="1" customHeight="1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142"/>
      <c r="P426" s="88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91"/>
      <c r="AZ426" s="91"/>
      <c r="BA426" s="91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</row>
    <row r="427" ht="12.75" hidden="1" customHeight="1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142"/>
      <c r="P427" s="88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91"/>
      <c r="AZ427" s="91"/>
      <c r="BA427" s="91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</row>
    <row r="428" ht="12.75" hidden="1" customHeight="1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142"/>
      <c r="P428" s="88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91"/>
      <c r="AZ428" s="91"/>
      <c r="BA428" s="91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</row>
    <row r="429" ht="12.75" hidden="1" customHeight="1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142"/>
      <c r="P429" s="88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91"/>
      <c r="AZ429" s="91"/>
      <c r="BA429" s="91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</row>
    <row r="430" ht="12.75" hidden="1" customHeight="1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142"/>
      <c r="P430" s="88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91"/>
      <c r="AZ430" s="91"/>
      <c r="BA430" s="91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</row>
    <row r="431" ht="12.75" hidden="1" customHeight="1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142"/>
      <c r="P431" s="88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91"/>
      <c r="AZ431" s="91"/>
      <c r="BA431" s="91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</row>
    <row r="432" ht="12.75" hidden="1" customHeight="1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142"/>
      <c r="P432" s="88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91"/>
      <c r="AZ432" s="91"/>
      <c r="BA432" s="91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</row>
    <row r="433" ht="12.75" hidden="1" customHeight="1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142"/>
      <c r="P433" s="88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91"/>
      <c r="AZ433" s="91"/>
      <c r="BA433" s="91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</row>
    <row r="434" ht="12.75" hidden="1" customHeight="1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142"/>
      <c r="P434" s="88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91"/>
      <c r="AZ434" s="91"/>
      <c r="BA434" s="91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</row>
    <row r="435" ht="12.75" hidden="1" customHeight="1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142"/>
      <c r="P435" s="88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91"/>
      <c r="AZ435" s="91"/>
      <c r="BA435" s="91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</row>
    <row r="436" ht="12.75" hidden="1" customHeight="1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142"/>
      <c r="P436" s="88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91"/>
      <c r="AZ436" s="91"/>
      <c r="BA436" s="91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</row>
    <row r="437" ht="12.75" hidden="1" customHeight="1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142"/>
      <c r="P437" s="88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91"/>
      <c r="AZ437" s="91"/>
      <c r="BA437" s="91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</row>
    <row r="438" ht="12.75" hidden="1" customHeight="1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142"/>
      <c r="P438" s="88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91"/>
      <c r="AZ438" s="91"/>
      <c r="BA438" s="91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</row>
    <row r="439" ht="12.75" hidden="1" customHeight="1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142"/>
      <c r="P439" s="88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91"/>
      <c r="AZ439" s="91"/>
      <c r="BA439" s="91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</row>
    <row r="440" ht="12.75" hidden="1" customHeight="1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142"/>
      <c r="P440" s="88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91"/>
      <c r="AZ440" s="91"/>
      <c r="BA440" s="91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</row>
    <row r="441" ht="12.75" hidden="1" customHeight="1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142"/>
      <c r="P441" s="88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91"/>
      <c r="AZ441" s="91"/>
      <c r="BA441" s="91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</row>
    <row r="442" ht="12.75" hidden="1" customHeight="1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142"/>
      <c r="P442" s="88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91"/>
      <c r="AZ442" s="91"/>
      <c r="BA442" s="91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</row>
    <row r="443" ht="12.75" hidden="1" customHeight="1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142"/>
      <c r="P443" s="88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91"/>
      <c r="AZ443" s="91"/>
      <c r="BA443" s="91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</row>
    <row r="444" ht="12.75" hidden="1" customHeight="1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142"/>
      <c r="P444" s="88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91"/>
      <c r="AZ444" s="91"/>
      <c r="BA444" s="91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</row>
    <row r="445" ht="12.75" hidden="1" customHeight="1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142"/>
      <c r="P445" s="88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91"/>
      <c r="AZ445" s="91"/>
      <c r="BA445" s="91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</row>
    <row r="446" ht="12.75" hidden="1" customHeight="1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142"/>
      <c r="P446" s="88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91"/>
      <c r="AZ446" s="91"/>
      <c r="BA446" s="91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</row>
    <row r="447" ht="12.75" hidden="1" customHeight="1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142"/>
      <c r="P447" s="88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91"/>
      <c r="AZ447" s="91"/>
      <c r="BA447" s="91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</row>
    <row r="448" ht="12.75" hidden="1" customHeight="1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142"/>
      <c r="P448" s="88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91"/>
      <c r="AZ448" s="91"/>
      <c r="BA448" s="91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</row>
    <row r="449" ht="12.75" hidden="1" customHeight="1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142"/>
      <c r="P449" s="88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91"/>
      <c r="AZ449" s="91"/>
      <c r="BA449" s="91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</row>
    <row r="450" ht="12.75" hidden="1" customHeight="1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142"/>
      <c r="P450" s="88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91"/>
      <c r="AZ450" s="91"/>
      <c r="BA450" s="91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</row>
    <row r="451" ht="12.75" hidden="1" customHeight="1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142"/>
      <c r="P451" s="88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91"/>
      <c r="AZ451" s="91"/>
      <c r="BA451" s="91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</row>
    <row r="452" ht="12.75" hidden="1" customHeight="1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142"/>
      <c r="P452" s="88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91"/>
      <c r="AZ452" s="91"/>
      <c r="BA452" s="91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</row>
    <row r="453" ht="12.75" hidden="1" customHeight="1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142"/>
      <c r="P453" s="88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91"/>
      <c r="AZ453" s="91"/>
      <c r="BA453" s="91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</row>
    <row r="454" ht="12.75" hidden="1" customHeight="1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142"/>
      <c r="P454" s="88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91"/>
      <c r="AZ454" s="91"/>
      <c r="BA454" s="91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</row>
    <row r="455" ht="12.75" hidden="1" customHeight="1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142"/>
      <c r="P455" s="88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91"/>
      <c r="AZ455" s="91"/>
      <c r="BA455" s="91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</row>
    <row r="456" ht="12.75" hidden="1" customHeight="1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142"/>
      <c r="P456" s="88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91"/>
      <c r="AZ456" s="91"/>
      <c r="BA456" s="91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</row>
    <row r="457" ht="12.75" hidden="1" customHeight="1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142"/>
      <c r="P457" s="88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91"/>
      <c r="AZ457" s="91"/>
      <c r="BA457" s="91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</row>
    <row r="458" ht="12.75" hidden="1" customHeight="1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142"/>
      <c r="P458" s="88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91"/>
      <c r="AZ458" s="91"/>
      <c r="BA458" s="91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</row>
    <row r="459" ht="12.75" hidden="1" customHeight="1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142"/>
      <c r="P459" s="88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91"/>
      <c r="AZ459" s="91"/>
      <c r="BA459" s="91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</row>
    <row r="460" ht="12.75" hidden="1" customHeight="1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142"/>
      <c r="P460" s="88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91"/>
      <c r="AZ460" s="91"/>
      <c r="BA460" s="91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</row>
    <row r="461" ht="12.75" hidden="1" customHeight="1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142"/>
      <c r="P461" s="88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91"/>
      <c r="AZ461" s="91"/>
      <c r="BA461" s="91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</row>
    <row r="462" ht="12.75" hidden="1" customHeight="1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142"/>
      <c r="P462" s="88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91"/>
      <c r="AZ462" s="91"/>
      <c r="BA462" s="91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</row>
    <row r="463" ht="12.75" hidden="1" customHeight="1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142"/>
      <c r="P463" s="88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91"/>
      <c r="AZ463" s="91"/>
      <c r="BA463" s="91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</row>
    <row r="464" ht="12.75" hidden="1" customHeight="1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142"/>
      <c r="P464" s="88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91"/>
      <c r="AZ464" s="91"/>
      <c r="BA464" s="91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</row>
    <row r="465" ht="12.75" hidden="1" customHeight="1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142"/>
      <c r="P465" s="88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91"/>
      <c r="AZ465" s="91"/>
      <c r="BA465" s="91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</row>
    <row r="466" ht="12.75" hidden="1" customHeight="1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142"/>
      <c r="P466" s="88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91"/>
      <c r="AZ466" s="91"/>
      <c r="BA466" s="91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</row>
    <row r="467" ht="12.75" hidden="1" customHeight="1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142"/>
      <c r="P467" s="88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91"/>
      <c r="AZ467" s="91"/>
      <c r="BA467" s="91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</row>
    <row r="468" ht="12.75" hidden="1" customHeight="1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142"/>
      <c r="P468" s="88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91"/>
      <c r="AZ468" s="91"/>
      <c r="BA468" s="91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</row>
    <row r="469" ht="12.75" hidden="1" customHeight="1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142"/>
      <c r="P469" s="88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91"/>
      <c r="AZ469" s="91"/>
      <c r="BA469" s="91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</row>
    <row r="470" ht="12.75" hidden="1" customHeight="1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142"/>
      <c r="P470" s="88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91"/>
      <c r="AZ470" s="91"/>
      <c r="BA470" s="91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</row>
    <row r="471" ht="12.75" hidden="1" customHeight="1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142"/>
      <c r="P471" s="88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91"/>
      <c r="AZ471" s="91"/>
      <c r="BA471" s="91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</row>
    <row r="472" ht="12.75" hidden="1" customHeight="1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142"/>
      <c r="P472" s="88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91"/>
      <c r="AZ472" s="91"/>
      <c r="BA472" s="91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</row>
    <row r="473" ht="12.75" hidden="1" customHeight="1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142"/>
      <c r="P473" s="88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91"/>
      <c r="AZ473" s="91"/>
      <c r="BA473" s="91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</row>
    <row r="474" ht="12.75" hidden="1" customHeight="1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142"/>
      <c r="P474" s="88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91"/>
      <c r="AZ474" s="91"/>
      <c r="BA474" s="91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</row>
    <row r="475" ht="12.75" hidden="1" customHeight="1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142"/>
      <c r="P475" s="88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91"/>
      <c r="AZ475" s="91"/>
      <c r="BA475" s="91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</row>
    <row r="476" ht="12.75" hidden="1" customHeight="1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142"/>
      <c r="P476" s="88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91"/>
      <c r="AZ476" s="91"/>
      <c r="BA476" s="91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</row>
    <row r="477" ht="12.75" hidden="1" customHeight="1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142"/>
      <c r="P477" s="88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91"/>
      <c r="AZ477" s="91"/>
      <c r="BA477" s="91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</row>
    <row r="478" ht="12.75" hidden="1" customHeight="1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142"/>
      <c r="P478" s="88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91"/>
      <c r="AZ478" s="91"/>
      <c r="BA478" s="91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</row>
    <row r="479" ht="12.75" hidden="1" customHeight="1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142"/>
      <c r="P479" s="88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91"/>
      <c r="AZ479" s="91"/>
      <c r="BA479" s="91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</row>
    <row r="480" ht="12.75" hidden="1" customHeight="1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142"/>
      <c r="P480" s="88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91"/>
      <c r="AZ480" s="91"/>
      <c r="BA480" s="91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</row>
    <row r="481" ht="12.75" hidden="1" customHeight="1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142"/>
      <c r="P481" s="88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91"/>
      <c r="AZ481" s="91"/>
      <c r="BA481" s="91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</row>
    <row r="482" ht="12.75" hidden="1" customHeight="1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142"/>
      <c r="P482" s="88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91"/>
      <c r="AZ482" s="91"/>
      <c r="BA482" s="91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</row>
    <row r="483" ht="12.75" hidden="1" customHeight="1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142"/>
      <c r="P483" s="88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91"/>
      <c r="AZ483" s="91"/>
      <c r="BA483" s="91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</row>
    <row r="484" ht="12.75" hidden="1" customHeight="1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142"/>
      <c r="P484" s="88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91"/>
      <c r="AZ484" s="91"/>
      <c r="BA484" s="91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</row>
    <row r="485" ht="12.75" hidden="1" customHeight="1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142"/>
      <c r="P485" s="88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91"/>
      <c r="AZ485" s="91"/>
      <c r="BA485" s="91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</row>
    <row r="486" ht="12.75" hidden="1" customHeight="1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142"/>
      <c r="P486" s="88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91"/>
      <c r="AZ486" s="91"/>
      <c r="BA486" s="91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</row>
    <row r="487" ht="12.75" hidden="1" customHeight="1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142"/>
      <c r="P487" s="88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91"/>
      <c r="AZ487" s="91"/>
      <c r="BA487" s="91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</row>
    <row r="488" ht="12.75" hidden="1" customHeight="1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142"/>
      <c r="P488" s="88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91"/>
      <c r="AZ488" s="91"/>
      <c r="BA488" s="91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</row>
    <row r="489" ht="12.75" hidden="1" customHeight="1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142"/>
      <c r="P489" s="88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91"/>
      <c r="AZ489" s="91"/>
      <c r="BA489" s="91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</row>
    <row r="490" ht="12.75" hidden="1" customHeight="1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142"/>
      <c r="P490" s="88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91"/>
      <c r="AZ490" s="91"/>
      <c r="BA490" s="91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</row>
    <row r="491" ht="12.75" hidden="1" customHeight="1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142"/>
      <c r="P491" s="88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91"/>
      <c r="AZ491" s="91"/>
      <c r="BA491" s="91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</row>
    <row r="492" ht="12.75" hidden="1" customHeight="1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142"/>
      <c r="P492" s="88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91"/>
      <c r="AZ492" s="91"/>
      <c r="BA492" s="91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</row>
    <row r="493" ht="12.75" hidden="1" customHeight="1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142"/>
      <c r="P493" s="88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91"/>
      <c r="AZ493" s="91"/>
      <c r="BA493" s="91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</row>
    <row r="494" ht="12.75" hidden="1" customHeight="1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142"/>
      <c r="P494" s="88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91"/>
      <c r="AZ494" s="91"/>
      <c r="BA494" s="91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</row>
    <row r="495" ht="12.75" hidden="1" customHeight="1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142"/>
      <c r="P495" s="88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91"/>
      <c r="AZ495" s="91"/>
      <c r="BA495" s="91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</row>
    <row r="496" ht="12.75" hidden="1" customHeight="1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142"/>
      <c r="P496" s="88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91"/>
      <c r="AZ496" s="91"/>
      <c r="BA496" s="91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</row>
    <row r="497" ht="12.75" hidden="1" customHeight="1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142"/>
      <c r="P497" s="88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91"/>
      <c r="AZ497" s="91"/>
      <c r="BA497" s="91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</row>
    <row r="498" ht="12.75" hidden="1" customHeight="1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142"/>
      <c r="P498" s="88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91"/>
      <c r="AZ498" s="91"/>
      <c r="BA498" s="91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</row>
    <row r="499" ht="12.75" hidden="1" customHeight="1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142"/>
      <c r="P499" s="88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91"/>
      <c r="AZ499" s="91"/>
      <c r="BA499" s="91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</row>
    <row r="500" ht="12.75" hidden="1" customHeight="1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142"/>
      <c r="P500" s="88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91"/>
      <c r="AZ500" s="91"/>
      <c r="BA500" s="91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</row>
    <row r="501" ht="12.75" hidden="1" customHeight="1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142"/>
      <c r="P501" s="88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91"/>
      <c r="AZ501" s="91"/>
      <c r="BA501" s="91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</row>
    <row r="502" ht="12.75" hidden="1" customHeight="1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142"/>
      <c r="P502" s="88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91"/>
      <c r="AZ502" s="91"/>
      <c r="BA502" s="91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</row>
    <row r="503" ht="12.75" hidden="1" customHeight="1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142"/>
      <c r="P503" s="88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91"/>
      <c r="AZ503" s="91"/>
      <c r="BA503" s="91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</row>
    <row r="504" ht="12.75" hidden="1" customHeight="1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142"/>
      <c r="P504" s="88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91"/>
      <c r="AZ504" s="91"/>
      <c r="BA504" s="91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</row>
    <row r="505" ht="12.75" hidden="1" customHeight="1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142"/>
      <c r="P505" s="88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91"/>
      <c r="AZ505" s="91"/>
      <c r="BA505" s="91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</row>
    <row r="506" ht="12.75" hidden="1" customHeight="1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142"/>
      <c r="P506" s="88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91"/>
      <c r="AZ506" s="91"/>
      <c r="BA506" s="91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</row>
    <row r="507" ht="12.75" hidden="1" customHeight="1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142"/>
      <c r="P507" s="88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91"/>
      <c r="AZ507" s="91"/>
      <c r="BA507" s="91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</row>
    <row r="508" ht="12.75" hidden="1" customHeight="1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142"/>
      <c r="P508" s="88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91"/>
      <c r="AZ508" s="91"/>
      <c r="BA508" s="91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</row>
    <row r="509" ht="12.75" hidden="1" customHeight="1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142"/>
      <c r="P509" s="88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91"/>
      <c r="AZ509" s="91"/>
      <c r="BA509" s="91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</row>
    <row r="510" ht="12.75" hidden="1" customHeight="1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142"/>
      <c r="P510" s="88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91"/>
      <c r="AZ510" s="91"/>
      <c r="BA510" s="91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</row>
    <row r="511" ht="12.75" hidden="1" customHeight="1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142"/>
      <c r="P511" s="88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91"/>
      <c r="AZ511" s="91"/>
      <c r="BA511" s="91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</row>
    <row r="512" ht="12.75" hidden="1" customHeight="1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142"/>
      <c r="P512" s="88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91"/>
      <c r="AZ512" s="91"/>
      <c r="BA512" s="91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</row>
    <row r="513" ht="12.75" hidden="1" customHeight="1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142"/>
      <c r="P513" s="88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91"/>
      <c r="AZ513" s="91"/>
      <c r="BA513" s="91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</row>
    <row r="514" ht="12.75" hidden="1" customHeight="1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142"/>
      <c r="P514" s="88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91"/>
      <c r="AZ514" s="91"/>
      <c r="BA514" s="91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</row>
    <row r="515" ht="12.75" hidden="1" customHeight="1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142"/>
      <c r="P515" s="88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91"/>
      <c r="AZ515" s="91"/>
      <c r="BA515" s="91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</row>
    <row r="516" ht="12.75" hidden="1" customHeight="1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142"/>
      <c r="P516" s="88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91"/>
      <c r="AZ516" s="91"/>
      <c r="BA516" s="91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</row>
    <row r="517" ht="12.75" hidden="1" customHeight="1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142"/>
      <c r="P517" s="88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91"/>
      <c r="AZ517" s="91"/>
      <c r="BA517" s="91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</row>
    <row r="518" ht="12.75" hidden="1" customHeight="1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142"/>
      <c r="P518" s="88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91"/>
      <c r="AZ518" s="91"/>
      <c r="BA518" s="91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</row>
    <row r="519" ht="12.75" hidden="1" customHeight="1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142"/>
      <c r="P519" s="88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91"/>
      <c r="AZ519" s="91"/>
      <c r="BA519" s="91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</row>
    <row r="520" ht="12.75" hidden="1" customHeight="1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142"/>
      <c r="P520" s="88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91"/>
      <c r="AZ520" s="91"/>
      <c r="BA520" s="91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</row>
    <row r="521" ht="12.75" hidden="1" customHeight="1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142"/>
      <c r="P521" s="88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91"/>
      <c r="AZ521" s="91"/>
      <c r="BA521" s="91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</row>
    <row r="522" ht="12.75" hidden="1" customHeight="1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142"/>
      <c r="P522" s="88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91"/>
      <c r="AZ522" s="91"/>
      <c r="BA522" s="91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</row>
    <row r="523" ht="12.75" hidden="1" customHeight="1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142"/>
      <c r="P523" s="88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91"/>
      <c r="AZ523" s="91"/>
      <c r="BA523" s="91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</row>
    <row r="524" ht="12.75" hidden="1" customHeight="1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142"/>
      <c r="P524" s="88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91"/>
      <c r="AZ524" s="91"/>
      <c r="BA524" s="91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</row>
    <row r="525" ht="12.75" hidden="1" customHeight="1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142"/>
      <c r="P525" s="88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91"/>
      <c r="AZ525" s="91"/>
      <c r="BA525" s="91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</row>
    <row r="526" ht="12.75" hidden="1" customHeight="1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142"/>
      <c r="P526" s="88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91"/>
      <c r="AZ526" s="91"/>
      <c r="BA526" s="91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</row>
    <row r="527" ht="12.75" hidden="1" customHeight="1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142"/>
      <c r="P527" s="88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91"/>
      <c r="AZ527" s="91"/>
      <c r="BA527" s="91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</row>
    <row r="528" ht="12.75" hidden="1" customHeight="1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142"/>
      <c r="P528" s="88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91"/>
      <c r="AZ528" s="91"/>
      <c r="BA528" s="91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</row>
    <row r="529" ht="12.75" hidden="1" customHeight="1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142"/>
      <c r="P529" s="88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91"/>
      <c r="AZ529" s="91"/>
      <c r="BA529" s="91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</row>
    <row r="530" ht="12.75" hidden="1" customHeight="1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142"/>
      <c r="P530" s="88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91"/>
      <c r="AZ530" s="91"/>
      <c r="BA530" s="91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</row>
    <row r="531" ht="12.75" hidden="1" customHeight="1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142"/>
      <c r="P531" s="88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91"/>
      <c r="AZ531" s="91"/>
      <c r="BA531" s="91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</row>
    <row r="532" ht="12.75" hidden="1" customHeight="1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142"/>
      <c r="P532" s="88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91"/>
      <c r="AZ532" s="91"/>
      <c r="BA532" s="91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</row>
    <row r="533" ht="12.75" hidden="1" customHeight="1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142"/>
      <c r="P533" s="88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91"/>
      <c r="AZ533" s="91"/>
      <c r="BA533" s="91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</row>
    <row r="534" ht="12.75" hidden="1" customHeight="1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142"/>
      <c r="P534" s="88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91"/>
      <c r="AZ534" s="91"/>
      <c r="BA534" s="91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</row>
    <row r="535" ht="12.75" hidden="1" customHeight="1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142"/>
      <c r="P535" s="88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91"/>
      <c r="AZ535" s="91"/>
      <c r="BA535" s="91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</row>
    <row r="536" ht="12.75" hidden="1" customHeight="1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142"/>
      <c r="P536" s="88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91"/>
      <c r="AZ536" s="91"/>
      <c r="BA536" s="91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</row>
    <row r="537" ht="12.75" hidden="1" customHeight="1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142"/>
      <c r="P537" s="88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91"/>
      <c r="AZ537" s="91"/>
      <c r="BA537" s="91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</row>
    <row r="538" ht="12.75" hidden="1" customHeight="1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142"/>
      <c r="P538" s="88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91"/>
      <c r="AZ538" s="91"/>
      <c r="BA538" s="91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</row>
    <row r="539" ht="12.75" hidden="1" customHeight="1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142"/>
      <c r="P539" s="88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91"/>
      <c r="AZ539" s="91"/>
      <c r="BA539" s="91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</row>
    <row r="540" ht="12.75" hidden="1" customHeight="1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142"/>
      <c r="P540" s="88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91"/>
      <c r="AZ540" s="91"/>
      <c r="BA540" s="91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</row>
    <row r="541" ht="12.75" hidden="1" customHeight="1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142"/>
      <c r="P541" s="88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91"/>
      <c r="AZ541" s="91"/>
      <c r="BA541" s="91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</row>
    <row r="542" ht="12.75" hidden="1" customHeight="1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142"/>
      <c r="P542" s="88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91"/>
      <c r="AZ542" s="91"/>
      <c r="BA542" s="91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</row>
    <row r="543" ht="12.75" hidden="1" customHeight="1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142"/>
      <c r="P543" s="88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91"/>
      <c r="AZ543" s="91"/>
      <c r="BA543" s="91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</row>
    <row r="544" ht="12.75" hidden="1" customHeight="1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142"/>
      <c r="P544" s="88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91"/>
      <c r="AZ544" s="91"/>
      <c r="BA544" s="91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</row>
    <row r="545" ht="12.75" hidden="1" customHeight="1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142"/>
      <c r="P545" s="88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91"/>
      <c r="AZ545" s="91"/>
      <c r="BA545" s="91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</row>
    <row r="546" ht="12.75" hidden="1" customHeight="1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142"/>
      <c r="P546" s="88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91"/>
      <c r="AZ546" s="91"/>
      <c r="BA546" s="91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</row>
    <row r="547" ht="12.75" hidden="1" customHeight="1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142"/>
      <c r="P547" s="88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91"/>
      <c r="AZ547" s="91"/>
      <c r="BA547" s="91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</row>
    <row r="548" ht="12.75" hidden="1" customHeight="1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142"/>
      <c r="P548" s="88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91"/>
      <c r="AZ548" s="91"/>
      <c r="BA548" s="91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</row>
    <row r="549" ht="12.75" hidden="1" customHeight="1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142"/>
      <c r="P549" s="88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91"/>
      <c r="AZ549" s="91"/>
      <c r="BA549" s="91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</row>
    <row r="550" ht="12.75" hidden="1" customHeight="1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142"/>
      <c r="P550" s="88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91"/>
      <c r="AZ550" s="91"/>
      <c r="BA550" s="91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</row>
    <row r="551" ht="12.75" hidden="1" customHeight="1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142"/>
      <c r="P551" s="88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91"/>
      <c r="AZ551" s="91"/>
      <c r="BA551" s="91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</row>
    <row r="552" ht="12.75" hidden="1" customHeight="1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142"/>
      <c r="P552" s="88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91"/>
      <c r="AZ552" s="91"/>
      <c r="BA552" s="91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</row>
    <row r="553" ht="12.75" hidden="1" customHeight="1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142"/>
      <c r="P553" s="88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91"/>
      <c r="AZ553" s="91"/>
      <c r="BA553" s="91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</row>
    <row r="554" ht="12.75" hidden="1" customHeight="1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142"/>
      <c r="P554" s="88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91"/>
      <c r="AZ554" s="91"/>
      <c r="BA554" s="91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</row>
    <row r="555" ht="12.75" hidden="1" customHeight="1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142"/>
      <c r="P555" s="88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91"/>
      <c r="AZ555" s="91"/>
      <c r="BA555" s="91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</row>
    <row r="556" ht="12.75" hidden="1" customHeight="1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142"/>
      <c r="P556" s="88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91"/>
      <c r="AZ556" s="91"/>
      <c r="BA556" s="91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</row>
    <row r="557" ht="12.75" hidden="1" customHeight="1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142"/>
      <c r="P557" s="88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91"/>
      <c r="AZ557" s="91"/>
      <c r="BA557" s="91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</row>
    <row r="558" ht="12.75" hidden="1" customHeight="1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142"/>
      <c r="P558" s="88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91"/>
      <c r="AZ558" s="91"/>
      <c r="BA558" s="91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</row>
    <row r="559" ht="12.75" hidden="1" customHeight="1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142"/>
      <c r="P559" s="88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91"/>
      <c r="AZ559" s="91"/>
      <c r="BA559" s="91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</row>
    <row r="560" ht="12.75" hidden="1" customHeight="1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142"/>
      <c r="P560" s="88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91"/>
      <c r="AZ560" s="91"/>
      <c r="BA560" s="91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</row>
    <row r="561" ht="12.75" hidden="1" customHeight="1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142"/>
      <c r="P561" s="88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91"/>
      <c r="AZ561" s="91"/>
      <c r="BA561" s="91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</row>
    <row r="562" ht="12.75" hidden="1" customHeight="1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142"/>
      <c r="P562" s="88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91"/>
      <c r="AZ562" s="91"/>
      <c r="BA562" s="91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</row>
    <row r="563" ht="12.75" hidden="1" customHeight="1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142"/>
      <c r="P563" s="88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91"/>
      <c r="AZ563" s="91"/>
      <c r="BA563" s="91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</row>
    <row r="564" ht="12.75" hidden="1" customHeight="1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142"/>
      <c r="P564" s="88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91"/>
      <c r="AZ564" s="91"/>
      <c r="BA564" s="91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</row>
    <row r="565" ht="12.75" hidden="1" customHeight="1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142"/>
      <c r="P565" s="88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91"/>
      <c r="AZ565" s="91"/>
      <c r="BA565" s="91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</row>
    <row r="566" ht="12.75" hidden="1" customHeight="1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142"/>
      <c r="P566" s="88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91"/>
      <c r="AZ566" s="91"/>
      <c r="BA566" s="91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</row>
    <row r="567" ht="12.75" hidden="1" customHeight="1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142"/>
      <c r="P567" s="88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91"/>
      <c r="AZ567" s="91"/>
      <c r="BA567" s="91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</row>
    <row r="568" ht="12.75" hidden="1" customHeight="1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142"/>
      <c r="P568" s="88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91"/>
      <c r="AZ568" s="91"/>
      <c r="BA568" s="91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</row>
    <row r="569" ht="12.75" hidden="1" customHeight="1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142"/>
      <c r="P569" s="88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91"/>
      <c r="AZ569" s="91"/>
      <c r="BA569" s="91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</row>
    <row r="570" ht="12.75" hidden="1" customHeight="1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142"/>
      <c r="P570" s="88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91"/>
      <c r="AZ570" s="91"/>
      <c r="BA570" s="91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</row>
    <row r="571" ht="12.75" hidden="1" customHeight="1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142"/>
      <c r="P571" s="88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91"/>
      <c r="AZ571" s="91"/>
      <c r="BA571" s="91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</row>
    <row r="572" ht="12.75" hidden="1" customHeight="1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142"/>
      <c r="P572" s="88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91"/>
      <c r="AZ572" s="91"/>
      <c r="BA572" s="91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</row>
    <row r="573" ht="12.75" hidden="1" customHeight="1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142"/>
      <c r="P573" s="88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91"/>
      <c r="AZ573" s="91"/>
      <c r="BA573" s="91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</row>
    <row r="574" ht="12.75" hidden="1" customHeight="1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142"/>
      <c r="P574" s="88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91"/>
      <c r="AZ574" s="91"/>
      <c r="BA574" s="91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</row>
    <row r="575" ht="12.75" hidden="1" customHeight="1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142"/>
      <c r="P575" s="88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91"/>
      <c r="AZ575" s="91"/>
      <c r="BA575" s="91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</row>
    <row r="576" ht="12.75" hidden="1" customHeight="1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142"/>
      <c r="P576" s="88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91"/>
      <c r="AZ576" s="91"/>
      <c r="BA576" s="91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</row>
    <row r="577" ht="12.75" hidden="1" customHeight="1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142"/>
      <c r="P577" s="88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91"/>
      <c r="AZ577" s="91"/>
      <c r="BA577" s="91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</row>
    <row r="578" ht="12.75" hidden="1" customHeight="1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142"/>
      <c r="P578" s="88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91"/>
      <c r="AZ578" s="91"/>
      <c r="BA578" s="91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</row>
    <row r="579" ht="12.75" hidden="1" customHeight="1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142"/>
      <c r="P579" s="88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91"/>
      <c r="AZ579" s="91"/>
      <c r="BA579" s="91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</row>
    <row r="580" ht="12.75" hidden="1" customHeight="1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142"/>
      <c r="P580" s="88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91"/>
      <c r="AZ580" s="91"/>
      <c r="BA580" s="91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</row>
    <row r="581" ht="12.75" hidden="1" customHeight="1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142"/>
      <c r="P581" s="88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91"/>
      <c r="AZ581" s="91"/>
      <c r="BA581" s="91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</row>
    <row r="582" ht="12.75" hidden="1" customHeight="1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142"/>
      <c r="P582" s="88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91"/>
      <c r="AZ582" s="91"/>
      <c r="BA582" s="91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</row>
    <row r="583" ht="12.75" hidden="1" customHeight="1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142"/>
      <c r="P583" s="88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91"/>
      <c r="AZ583" s="91"/>
      <c r="BA583" s="91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</row>
    <row r="584" ht="12.75" hidden="1" customHeight="1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142"/>
      <c r="P584" s="88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91"/>
      <c r="AZ584" s="91"/>
      <c r="BA584" s="91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</row>
    <row r="585" ht="12.75" hidden="1" customHeight="1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142"/>
      <c r="P585" s="88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91"/>
      <c r="AZ585" s="91"/>
      <c r="BA585" s="91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</row>
    <row r="586" ht="12.75" hidden="1" customHeight="1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142"/>
      <c r="P586" s="88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91"/>
      <c r="AZ586" s="91"/>
      <c r="BA586" s="91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</row>
    <row r="587" ht="12.75" hidden="1" customHeight="1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142"/>
      <c r="P587" s="88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91"/>
      <c r="AZ587" s="91"/>
      <c r="BA587" s="91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</row>
    <row r="588" ht="12.75" hidden="1" customHeight="1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142"/>
      <c r="P588" s="88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91"/>
      <c r="AZ588" s="91"/>
      <c r="BA588" s="91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</row>
    <row r="589" ht="12.75" hidden="1" customHeight="1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142"/>
      <c r="P589" s="88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91"/>
      <c r="AZ589" s="91"/>
      <c r="BA589" s="91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</row>
    <row r="590" ht="12.75" hidden="1" customHeight="1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142"/>
      <c r="P590" s="88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91"/>
      <c r="AZ590" s="91"/>
      <c r="BA590" s="91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</row>
    <row r="591" ht="12.75" hidden="1" customHeight="1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142"/>
      <c r="P591" s="88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91"/>
      <c r="AZ591" s="91"/>
      <c r="BA591" s="91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</row>
    <row r="592" ht="12.75" hidden="1" customHeight="1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142"/>
      <c r="P592" s="88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91"/>
      <c r="AZ592" s="91"/>
      <c r="BA592" s="91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</row>
    <row r="593" ht="12.75" hidden="1" customHeight="1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142"/>
      <c r="P593" s="88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91"/>
      <c r="AZ593" s="91"/>
      <c r="BA593" s="91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</row>
    <row r="594" ht="12.75" hidden="1" customHeight="1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142"/>
      <c r="P594" s="88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91"/>
      <c r="AZ594" s="91"/>
      <c r="BA594" s="91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</row>
    <row r="595" ht="12.75" hidden="1" customHeight="1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142"/>
      <c r="P595" s="88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91"/>
      <c r="AZ595" s="91"/>
      <c r="BA595" s="91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</row>
    <row r="596" ht="12.75" hidden="1" customHeight="1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142"/>
      <c r="P596" s="88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91"/>
      <c r="AZ596" s="91"/>
      <c r="BA596" s="91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</row>
    <row r="597" ht="12.75" hidden="1" customHeight="1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142"/>
      <c r="P597" s="88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91"/>
      <c r="AZ597" s="91"/>
      <c r="BA597" s="91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</row>
    <row r="598" ht="12.75" hidden="1" customHeight="1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142"/>
      <c r="P598" s="88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91"/>
      <c r="AZ598" s="91"/>
      <c r="BA598" s="91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</row>
    <row r="599" ht="12.75" hidden="1" customHeight="1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142"/>
      <c r="P599" s="88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91"/>
      <c r="AZ599" s="91"/>
      <c r="BA599" s="91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</row>
    <row r="600" ht="12.75" hidden="1" customHeight="1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142"/>
      <c r="P600" s="88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91"/>
      <c r="AZ600" s="91"/>
      <c r="BA600" s="91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</row>
    <row r="601" ht="12.75" hidden="1" customHeight="1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142"/>
      <c r="P601" s="88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91"/>
      <c r="AZ601" s="91"/>
      <c r="BA601" s="91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</row>
    <row r="602" ht="12.75" hidden="1" customHeight="1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142"/>
      <c r="P602" s="88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91"/>
      <c r="AZ602" s="91"/>
      <c r="BA602" s="91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</row>
    <row r="603" ht="12.75" hidden="1" customHeight="1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142"/>
      <c r="P603" s="88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91"/>
      <c r="AZ603" s="91"/>
      <c r="BA603" s="91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</row>
    <row r="604" ht="12.75" hidden="1" customHeight="1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142"/>
      <c r="P604" s="88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91"/>
      <c r="AZ604" s="91"/>
      <c r="BA604" s="91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</row>
    <row r="605" ht="12.75" hidden="1" customHeight="1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142"/>
      <c r="P605" s="88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91"/>
      <c r="AZ605" s="91"/>
      <c r="BA605" s="91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</row>
    <row r="606" ht="12.75" hidden="1" customHeight="1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142"/>
      <c r="P606" s="88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91"/>
      <c r="AZ606" s="91"/>
      <c r="BA606" s="91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</row>
    <row r="607" ht="12.75" hidden="1" customHeight="1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142"/>
      <c r="P607" s="88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91"/>
      <c r="AZ607" s="91"/>
      <c r="BA607" s="91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</row>
    <row r="608" ht="12.75" hidden="1" customHeight="1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142"/>
      <c r="P608" s="88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91"/>
      <c r="AZ608" s="91"/>
      <c r="BA608" s="91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</row>
    <row r="609" ht="12.75" hidden="1" customHeight="1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142"/>
      <c r="P609" s="88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91"/>
      <c r="AZ609" s="91"/>
      <c r="BA609" s="91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</row>
    <row r="610" ht="12.75" hidden="1" customHeight="1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142"/>
      <c r="P610" s="88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91"/>
      <c r="AZ610" s="91"/>
      <c r="BA610" s="91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</row>
    <row r="611" ht="12.75" hidden="1" customHeight="1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142"/>
      <c r="P611" s="88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91"/>
      <c r="AZ611" s="91"/>
      <c r="BA611" s="91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</row>
    <row r="612" ht="12.75" hidden="1" customHeight="1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142"/>
      <c r="P612" s="88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91"/>
      <c r="AZ612" s="91"/>
      <c r="BA612" s="91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</row>
    <row r="613" ht="12.75" hidden="1" customHeight="1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142"/>
      <c r="P613" s="88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91"/>
      <c r="AZ613" s="91"/>
      <c r="BA613" s="91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</row>
    <row r="614" ht="12.75" hidden="1" customHeight="1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142"/>
      <c r="P614" s="88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91"/>
      <c r="AZ614" s="91"/>
      <c r="BA614" s="91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</row>
    <row r="615" ht="12.75" hidden="1" customHeight="1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142"/>
      <c r="P615" s="88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91"/>
      <c r="AZ615" s="91"/>
      <c r="BA615" s="91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</row>
    <row r="616" ht="12.75" hidden="1" customHeight="1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142"/>
      <c r="P616" s="88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91"/>
      <c r="AZ616" s="91"/>
      <c r="BA616" s="91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</row>
    <row r="617" ht="12.75" hidden="1" customHeight="1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142"/>
      <c r="P617" s="88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91"/>
      <c r="AZ617" s="91"/>
      <c r="BA617" s="91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</row>
    <row r="618" ht="12.75" hidden="1" customHeight="1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142"/>
      <c r="P618" s="88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91"/>
      <c r="AZ618" s="91"/>
      <c r="BA618" s="91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</row>
    <row r="619" ht="12.75" hidden="1" customHeight="1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142"/>
      <c r="P619" s="88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91"/>
      <c r="AZ619" s="91"/>
      <c r="BA619" s="91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</row>
    <row r="620" ht="12.75" hidden="1" customHeight="1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142"/>
      <c r="P620" s="88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91"/>
      <c r="AZ620" s="91"/>
      <c r="BA620" s="91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</row>
    <row r="621" ht="12.75" hidden="1" customHeight="1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142"/>
      <c r="P621" s="88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91"/>
      <c r="AZ621" s="91"/>
      <c r="BA621" s="91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</row>
    <row r="622" ht="12.75" hidden="1" customHeight="1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142"/>
      <c r="P622" s="88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91"/>
      <c r="AZ622" s="91"/>
      <c r="BA622" s="91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</row>
    <row r="623" ht="12.75" hidden="1" customHeight="1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142"/>
      <c r="P623" s="88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91"/>
      <c r="AZ623" s="91"/>
      <c r="BA623" s="91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</row>
    <row r="624" ht="12.75" hidden="1" customHeight="1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142"/>
      <c r="P624" s="88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91"/>
      <c r="AZ624" s="91"/>
      <c r="BA624" s="91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</row>
    <row r="625" ht="12.75" hidden="1" customHeight="1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142"/>
      <c r="P625" s="88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91"/>
      <c r="AZ625" s="91"/>
      <c r="BA625" s="91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</row>
    <row r="626" ht="12.75" hidden="1" customHeight="1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142"/>
      <c r="P626" s="88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91"/>
      <c r="AZ626" s="91"/>
      <c r="BA626" s="91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</row>
    <row r="627" ht="12.75" hidden="1" customHeight="1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142"/>
      <c r="P627" s="88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91"/>
      <c r="AZ627" s="91"/>
      <c r="BA627" s="91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</row>
    <row r="628" ht="12.75" hidden="1" customHeight="1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142"/>
      <c r="P628" s="88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91"/>
      <c r="AZ628" s="91"/>
      <c r="BA628" s="91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</row>
    <row r="629" ht="12.75" hidden="1" customHeight="1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142"/>
      <c r="P629" s="88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91"/>
      <c r="AZ629" s="91"/>
      <c r="BA629" s="91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</row>
    <row r="630" ht="12.75" hidden="1" customHeight="1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142"/>
      <c r="P630" s="88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91"/>
      <c r="AZ630" s="91"/>
      <c r="BA630" s="91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</row>
    <row r="631" ht="12.75" hidden="1" customHeight="1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142"/>
      <c r="P631" s="88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91"/>
      <c r="AZ631" s="91"/>
      <c r="BA631" s="91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</row>
    <row r="632" ht="12.75" hidden="1" customHeight="1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142"/>
      <c r="P632" s="88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91"/>
      <c r="AZ632" s="91"/>
      <c r="BA632" s="91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</row>
    <row r="633" ht="12.75" hidden="1" customHeight="1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142"/>
      <c r="P633" s="88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91"/>
      <c r="AZ633" s="91"/>
      <c r="BA633" s="91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</row>
    <row r="634" ht="12.75" hidden="1" customHeight="1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142"/>
      <c r="P634" s="88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91"/>
      <c r="AZ634" s="91"/>
      <c r="BA634" s="91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</row>
    <row r="635" ht="12.75" hidden="1" customHeight="1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142"/>
      <c r="P635" s="88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91"/>
      <c r="AZ635" s="91"/>
      <c r="BA635" s="91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</row>
    <row r="636" ht="12.75" hidden="1" customHeight="1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142"/>
      <c r="P636" s="88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91"/>
      <c r="AZ636" s="91"/>
      <c r="BA636" s="91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</row>
    <row r="637" ht="12.75" hidden="1" customHeight="1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142"/>
      <c r="P637" s="88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91"/>
      <c r="AZ637" s="91"/>
      <c r="BA637" s="91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</row>
    <row r="638" ht="12.75" hidden="1" customHeight="1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142"/>
      <c r="P638" s="88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91"/>
      <c r="AZ638" s="91"/>
      <c r="BA638" s="91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</row>
    <row r="639" ht="12.75" hidden="1" customHeight="1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142"/>
      <c r="P639" s="88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91"/>
      <c r="AZ639" s="91"/>
      <c r="BA639" s="91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</row>
    <row r="640" ht="12.75" hidden="1" customHeight="1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142"/>
      <c r="P640" s="88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91"/>
      <c r="AZ640" s="91"/>
      <c r="BA640" s="91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</row>
    <row r="641" ht="12.75" hidden="1" customHeight="1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142"/>
      <c r="P641" s="88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91"/>
      <c r="AZ641" s="91"/>
      <c r="BA641" s="91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</row>
    <row r="642" ht="12.75" hidden="1" customHeight="1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142"/>
      <c r="P642" s="88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91"/>
      <c r="AZ642" s="91"/>
      <c r="BA642" s="91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</row>
    <row r="643" ht="12.75" hidden="1" customHeight="1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142"/>
      <c r="P643" s="88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91"/>
      <c r="AZ643" s="91"/>
      <c r="BA643" s="91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</row>
    <row r="644" ht="12.75" hidden="1" customHeight="1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142"/>
      <c r="P644" s="88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91"/>
      <c r="AZ644" s="91"/>
      <c r="BA644" s="91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</row>
    <row r="645" ht="12.75" hidden="1" customHeight="1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142"/>
      <c r="P645" s="88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91"/>
      <c r="AZ645" s="91"/>
      <c r="BA645" s="91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</row>
    <row r="646" ht="12.75" hidden="1" customHeight="1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142"/>
      <c r="P646" s="88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91"/>
      <c r="AZ646" s="91"/>
      <c r="BA646" s="91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</row>
    <row r="647" ht="12.75" hidden="1" customHeight="1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142"/>
      <c r="P647" s="88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91"/>
      <c r="AZ647" s="91"/>
      <c r="BA647" s="91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</row>
    <row r="648" ht="12.75" hidden="1" customHeight="1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142"/>
      <c r="P648" s="88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91"/>
      <c r="AZ648" s="91"/>
      <c r="BA648" s="91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</row>
    <row r="649" ht="12.75" hidden="1" customHeight="1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142"/>
      <c r="P649" s="88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91"/>
      <c r="AZ649" s="91"/>
      <c r="BA649" s="91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</row>
    <row r="650" ht="12.75" hidden="1" customHeight="1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142"/>
      <c r="P650" s="88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91"/>
      <c r="AZ650" s="91"/>
      <c r="BA650" s="91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</row>
    <row r="651" ht="12.75" hidden="1" customHeight="1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142"/>
      <c r="P651" s="88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91"/>
      <c r="AZ651" s="91"/>
      <c r="BA651" s="91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</row>
    <row r="652" ht="12.75" hidden="1" customHeight="1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142"/>
      <c r="P652" s="88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91"/>
      <c r="AZ652" s="91"/>
      <c r="BA652" s="91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</row>
    <row r="653" ht="12.75" hidden="1" customHeight="1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142"/>
      <c r="P653" s="88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91"/>
      <c r="AZ653" s="91"/>
      <c r="BA653" s="91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</row>
    <row r="654" ht="12.75" hidden="1" customHeight="1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142"/>
      <c r="P654" s="88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91"/>
      <c r="AZ654" s="91"/>
      <c r="BA654" s="91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</row>
    <row r="655" ht="12.75" hidden="1" customHeight="1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142"/>
      <c r="P655" s="88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91"/>
      <c r="AZ655" s="91"/>
      <c r="BA655" s="91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</row>
    <row r="656" ht="12.75" hidden="1" customHeight="1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142"/>
      <c r="P656" s="88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91"/>
      <c r="AZ656" s="91"/>
      <c r="BA656" s="91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</row>
    <row r="657" ht="12.75" hidden="1" customHeight="1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142"/>
      <c r="P657" s="88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91"/>
      <c r="AZ657" s="91"/>
      <c r="BA657" s="91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</row>
    <row r="658" ht="12.75" hidden="1" customHeight="1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142"/>
      <c r="P658" s="88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91"/>
      <c r="AZ658" s="91"/>
      <c r="BA658" s="91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</row>
    <row r="659" ht="12.75" hidden="1" customHeight="1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142"/>
      <c r="P659" s="88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91"/>
      <c r="AZ659" s="91"/>
      <c r="BA659" s="91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</row>
    <row r="660" ht="12.75" hidden="1" customHeight="1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142"/>
      <c r="P660" s="88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91"/>
      <c r="AZ660" s="91"/>
      <c r="BA660" s="91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</row>
    <row r="661" ht="12.75" hidden="1" customHeight="1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142"/>
      <c r="P661" s="88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91"/>
      <c r="AZ661" s="91"/>
      <c r="BA661" s="91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</row>
    <row r="662" ht="12.75" hidden="1" customHeight="1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142"/>
      <c r="P662" s="88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91"/>
      <c r="AZ662" s="91"/>
      <c r="BA662" s="91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</row>
    <row r="663" ht="12.75" hidden="1" customHeight="1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142"/>
      <c r="P663" s="88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91"/>
      <c r="AZ663" s="91"/>
      <c r="BA663" s="91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</row>
    <row r="664" ht="12.75" hidden="1" customHeight="1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142"/>
      <c r="P664" s="88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91"/>
      <c r="AZ664" s="91"/>
      <c r="BA664" s="91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</row>
    <row r="665" ht="12.75" hidden="1" customHeight="1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142"/>
      <c r="P665" s="88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91"/>
      <c r="AZ665" s="91"/>
      <c r="BA665" s="91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</row>
    <row r="666" ht="12.75" hidden="1" customHeight="1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142"/>
      <c r="P666" s="88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91"/>
      <c r="AZ666" s="91"/>
      <c r="BA666" s="91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</row>
    <row r="667" ht="12.75" hidden="1" customHeight="1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142"/>
      <c r="P667" s="88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91"/>
      <c r="AZ667" s="91"/>
      <c r="BA667" s="91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</row>
    <row r="668" ht="12.75" hidden="1" customHeight="1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142"/>
      <c r="P668" s="88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91"/>
      <c r="AZ668" s="91"/>
      <c r="BA668" s="91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</row>
    <row r="669" ht="12.75" hidden="1" customHeight="1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142"/>
      <c r="P669" s="88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91"/>
      <c r="AZ669" s="91"/>
      <c r="BA669" s="91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</row>
    <row r="670" ht="12.75" hidden="1" customHeight="1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142"/>
      <c r="P670" s="88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91"/>
      <c r="AZ670" s="91"/>
      <c r="BA670" s="91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</row>
    <row r="671" ht="12.75" hidden="1" customHeight="1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142"/>
      <c r="P671" s="88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91"/>
      <c r="AZ671" s="91"/>
      <c r="BA671" s="91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</row>
    <row r="672" ht="12.75" hidden="1" customHeight="1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142"/>
      <c r="P672" s="88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91"/>
      <c r="AZ672" s="91"/>
      <c r="BA672" s="91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</row>
    <row r="673" ht="12.75" hidden="1" customHeight="1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142"/>
      <c r="P673" s="88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91"/>
      <c r="AZ673" s="91"/>
      <c r="BA673" s="91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</row>
    <row r="674" ht="12.75" hidden="1" customHeight="1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142"/>
      <c r="P674" s="88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91"/>
      <c r="AZ674" s="91"/>
      <c r="BA674" s="91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</row>
    <row r="675" ht="12.75" hidden="1" customHeight="1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142"/>
      <c r="P675" s="88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91"/>
      <c r="AZ675" s="91"/>
      <c r="BA675" s="91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</row>
    <row r="676" ht="12.75" hidden="1" customHeight="1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142"/>
      <c r="P676" s="88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91"/>
      <c r="AZ676" s="91"/>
      <c r="BA676" s="91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</row>
    <row r="677" ht="12.75" hidden="1" customHeight="1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142"/>
      <c r="P677" s="88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91"/>
      <c r="AZ677" s="91"/>
      <c r="BA677" s="91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</row>
    <row r="678" ht="12.75" hidden="1" customHeight="1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142"/>
      <c r="P678" s="88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91"/>
      <c r="AZ678" s="91"/>
      <c r="BA678" s="91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</row>
    <row r="679" ht="12.75" hidden="1" customHeight="1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142"/>
      <c r="P679" s="88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91"/>
      <c r="AZ679" s="91"/>
      <c r="BA679" s="91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</row>
    <row r="680" ht="12.75" hidden="1" customHeight="1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142"/>
      <c r="P680" s="88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91"/>
      <c r="AZ680" s="91"/>
      <c r="BA680" s="91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</row>
    <row r="681" ht="12.75" hidden="1" customHeight="1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142"/>
      <c r="P681" s="88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91"/>
      <c r="AZ681" s="91"/>
      <c r="BA681" s="91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</row>
    <row r="682" ht="12.75" hidden="1" customHeight="1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142"/>
      <c r="P682" s="88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91"/>
      <c r="AZ682" s="91"/>
      <c r="BA682" s="91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</row>
    <row r="683" ht="12.75" hidden="1" customHeight="1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142"/>
      <c r="P683" s="88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91"/>
      <c r="AZ683" s="91"/>
      <c r="BA683" s="91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</row>
    <row r="684" ht="12.75" hidden="1" customHeight="1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142"/>
      <c r="P684" s="88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91"/>
      <c r="AZ684" s="91"/>
      <c r="BA684" s="91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</row>
    <row r="685" ht="12.75" hidden="1" customHeight="1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142"/>
      <c r="P685" s="88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91"/>
      <c r="AZ685" s="91"/>
      <c r="BA685" s="91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</row>
    <row r="686" ht="12.75" hidden="1" customHeight="1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142"/>
      <c r="P686" s="88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91"/>
      <c r="AZ686" s="91"/>
      <c r="BA686" s="91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</row>
    <row r="687" ht="12.75" hidden="1" customHeight="1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142"/>
      <c r="P687" s="88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91"/>
      <c r="AZ687" s="91"/>
      <c r="BA687" s="91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</row>
    <row r="688" ht="12.75" hidden="1" customHeight="1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142"/>
      <c r="P688" s="88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91"/>
      <c r="AZ688" s="91"/>
      <c r="BA688" s="91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</row>
    <row r="689" ht="12.75" hidden="1" customHeight="1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142"/>
      <c r="P689" s="88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91"/>
      <c r="AZ689" s="91"/>
      <c r="BA689" s="91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</row>
    <row r="690" ht="12.75" hidden="1" customHeight="1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142"/>
      <c r="P690" s="88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91"/>
      <c r="AZ690" s="91"/>
      <c r="BA690" s="91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</row>
    <row r="691" ht="12.75" hidden="1" customHeight="1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142"/>
      <c r="P691" s="88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91"/>
      <c r="AZ691" s="91"/>
      <c r="BA691" s="91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</row>
    <row r="692" ht="12.75" hidden="1" customHeight="1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142"/>
      <c r="P692" s="88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91"/>
      <c r="AZ692" s="91"/>
      <c r="BA692" s="91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</row>
    <row r="693" ht="12.75" hidden="1" customHeight="1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142"/>
      <c r="P693" s="88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91"/>
      <c r="AZ693" s="91"/>
      <c r="BA693" s="91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</row>
    <row r="694" ht="12.75" hidden="1" customHeight="1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142"/>
      <c r="P694" s="88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91"/>
      <c r="AZ694" s="91"/>
      <c r="BA694" s="91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</row>
    <row r="695" ht="12.75" hidden="1" customHeight="1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142"/>
      <c r="P695" s="88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91"/>
      <c r="AZ695" s="91"/>
      <c r="BA695" s="91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</row>
    <row r="696" ht="12.75" hidden="1" customHeight="1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142"/>
      <c r="P696" s="88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91"/>
      <c r="AZ696" s="91"/>
      <c r="BA696" s="91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</row>
    <row r="697" ht="12.75" hidden="1" customHeight="1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142"/>
      <c r="P697" s="88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91"/>
      <c r="AZ697" s="91"/>
      <c r="BA697" s="91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</row>
    <row r="698" ht="12.75" hidden="1" customHeight="1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142"/>
      <c r="P698" s="88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91"/>
      <c r="AZ698" s="91"/>
      <c r="BA698" s="91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</row>
    <row r="699" ht="12.75" hidden="1" customHeight="1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142"/>
      <c r="P699" s="88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91"/>
      <c r="AZ699" s="91"/>
      <c r="BA699" s="91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</row>
    <row r="700" ht="12.75" hidden="1" customHeight="1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142"/>
      <c r="P700" s="88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91"/>
      <c r="AZ700" s="91"/>
      <c r="BA700" s="91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</row>
    <row r="701" ht="12.75" hidden="1" customHeight="1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142"/>
      <c r="P701" s="88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91"/>
      <c r="AZ701" s="91"/>
      <c r="BA701" s="91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</row>
    <row r="702" ht="12.75" hidden="1" customHeight="1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142"/>
      <c r="P702" s="88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91"/>
      <c r="AZ702" s="91"/>
      <c r="BA702" s="91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</row>
    <row r="703" ht="12.75" hidden="1" customHeight="1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142"/>
      <c r="P703" s="88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91"/>
      <c r="AZ703" s="91"/>
      <c r="BA703" s="91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</row>
    <row r="704" ht="12.75" hidden="1" customHeight="1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142"/>
      <c r="P704" s="88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91"/>
      <c r="AZ704" s="91"/>
      <c r="BA704" s="91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</row>
    <row r="705" ht="12.75" hidden="1" customHeight="1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142"/>
      <c r="P705" s="88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91"/>
      <c r="AZ705" s="91"/>
      <c r="BA705" s="91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</row>
    <row r="706" ht="12.75" hidden="1" customHeight="1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142"/>
      <c r="P706" s="88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91"/>
      <c r="AZ706" s="91"/>
      <c r="BA706" s="91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</row>
    <row r="707" ht="12.75" hidden="1" customHeight="1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142"/>
      <c r="P707" s="88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91"/>
      <c r="AZ707" s="91"/>
      <c r="BA707" s="91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</row>
    <row r="708" ht="12.75" hidden="1" customHeight="1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142"/>
      <c r="P708" s="88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91"/>
      <c r="AZ708" s="91"/>
      <c r="BA708" s="91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</row>
    <row r="709" ht="12.75" hidden="1" customHeight="1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142"/>
      <c r="P709" s="88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91"/>
      <c r="AZ709" s="91"/>
      <c r="BA709" s="91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</row>
    <row r="710" ht="12.75" hidden="1" customHeight="1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142"/>
      <c r="P710" s="88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91"/>
      <c r="AZ710" s="91"/>
      <c r="BA710" s="91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</row>
    <row r="711" ht="12.75" hidden="1" customHeight="1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142"/>
      <c r="P711" s="88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91"/>
      <c r="AZ711" s="91"/>
      <c r="BA711" s="91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</row>
    <row r="712" ht="12.75" hidden="1" customHeight="1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142"/>
      <c r="P712" s="88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91"/>
      <c r="AZ712" s="91"/>
      <c r="BA712" s="91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</row>
    <row r="713" ht="12.75" hidden="1" customHeight="1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142"/>
      <c r="P713" s="88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91"/>
      <c r="AZ713" s="91"/>
      <c r="BA713" s="91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</row>
    <row r="714" ht="12.75" hidden="1" customHeight="1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142"/>
      <c r="P714" s="88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91"/>
      <c r="AZ714" s="91"/>
      <c r="BA714" s="91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</row>
    <row r="715" ht="12.75" hidden="1" customHeight="1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142"/>
      <c r="P715" s="88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91"/>
      <c r="AZ715" s="91"/>
      <c r="BA715" s="91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</row>
    <row r="716" ht="12.75" hidden="1" customHeight="1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142"/>
      <c r="P716" s="88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91"/>
      <c r="AZ716" s="91"/>
      <c r="BA716" s="91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</row>
    <row r="717" ht="12.75" hidden="1" customHeight="1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142"/>
      <c r="P717" s="88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91"/>
      <c r="AZ717" s="91"/>
      <c r="BA717" s="91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</row>
    <row r="718" ht="12.75" hidden="1" customHeight="1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142"/>
      <c r="P718" s="88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91"/>
      <c r="AZ718" s="91"/>
      <c r="BA718" s="91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</row>
    <row r="719" ht="12.75" hidden="1" customHeight="1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142"/>
      <c r="P719" s="88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91"/>
      <c r="AZ719" s="91"/>
      <c r="BA719" s="91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</row>
    <row r="720" ht="12.75" hidden="1" customHeight="1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142"/>
      <c r="P720" s="88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91"/>
      <c r="AZ720" s="91"/>
      <c r="BA720" s="91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</row>
    <row r="721" ht="12.75" hidden="1" customHeight="1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142"/>
      <c r="P721" s="88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91"/>
      <c r="AZ721" s="91"/>
      <c r="BA721" s="91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</row>
    <row r="722" ht="12.75" hidden="1" customHeight="1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142"/>
      <c r="P722" s="88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91"/>
      <c r="AZ722" s="91"/>
      <c r="BA722" s="91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</row>
    <row r="723" ht="12.75" hidden="1" customHeight="1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142"/>
      <c r="P723" s="88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91"/>
      <c r="AZ723" s="91"/>
      <c r="BA723" s="91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</row>
    <row r="724" ht="12.75" hidden="1" customHeight="1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142"/>
      <c r="P724" s="88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91"/>
      <c r="AZ724" s="91"/>
      <c r="BA724" s="91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</row>
    <row r="725" ht="12.75" hidden="1" customHeight="1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142"/>
      <c r="P725" s="88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91"/>
      <c r="AZ725" s="91"/>
      <c r="BA725" s="91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</row>
    <row r="726" ht="12.75" hidden="1" customHeight="1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142"/>
      <c r="P726" s="88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91"/>
      <c r="AZ726" s="91"/>
      <c r="BA726" s="91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</row>
    <row r="727" ht="12.75" hidden="1" customHeight="1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142"/>
      <c r="P727" s="88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91"/>
      <c r="AZ727" s="91"/>
      <c r="BA727" s="91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</row>
    <row r="728" ht="12.75" hidden="1" customHeight="1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142"/>
      <c r="P728" s="88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91"/>
      <c r="AZ728" s="91"/>
      <c r="BA728" s="91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</row>
    <row r="729" ht="12.75" hidden="1" customHeight="1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142"/>
      <c r="P729" s="88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91"/>
      <c r="AZ729" s="91"/>
      <c r="BA729" s="91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</row>
    <row r="730" ht="12.75" hidden="1" customHeight="1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142"/>
      <c r="P730" s="88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91"/>
      <c r="AZ730" s="91"/>
      <c r="BA730" s="91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</row>
    <row r="731" ht="12.75" hidden="1" customHeight="1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142"/>
      <c r="P731" s="88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91"/>
      <c r="AZ731" s="91"/>
      <c r="BA731" s="91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</row>
    <row r="732" ht="12.75" hidden="1" customHeight="1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142"/>
      <c r="P732" s="88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91"/>
      <c r="AZ732" s="91"/>
      <c r="BA732" s="91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</row>
    <row r="733" ht="12.75" hidden="1" customHeight="1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142"/>
      <c r="P733" s="88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91"/>
      <c r="AZ733" s="91"/>
      <c r="BA733" s="91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</row>
    <row r="734" ht="12.75" hidden="1" customHeight="1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142"/>
      <c r="P734" s="88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91"/>
      <c r="AZ734" s="91"/>
      <c r="BA734" s="91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</row>
    <row r="735" ht="12.75" hidden="1" customHeight="1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142"/>
      <c r="P735" s="88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91"/>
      <c r="AZ735" s="91"/>
      <c r="BA735" s="91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</row>
    <row r="736" ht="12.75" hidden="1" customHeight="1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142"/>
      <c r="P736" s="88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91"/>
      <c r="AZ736" s="91"/>
      <c r="BA736" s="91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</row>
    <row r="737" ht="12.75" hidden="1" customHeight="1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142"/>
      <c r="P737" s="88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91"/>
      <c r="AZ737" s="91"/>
      <c r="BA737" s="91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</row>
    <row r="738" ht="12.75" hidden="1" customHeight="1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142"/>
      <c r="P738" s="88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91"/>
      <c r="AZ738" s="91"/>
      <c r="BA738" s="91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</row>
    <row r="739" ht="12.75" hidden="1" customHeight="1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142"/>
      <c r="P739" s="88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91"/>
      <c r="AZ739" s="91"/>
      <c r="BA739" s="91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</row>
    <row r="740" ht="12.75" hidden="1" customHeight="1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142"/>
      <c r="P740" s="88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91"/>
      <c r="AZ740" s="91"/>
      <c r="BA740" s="91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</row>
    <row r="741" ht="12.75" hidden="1" customHeight="1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142"/>
      <c r="P741" s="88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91"/>
      <c r="AZ741" s="91"/>
      <c r="BA741" s="91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</row>
    <row r="742" ht="12.75" hidden="1" customHeight="1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142"/>
      <c r="P742" s="88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91"/>
      <c r="AZ742" s="91"/>
      <c r="BA742" s="91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</row>
    <row r="743" ht="12.75" hidden="1" customHeight="1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142"/>
      <c r="P743" s="88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91"/>
      <c r="AZ743" s="91"/>
      <c r="BA743" s="91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</row>
    <row r="744" ht="12.75" hidden="1" customHeight="1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142"/>
      <c r="P744" s="88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91"/>
      <c r="AZ744" s="91"/>
      <c r="BA744" s="91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</row>
    <row r="745" ht="12.75" hidden="1" customHeight="1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142"/>
      <c r="P745" s="88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91"/>
      <c r="AZ745" s="91"/>
      <c r="BA745" s="91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</row>
    <row r="746" ht="12.75" hidden="1" customHeight="1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142"/>
      <c r="P746" s="88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91"/>
      <c r="AZ746" s="91"/>
      <c r="BA746" s="91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</row>
    <row r="747" ht="12.75" hidden="1" customHeight="1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142"/>
      <c r="P747" s="88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91"/>
      <c r="AZ747" s="91"/>
      <c r="BA747" s="91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</row>
    <row r="748" ht="12.75" hidden="1" customHeight="1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142"/>
      <c r="P748" s="88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91"/>
      <c r="AZ748" s="91"/>
      <c r="BA748" s="91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</row>
    <row r="749" ht="12.75" hidden="1" customHeight="1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142"/>
      <c r="P749" s="88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91"/>
      <c r="AZ749" s="91"/>
      <c r="BA749" s="91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</row>
    <row r="750" ht="12.75" hidden="1" customHeight="1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142"/>
      <c r="P750" s="88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91"/>
      <c r="AZ750" s="91"/>
      <c r="BA750" s="91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</row>
    <row r="751" ht="12.75" hidden="1" customHeight="1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142"/>
      <c r="P751" s="88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91"/>
      <c r="AZ751" s="91"/>
      <c r="BA751" s="91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</row>
    <row r="752" ht="12.75" hidden="1" customHeight="1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142"/>
      <c r="P752" s="88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91"/>
      <c r="AZ752" s="91"/>
      <c r="BA752" s="91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</row>
    <row r="753" ht="12.75" hidden="1" customHeight="1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142"/>
      <c r="P753" s="88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91"/>
      <c r="AZ753" s="91"/>
      <c r="BA753" s="91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</row>
    <row r="754" ht="12.75" hidden="1" customHeight="1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142"/>
      <c r="P754" s="88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91"/>
      <c r="AZ754" s="91"/>
      <c r="BA754" s="91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</row>
    <row r="755" ht="12.75" hidden="1" customHeight="1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142"/>
      <c r="P755" s="88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91"/>
      <c r="AZ755" s="91"/>
      <c r="BA755" s="91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</row>
    <row r="756" ht="12.75" hidden="1" customHeight="1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142"/>
      <c r="P756" s="88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91"/>
      <c r="AZ756" s="91"/>
      <c r="BA756" s="91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</row>
    <row r="757" ht="12.75" hidden="1" customHeight="1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142"/>
      <c r="P757" s="88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91"/>
      <c r="AZ757" s="91"/>
      <c r="BA757" s="91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</row>
    <row r="758" ht="12.75" hidden="1" customHeight="1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142"/>
      <c r="P758" s="88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91"/>
      <c r="AZ758" s="91"/>
      <c r="BA758" s="91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</row>
    <row r="759" ht="12.75" hidden="1" customHeight="1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142"/>
      <c r="P759" s="88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91"/>
      <c r="AZ759" s="91"/>
      <c r="BA759" s="91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</row>
    <row r="760" ht="12.75" hidden="1" customHeight="1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142"/>
      <c r="P760" s="88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91"/>
      <c r="AZ760" s="91"/>
      <c r="BA760" s="91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</row>
    <row r="761" ht="12.75" hidden="1" customHeight="1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142"/>
      <c r="P761" s="88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91"/>
      <c r="AZ761" s="91"/>
      <c r="BA761" s="91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</row>
    <row r="762" ht="12.75" hidden="1" customHeight="1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142"/>
      <c r="P762" s="88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91"/>
      <c r="AZ762" s="91"/>
      <c r="BA762" s="91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</row>
    <row r="763" ht="12.75" hidden="1" customHeight="1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142"/>
      <c r="P763" s="88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91"/>
      <c r="AZ763" s="91"/>
      <c r="BA763" s="91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</row>
    <row r="764" ht="12.75" hidden="1" customHeight="1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142"/>
      <c r="P764" s="88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91"/>
      <c r="AZ764" s="91"/>
      <c r="BA764" s="91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</row>
    <row r="765" ht="12.75" hidden="1" customHeight="1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142"/>
      <c r="P765" s="88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91"/>
      <c r="AZ765" s="91"/>
      <c r="BA765" s="91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</row>
    <row r="766" ht="12.75" hidden="1" customHeight="1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142"/>
      <c r="P766" s="88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91"/>
      <c r="AZ766" s="91"/>
      <c r="BA766" s="91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</row>
    <row r="767" ht="12.75" hidden="1" customHeight="1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142"/>
      <c r="P767" s="88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91"/>
      <c r="AZ767" s="91"/>
      <c r="BA767" s="91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</row>
    <row r="768" ht="12.75" hidden="1" customHeight="1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142"/>
      <c r="P768" s="88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91"/>
      <c r="AZ768" s="91"/>
      <c r="BA768" s="91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</row>
    <row r="769" ht="12.75" hidden="1" customHeight="1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142"/>
      <c r="P769" s="88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91"/>
      <c r="AZ769" s="91"/>
      <c r="BA769" s="91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</row>
    <row r="770" ht="12.75" hidden="1" customHeight="1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142"/>
      <c r="P770" s="88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91"/>
      <c r="AZ770" s="91"/>
      <c r="BA770" s="91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</row>
    <row r="771" ht="12.75" hidden="1" customHeight="1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142"/>
      <c r="P771" s="88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91"/>
      <c r="AZ771" s="91"/>
      <c r="BA771" s="91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</row>
    <row r="772" ht="12.75" hidden="1" customHeight="1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142"/>
      <c r="P772" s="88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91"/>
      <c r="AZ772" s="91"/>
      <c r="BA772" s="91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</row>
    <row r="773" ht="12.75" hidden="1" customHeight="1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142"/>
      <c r="P773" s="88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91"/>
      <c r="AZ773" s="91"/>
      <c r="BA773" s="91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</row>
    <row r="774" ht="12.75" hidden="1" customHeight="1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142"/>
      <c r="P774" s="88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91"/>
      <c r="AZ774" s="91"/>
      <c r="BA774" s="91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</row>
    <row r="775" ht="12.75" hidden="1" customHeight="1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142"/>
      <c r="P775" s="88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91"/>
      <c r="AZ775" s="91"/>
      <c r="BA775" s="91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</row>
    <row r="776" ht="12.75" hidden="1" customHeight="1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142"/>
      <c r="P776" s="88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91"/>
      <c r="AZ776" s="91"/>
      <c r="BA776" s="91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</row>
    <row r="777" ht="12.75" hidden="1" customHeight="1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142"/>
      <c r="P777" s="88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91"/>
      <c r="AZ777" s="91"/>
      <c r="BA777" s="91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</row>
    <row r="778" ht="12.75" hidden="1" customHeight="1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142"/>
      <c r="P778" s="88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91"/>
      <c r="AZ778" s="91"/>
      <c r="BA778" s="91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</row>
    <row r="779" ht="12.75" hidden="1" customHeight="1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142"/>
      <c r="P779" s="88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91"/>
      <c r="AZ779" s="91"/>
      <c r="BA779" s="91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</row>
    <row r="780" ht="12.75" hidden="1" customHeight="1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142"/>
      <c r="P780" s="88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91"/>
      <c r="AZ780" s="91"/>
      <c r="BA780" s="91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</row>
    <row r="781" ht="12.75" hidden="1" customHeight="1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142"/>
      <c r="P781" s="88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91"/>
      <c r="AZ781" s="91"/>
      <c r="BA781" s="91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</row>
    <row r="782" ht="12.75" hidden="1" customHeight="1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142"/>
      <c r="P782" s="88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91"/>
      <c r="AZ782" s="91"/>
      <c r="BA782" s="91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</row>
    <row r="783" ht="12.75" hidden="1" customHeight="1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142"/>
      <c r="P783" s="88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91"/>
      <c r="AZ783" s="91"/>
      <c r="BA783" s="91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</row>
    <row r="784" ht="12.75" hidden="1" customHeight="1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142"/>
      <c r="P784" s="88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91"/>
      <c r="AZ784" s="91"/>
      <c r="BA784" s="91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</row>
    <row r="785" ht="12.75" hidden="1" customHeight="1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142"/>
      <c r="P785" s="88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91"/>
      <c r="AZ785" s="91"/>
      <c r="BA785" s="91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</row>
    <row r="786" ht="12.75" hidden="1" customHeight="1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142"/>
      <c r="P786" s="88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91"/>
      <c r="AZ786" s="91"/>
      <c r="BA786" s="91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</row>
    <row r="787" ht="12.75" hidden="1" customHeight="1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142"/>
      <c r="P787" s="88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91"/>
      <c r="AZ787" s="91"/>
      <c r="BA787" s="91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</row>
    <row r="788" ht="12.75" hidden="1" customHeight="1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142"/>
      <c r="P788" s="88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91"/>
      <c r="AZ788" s="91"/>
      <c r="BA788" s="91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</row>
    <row r="789" ht="12.75" hidden="1" customHeight="1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142"/>
      <c r="P789" s="88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91"/>
      <c r="AZ789" s="91"/>
      <c r="BA789" s="91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</row>
    <row r="790" ht="12.75" hidden="1" customHeight="1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142"/>
      <c r="P790" s="88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91"/>
      <c r="AZ790" s="91"/>
      <c r="BA790" s="91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</row>
    <row r="791" ht="12.75" hidden="1" customHeight="1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142"/>
      <c r="P791" s="88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91"/>
      <c r="AZ791" s="91"/>
      <c r="BA791" s="91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</row>
    <row r="792" ht="12.75" hidden="1" customHeight="1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142"/>
      <c r="P792" s="88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91"/>
      <c r="AZ792" s="91"/>
      <c r="BA792" s="91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</row>
    <row r="793" ht="12.75" hidden="1" customHeight="1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142"/>
      <c r="P793" s="88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91"/>
      <c r="AZ793" s="91"/>
      <c r="BA793" s="91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</row>
    <row r="794" ht="12.75" hidden="1" customHeight="1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142"/>
      <c r="P794" s="88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91"/>
      <c r="AZ794" s="91"/>
      <c r="BA794" s="91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</row>
    <row r="795" ht="12.75" hidden="1" customHeight="1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142"/>
      <c r="P795" s="88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91"/>
      <c r="AZ795" s="91"/>
      <c r="BA795" s="91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</row>
    <row r="796" ht="12.75" hidden="1" customHeight="1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142"/>
      <c r="P796" s="88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91"/>
      <c r="AZ796" s="91"/>
      <c r="BA796" s="91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</row>
    <row r="797" ht="12.75" hidden="1" customHeight="1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142"/>
      <c r="P797" s="88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91"/>
      <c r="AZ797" s="91"/>
      <c r="BA797" s="91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</row>
    <row r="798" ht="12.75" hidden="1" customHeight="1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142"/>
      <c r="P798" s="88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91"/>
      <c r="AZ798" s="91"/>
      <c r="BA798" s="91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</row>
    <row r="799" ht="12.75" hidden="1" customHeight="1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142"/>
      <c r="P799" s="88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91"/>
      <c r="AZ799" s="91"/>
      <c r="BA799" s="91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</row>
    <row r="800" ht="12.75" hidden="1" customHeight="1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142"/>
      <c r="P800" s="88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91"/>
      <c r="AZ800" s="91"/>
      <c r="BA800" s="91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</row>
    <row r="801" ht="12.75" hidden="1" customHeight="1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142"/>
      <c r="P801" s="88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91"/>
      <c r="AZ801" s="91"/>
      <c r="BA801" s="91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</row>
    <row r="802" ht="12.75" hidden="1" customHeight="1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142"/>
      <c r="P802" s="88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91"/>
      <c r="AZ802" s="91"/>
      <c r="BA802" s="91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</row>
    <row r="803" ht="12.75" hidden="1" customHeight="1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142"/>
      <c r="P803" s="88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91"/>
      <c r="AZ803" s="91"/>
      <c r="BA803" s="91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</row>
    <row r="804" ht="12.75" hidden="1" customHeight="1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142"/>
      <c r="P804" s="88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91"/>
      <c r="AZ804" s="91"/>
      <c r="BA804" s="91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</row>
    <row r="805" ht="12.75" hidden="1" customHeight="1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142"/>
      <c r="P805" s="88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91"/>
      <c r="AZ805" s="91"/>
      <c r="BA805" s="91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</row>
    <row r="806" ht="12.75" hidden="1" customHeight="1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142"/>
      <c r="P806" s="88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91"/>
      <c r="AZ806" s="91"/>
      <c r="BA806" s="91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</row>
    <row r="807" ht="12.75" hidden="1" customHeight="1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142"/>
      <c r="P807" s="88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91"/>
      <c r="AZ807" s="91"/>
      <c r="BA807" s="91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</row>
    <row r="808" ht="12.75" hidden="1" customHeight="1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142"/>
      <c r="P808" s="88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91"/>
      <c r="AZ808" s="91"/>
      <c r="BA808" s="91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</row>
    <row r="809" ht="12.75" hidden="1" customHeight="1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142"/>
      <c r="P809" s="88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91"/>
      <c r="AZ809" s="91"/>
      <c r="BA809" s="91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</row>
    <row r="810" ht="12.75" hidden="1" customHeight="1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142"/>
      <c r="P810" s="88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91"/>
      <c r="AZ810" s="91"/>
      <c r="BA810" s="91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</row>
    <row r="811" ht="12.75" hidden="1" customHeight="1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142"/>
      <c r="P811" s="88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91"/>
      <c r="AZ811" s="91"/>
      <c r="BA811" s="91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</row>
    <row r="812" ht="12.75" hidden="1" customHeight="1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142"/>
      <c r="P812" s="88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91"/>
      <c r="AZ812" s="91"/>
      <c r="BA812" s="91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</row>
    <row r="813" ht="12.75" hidden="1" customHeight="1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142"/>
      <c r="P813" s="88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91"/>
      <c r="AZ813" s="91"/>
      <c r="BA813" s="91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</row>
    <row r="814" ht="12.75" hidden="1" customHeight="1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142"/>
      <c r="P814" s="88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91"/>
      <c r="AZ814" s="91"/>
      <c r="BA814" s="91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</row>
    <row r="815" ht="12.75" hidden="1" customHeight="1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142"/>
      <c r="P815" s="88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91"/>
      <c r="AZ815" s="91"/>
      <c r="BA815" s="91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</row>
    <row r="816" ht="12.75" hidden="1" customHeight="1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142"/>
      <c r="P816" s="88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91"/>
      <c r="AZ816" s="91"/>
      <c r="BA816" s="91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</row>
    <row r="817" ht="12.75" hidden="1" customHeight="1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142"/>
      <c r="P817" s="88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91"/>
      <c r="AZ817" s="91"/>
      <c r="BA817" s="91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</row>
    <row r="818" ht="12.75" hidden="1" customHeight="1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142"/>
      <c r="P818" s="88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91"/>
      <c r="AZ818" s="91"/>
      <c r="BA818" s="91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</row>
    <row r="819" ht="12.75" hidden="1" customHeight="1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142"/>
      <c r="P819" s="88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91"/>
      <c r="AZ819" s="91"/>
      <c r="BA819" s="91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</row>
    <row r="820" ht="12.75" hidden="1" customHeight="1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142"/>
      <c r="P820" s="88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91"/>
      <c r="AZ820" s="91"/>
      <c r="BA820" s="91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</row>
    <row r="821" ht="12.75" hidden="1" customHeight="1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142"/>
      <c r="P821" s="88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91"/>
      <c r="AZ821" s="91"/>
      <c r="BA821" s="91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</row>
    <row r="822" ht="12.75" hidden="1" customHeight="1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142"/>
      <c r="P822" s="88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91"/>
      <c r="AZ822" s="91"/>
      <c r="BA822" s="91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</row>
    <row r="823" ht="12.75" hidden="1" customHeight="1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142"/>
      <c r="P823" s="88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91"/>
      <c r="AZ823" s="91"/>
      <c r="BA823" s="91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</row>
    <row r="824" ht="12.75" hidden="1" customHeight="1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142"/>
      <c r="P824" s="88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91"/>
      <c r="AZ824" s="91"/>
      <c r="BA824" s="91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</row>
    <row r="825" ht="12.75" hidden="1" customHeight="1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142"/>
      <c r="P825" s="88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91"/>
      <c r="AZ825" s="91"/>
      <c r="BA825" s="91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</row>
    <row r="826" ht="12.75" hidden="1" customHeight="1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142"/>
      <c r="P826" s="88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91"/>
      <c r="AZ826" s="91"/>
      <c r="BA826" s="91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</row>
    <row r="827" ht="12.75" hidden="1" customHeight="1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142"/>
      <c r="P827" s="88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91"/>
      <c r="AZ827" s="91"/>
      <c r="BA827" s="91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</row>
    <row r="828" ht="12.75" hidden="1" customHeight="1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142"/>
      <c r="P828" s="88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91"/>
      <c r="AZ828" s="91"/>
      <c r="BA828" s="91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</row>
    <row r="829" ht="12.75" hidden="1" customHeight="1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142"/>
      <c r="P829" s="88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91"/>
      <c r="AZ829" s="91"/>
      <c r="BA829" s="91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</row>
    <row r="830" ht="12.75" hidden="1" customHeight="1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142"/>
      <c r="P830" s="88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91"/>
      <c r="AZ830" s="91"/>
      <c r="BA830" s="91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</row>
    <row r="831" ht="12.75" hidden="1" customHeight="1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142"/>
      <c r="P831" s="88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91"/>
      <c r="AZ831" s="91"/>
      <c r="BA831" s="91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</row>
    <row r="832" ht="12.75" hidden="1" customHeight="1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142"/>
      <c r="P832" s="88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91"/>
      <c r="AZ832" s="91"/>
      <c r="BA832" s="91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</row>
    <row r="833" ht="12.75" hidden="1" customHeight="1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142"/>
      <c r="P833" s="88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91"/>
      <c r="AZ833" s="91"/>
      <c r="BA833" s="91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</row>
    <row r="834" ht="12.75" hidden="1" customHeight="1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142"/>
      <c r="P834" s="88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91"/>
      <c r="AZ834" s="91"/>
      <c r="BA834" s="91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</row>
    <row r="835" ht="12.75" hidden="1" customHeight="1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142"/>
      <c r="P835" s="88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91"/>
      <c r="AZ835" s="91"/>
      <c r="BA835" s="91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</row>
    <row r="836" ht="12.75" hidden="1" customHeight="1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142"/>
      <c r="P836" s="88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91"/>
      <c r="AZ836" s="91"/>
      <c r="BA836" s="91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</row>
    <row r="837" ht="12.75" hidden="1" customHeight="1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142"/>
      <c r="P837" s="88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91"/>
      <c r="AZ837" s="91"/>
      <c r="BA837" s="91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</row>
    <row r="838" ht="12.75" hidden="1" customHeight="1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142"/>
      <c r="P838" s="88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91"/>
      <c r="AZ838" s="91"/>
      <c r="BA838" s="91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</row>
    <row r="839" ht="12.75" hidden="1" customHeight="1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142"/>
      <c r="P839" s="88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91"/>
      <c r="AZ839" s="91"/>
      <c r="BA839" s="91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</row>
    <row r="840" ht="12.75" hidden="1" customHeight="1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142"/>
      <c r="P840" s="88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91"/>
      <c r="AZ840" s="91"/>
      <c r="BA840" s="91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</row>
    <row r="841" ht="12.75" hidden="1" customHeight="1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142"/>
      <c r="P841" s="88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91"/>
      <c r="AZ841" s="91"/>
      <c r="BA841" s="91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</row>
    <row r="842" ht="12.75" hidden="1" customHeight="1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142"/>
      <c r="P842" s="88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91"/>
      <c r="AZ842" s="91"/>
      <c r="BA842" s="91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</row>
    <row r="843" ht="12.75" hidden="1" customHeight="1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142"/>
      <c r="P843" s="88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91"/>
      <c r="AZ843" s="91"/>
      <c r="BA843" s="91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</row>
    <row r="844" ht="12.75" hidden="1" customHeight="1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142"/>
      <c r="P844" s="88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91"/>
      <c r="AZ844" s="91"/>
      <c r="BA844" s="91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</row>
    <row r="845" ht="12.75" hidden="1" customHeight="1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142"/>
      <c r="P845" s="88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91"/>
      <c r="AZ845" s="91"/>
      <c r="BA845" s="91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</row>
    <row r="846" ht="12.75" hidden="1" customHeight="1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142"/>
      <c r="P846" s="88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91"/>
      <c r="AZ846" s="91"/>
      <c r="BA846" s="91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</row>
    <row r="847" ht="12.75" hidden="1" customHeight="1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142"/>
      <c r="P847" s="88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91"/>
      <c r="AZ847" s="91"/>
      <c r="BA847" s="91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</row>
    <row r="848" ht="12.75" hidden="1" customHeight="1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142"/>
      <c r="P848" s="88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91"/>
      <c r="AZ848" s="91"/>
      <c r="BA848" s="91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</row>
    <row r="849" ht="12.75" hidden="1" customHeight="1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142"/>
      <c r="P849" s="88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91"/>
      <c r="AZ849" s="91"/>
      <c r="BA849" s="91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</row>
    <row r="850" ht="12.75" hidden="1" customHeight="1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142"/>
      <c r="P850" s="88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91"/>
      <c r="AZ850" s="91"/>
      <c r="BA850" s="91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</row>
    <row r="851" ht="12.75" hidden="1" customHeight="1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142"/>
      <c r="P851" s="88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91"/>
      <c r="AZ851" s="91"/>
      <c r="BA851" s="91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</row>
    <row r="852" ht="12.75" hidden="1" customHeight="1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142"/>
      <c r="P852" s="88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91"/>
      <c r="AZ852" s="91"/>
      <c r="BA852" s="91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</row>
    <row r="853" ht="12.75" hidden="1" customHeight="1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142"/>
      <c r="P853" s="88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91"/>
      <c r="AZ853" s="91"/>
      <c r="BA853" s="91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</row>
    <row r="854" ht="12.75" hidden="1" customHeight="1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142"/>
      <c r="P854" s="88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91"/>
      <c r="AZ854" s="91"/>
      <c r="BA854" s="91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</row>
    <row r="855" ht="12.75" hidden="1" customHeight="1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142"/>
      <c r="P855" s="88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91"/>
      <c r="AZ855" s="91"/>
      <c r="BA855" s="91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</row>
    <row r="856" ht="12.75" hidden="1" customHeight="1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142"/>
      <c r="P856" s="88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91"/>
      <c r="AZ856" s="91"/>
      <c r="BA856" s="91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</row>
    <row r="857" ht="12.75" hidden="1" customHeight="1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142"/>
      <c r="P857" s="88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91"/>
      <c r="AZ857" s="91"/>
      <c r="BA857" s="91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</row>
    <row r="858" ht="12.75" hidden="1" customHeight="1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142"/>
      <c r="P858" s="88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91"/>
      <c r="AZ858" s="91"/>
      <c r="BA858" s="91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</row>
    <row r="859" ht="12.75" hidden="1" customHeight="1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142"/>
      <c r="P859" s="88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91"/>
      <c r="AZ859" s="91"/>
      <c r="BA859" s="91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</row>
    <row r="860" ht="12.75" hidden="1" customHeight="1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142"/>
      <c r="P860" s="88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91"/>
      <c r="AZ860" s="91"/>
      <c r="BA860" s="91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</row>
    <row r="861" ht="12.75" hidden="1" customHeight="1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142"/>
      <c r="P861" s="88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91"/>
      <c r="AZ861" s="91"/>
      <c r="BA861" s="91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</row>
    <row r="862" ht="12.75" hidden="1" customHeight="1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142"/>
      <c r="P862" s="88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91"/>
      <c r="AZ862" s="91"/>
      <c r="BA862" s="91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</row>
    <row r="863" ht="12.75" hidden="1" customHeight="1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142"/>
      <c r="P863" s="88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91"/>
      <c r="AZ863" s="91"/>
      <c r="BA863" s="91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</row>
    <row r="864" ht="12.75" hidden="1" customHeight="1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142"/>
      <c r="P864" s="88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91"/>
      <c r="AZ864" s="91"/>
      <c r="BA864" s="91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</row>
    <row r="865" ht="12.75" hidden="1" customHeight="1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142"/>
      <c r="P865" s="88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91"/>
      <c r="AZ865" s="91"/>
      <c r="BA865" s="91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</row>
    <row r="866" ht="12.75" hidden="1" customHeight="1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142"/>
      <c r="P866" s="88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91"/>
      <c r="AZ866" s="91"/>
      <c r="BA866" s="91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</row>
    <row r="867" ht="12.75" hidden="1" customHeight="1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142"/>
      <c r="P867" s="88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91"/>
      <c r="AZ867" s="91"/>
      <c r="BA867" s="91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</row>
    <row r="868" ht="12.75" hidden="1" customHeight="1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142"/>
      <c r="P868" s="88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91"/>
      <c r="AZ868" s="91"/>
      <c r="BA868" s="91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</row>
    <row r="869" ht="12.75" hidden="1" customHeight="1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142"/>
      <c r="P869" s="88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91"/>
      <c r="AZ869" s="91"/>
      <c r="BA869" s="91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</row>
    <row r="870" ht="12.75" hidden="1" customHeight="1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142"/>
      <c r="P870" s="88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91"/>
      <c r="AZ870" s="91"/>
      <c r="BA870" s="91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</row>
    <row r="871" ht="12.75" hidden="1" customHeight="1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142"/>
      <c r="P871" s="88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91"/>
      <c r="AZ871" s="91"/>
      <c r="BA871" s="91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</row>
    <row r="872" ht="12.75" hidden="1" customHeight="1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142"/>
      <c r="P872" s="88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91"/>
      <c r="AZ872" s="91"/>
      <c r="BA872" s="91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</row>
    <row r="873" ht="12.75" hidden="1" customHeight="1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142"/>
      <c r="P873" s="88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91"/>
      <c r="AZ873" s="91"/>
      <c r="BA873" s="91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</row>
    <row r="874" ht="12.75" hidden="1" customHeight="1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142"/>
      <c r="P874" s="88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91"/>
      <c r="AZ874" s="91"/>
      <c r="BA874" s="91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</row>
    <row r="875" ht="12.75" hidden="1" customHeight="1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142"/>
      <c r="P875" s="88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91"/>
      <c r="AZ875" s="91"/>
      <c r="BA875" s="91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</row>
    <row r="876" ht="12.75" hidden="1" customHeight="1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142"/>
      <c r="P876" s="88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91"/>
      <c r="AZ876" s="91"/>
      <c r="BA876" s="91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</row>
    <row r="877" ht="12.75" hidden="1" customHeight="1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142"/>
      <c r="P877" s="88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91"/>
      <c r="AZ877" s="91"/>
      <c r="BA877" s="91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</row>
    <row r="878" ht="12.75" hidden="1" customHeight="1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142"/>
      <c r="P878" s="88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91"/>
      <c r="AZ878" s="91"/>
      <c r="BA878" s="91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</row>
    <row r="879" ht="12.75" hidden="1" customHeight="1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142"/>
      <c r="P879" s="88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91"/>
      <c r="AZ879" s="91"/>
      <c r="BA879" s="91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</row>
    <row r="880" ht="12.75" hidden="1" customHeight="1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142"/>
      <c r="P880" s="88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91"/>
      <c r="AZ880" s="91"/>
      <c r="BA880" s="91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</row>
    <row r="881" ht="12.75" hidden="1" customHeight="1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142"/>
      <c r="P881" s="88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91"/>
      <c r="AZ881" s="91"/>
      <c r="BA881" s="91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</row>
    <row r="882" ht="12.75" hidden="1" customHeight="1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142"/>
      <c r="P882" s="88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91"/>
      <c r="AZ882" s="91"/>
      <c r="BA882" s="91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</row>
    <row r="883" ht="12.75" hidden="1" customHeight="1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142"/>
      <c r="P883" s="88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91"/>
      <c r="AZ883" s="91"/>
      <c r="BA883" s="91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</row>
    <row r="884" ht="12.75" hidden="1" customHeight="1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142"/>
      <c r="P884" s="88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91"/>
      <c r="AZ884" s="91"/>
      <c r="BA884" s="91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</row>
    <row r="885" ht="12.75" hidden="1" customHeight="1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142"/>
      <c r="P885" s="88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91"/>
      <c r="AZ885" s="91"/>
      <c r="BA885" s="91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</row>
    <row r="886" ht="12.75" hidden="1" customHeight="1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142"/>
      <c r="P886" s="88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91"/>
      <c r="AZ886" s="91"/>
      <c r="BA886" s="91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</row>
    <row r="887" ht="12.75" hidden="1" customHeight="1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142"/>
      <c r="P887" s="88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91"/>
      <c r="AZ887" s="91"/>
      <c r="BA887" s="91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</row>
    <row r="888" ht="12.75" hidden="1" customHeight="1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142"/>
      <c r="P888" s="88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91"/>
      <c r="AZ888" s="91"/>
      <c r="BA888" s="91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</row>
    <row r="889" ht="12.75" hidden="1" customHeight="1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142"/>
      <c r="P889" s="88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91"/>
      <c r="AZ889" s="91"/>
      <c r="BA889" s="91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</row>
    <row r="890" ht="12.75" hidden="1" customHeight="1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142"/>
      <c r="P890" s="88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91"/>
      <c r="AZ890" s="91"/>
      <c r="BA890" s="91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</row>
    <row r="891" ht="12.75" hidden="1" customHeight="1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142"/>
      <c r="P891" s="88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91"/>
      <c r="AZ891" s="91"/>
      <c r="BA891" s="91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</row>
    <row r="892" ht="12.75" hidden="1" customHeight="1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142"/>
      <c r="P892" s="88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91"/>
      <c r="AZ892" s="91"/>
      <c r="BA892" s="91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</row>
    <row r="893" ht="12.75" hidden="1" customHeight="1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142"/>
      <c r="P893" s="88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91"/>
      <c r="AZ893" s="91"/>
      <c r="BA893" s="91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</row>
    <row r="894" ht="12.75" hidden="1" customHeight="1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142"/>
      <c r="P894" s="88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91"/>
      <c r="AZ894" s="91"/>
      <c r="BA894" s="91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</row>
    <row r="895" ht="12.75" hidden="1" customHeight="1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142"/>
      <c r="P895" s="88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91"/>
      <c r="AZ895" s="91"/>
      <c r="BA895" s="91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</row>
    <row r="896" ht="12.75" hidden="1" customHeight="1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142"/>
      <c r="P896" s="88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91"/>
      <c r="AZ896" s="91"/>
      <c r="BA896" s="91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</row>
    <row r="897" ht="12.75" hidden="1" customHeight="1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142"/>
      <c r="P897" s="88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91"/>
      <c r="AZ897" s="91"/>
      <c r="BA897" s="91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</row>
    <row r="898" ht="12.75" hidden="1" customHeight="1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142"/>
      <c r="P898" s="88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91"/>
      <c r="AZ898" s="91"/>
      <c r="BA898" s="91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</row>
    <row r="899" ht="12.75" hidden="1" customHeight="1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142"/>
      <c r="P899" s="88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91"/>
      <c r="AZ899" s="91"/>
      <c r="BA899" s="91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</row>
    <row r="900" ht="12.75" hidden="1" customHeight="1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142"/>
      <c r="P900" s="88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91"/>
      <c r="AZ900" s="91"/>
      <c r="BA900" s="91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</row>
    <row r="901" ht="12.75" hidden="1" customHeight="1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142"/>
      <c r="P901" s="88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91"/>
      <c r="AZ901" s="91"/>
      <c r="BA901" s="91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</row>
    <row r="902" ht="12.75" hidden="1" customHeight="1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142"/>
      <c r="P902" s="88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91"/>
      <c r="AZ902" s="91"/>
      <c r="BA902" s="91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</row>
    <row r="903" ht="12.75" hidden="1" customHeight="1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142"/>
      <c r="P903" s="88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91"/>
      <c r="AZ903" s="91"/>
      <c r="BA903" s="91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</row>
    <row r="904" ht="12.75" hidden="1" customHeight="1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142"/>
      <c r="P904" s="88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91"/>
      <c r="AZ904" s="91"/>
      <c r="BA904" s="91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</row>
    <row r="905" ht="12.75" hidden="1" customHeight="1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142"/>
      <c r="P905" s="88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91"/>
      <c r="AZ905" s="91"/>
      <c r="BA905" s="91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</row>
    <row r="906" ht="12.75" hidden="1" customHeight="1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142"/>
      <c r="P906" s="88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91"/>
      <c r="AZ906" s="91"/>
      <c r="BA906" s="91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</row>
    <row r="907" ht="12.75" hidden="1" customHeight="1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142"/>
      <c r="P907" s="88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91"/>
      <c r="AZ907" s="91"/>
      <c r="BA907" s="91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</row>
    <row r="908" ht="12.75" hidden="1" customHeight="1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142"/>
      <c r="P908" s="88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91"/>
      <c r="AZ908" s="91"/>
      <c r="BA908" s="91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</row>
    <row r="909" ht="12.75" hidden="1" customHeight="1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142"/>
      <c r="P909" s="88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91"/>
      <c r="AZ909" s="91"/>
      <c r="BA909" s="91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</row>
    <row r="910" ht="12.75" hidden="1" customHeight="1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142"/>
      <c r="P910" s="88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91"/>
      <c r="AZ910" s="91"/>
      <c r="BA910" s="91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</row>
    <row r="911" ht="12.75" hidden="1" customHeight="1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142"/>
      <c r="P911" s="88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91"/>
      <c r="AZ911" s="91"/>
      <c r="BA911" s="91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</row>
    <row r="912" ht="12.75" hidden="1" customHeight="1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142"/>
      <c r="P912" s="88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91"/>
      <c r="AZ912" s="91"/>
      <c r="BA912" s="91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</row>
    <row r="913" ht="12.75" hidden="1" customHeight="1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142"/>
      <c r="P913" s="88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91"/>
      <c r="AZ913" s="91"/>
      <c r="BA913" s="91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</row>
    <row r="914" ht="12.75" hidden="1" customHeight="1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142"/>
      <c r="P914" s="88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91"/>
      <c r="AZ914" s="91"/>
      <c r="BA914" s="91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</row>
    <row r="915" ht="12.75" hidden="1" customHeight="1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142"/>
      <c r="P915" s="88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91"/>
      <c r="AZ915" s="91"/>
      <c r="BA915" s="91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</row>
    <row r="916" ht="12.75" hidden="1" customHeight="1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142"/>
      <c r="P916" s="88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91"/>
      <c r="AZ916" s="91"/>
      <c r="BA916" s="91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</row>
    <row r="917" ht="12.75" hidden="1" customHeight="1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142"/>
      <c r="P917" s="88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91"/>
      <c r="AZ917" s="91"/>
      <c r="BA917" s="91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</row>
    <row r="918" ht="12.75" hidden="1" customHeight="1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142"/>
      <c r="P918" s="88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91"/>
      <c r="AZ918" s="91"/>
      <c r="BA918" s="91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</row>
    <row r="919" ht="12.75" hidden="1" customHeight="1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142"/>
      <c r="P919" s="88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91"/>
      <c r="AZ919" s="91"/>
      <c r="BA919" s="91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</row>
    <row r="920" ht="12.75" hidden="1" customHeight="1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142"/>
      <c r="P920" s="88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91"/>
      <c r="AZ920" s="91"/>
      <c r="BA920" s="91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</row>
    <row r="921" ht="12.75" hidden="1" customHeight="1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142"/>
      <c r="P921" s="88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91"/>
      <c r="AZ921" s="91"/>
      <c r="BA921" s="91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</row>
    <row r="922" ht="12.75" hidden="1" customHeight="1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142"/>
      <c r="P922" s="88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91"/>
      <c r="AZ922" s="91"/>
      <c r="BA922" s="91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</row>
    <row r="923" ht="12.75" hidden="1" customHeight="1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142"/>
      <c r="P923" s="88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91"/>
      <c r="AZ923" s="91"/>
      <c r="BA923" s="91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</row>
    <row r="924" ht="12.75" hidden="1" customHeight="1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142"/>
      <c r="P924" s="88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91"/>
      <c r="AZ924" s="91"/>
      <c r="BA924" s="91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</row>
    <row r="925" ht="12.75" hidden="1" customHeight="1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142"/>
      <c r="P925" s="88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91"/>
      <c r="AZ925" s="91"/>
      <c r="BA925" s="91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</row>
    <row r="926" ht="12.75" hidden="1" customHeight="1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142"/>
      <c r="P926" s="88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91"/>
      <c r="AZ926" s="91"/>
      <c r="BA926" s="91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</row>
    <row r="927" ht="12.75" hidden="1" customHeight="1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142"/>
      <c r="P927" s="88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91"/>
      <c r="AZ927" s="91"/>
      <c r="BA927" s="91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</row>
    <row r="928" ht="12.75" hidden="1" customHeight="1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142"/>
      <c r="P928" s="88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91"/>
      <c r="AZ928" s="91"/>
      <c r="BA928" s="91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</row>
    <row r="929" ht="12.75" hidden="1" customHeight="1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142"/>
      <c r="P929" s="88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91"/>
      <c r="AZ929" s="91"/>
      <c r="BA929" s="91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</row>
    <row r="930" ht="12.75" hidden="1" customHeight="1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142"/>
      <c r="P930" s="88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91"/>
      <c r="AZ930" s="91"/>
      <c r="BA930" s="91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</row>
    <row r="931" ht="12.75" hidden="1" customHeight="1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142"/>
      <c r="P931" s="88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91"/>
      <c r="AZ931" s="91"/>
      <c r="BA931" s="91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</row>
    <row r="932" ht="12.75" hidden="1" customHeight="1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142"/>
      <c r="P932" s="88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91"/>
      <c r="AZ932" s="91"/>
      <c r="BA932" s="91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</row>
    <row r="933" ht="12.75" hidden="1" customHeight="1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142"/>
      <c r="P933" s="88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91"/>
      <c r="AZ933" s="91"/>
      <c r="BA933" s="91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</row>
    <row r="934" ht="12.75" hidden="1" customHeight="1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142"/>
      <c r="P934" s="88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91"/>
      <c r="AZ934" s="91"/>
      <c r="BA934" s="91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</row>
    <row r="935" ht="12.75" hidden="1" customHeight="1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142"/>
      <c r="P935" s="88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91"/>
      <c r="AZ935" s="91"/>
      <c r="BA935" s="91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</row>
    <row r="936" ht="12.75" hidden="1" customHeight="1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142"/>
      <c r="P936" s="88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91"/>
      <c r="AZ936" s="91"/>
      <c r="BA936" s="91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</row>
    <row r="937" ht="12.75" hidden="1" customHeight="1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142"/>
      <c r="P937" s="88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91"/>
      <c r="AZ937" s="91"/>
      <c r="BA937" s="91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</row>
    <row r="938" ht="12.75" hidden="1" customHeight="1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142"/>
      <c r="P938" s="88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91"/>
      <c r="AZ938" s="91"/>
      <c r="BA938" s="91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</row>
    <row r="939" ht="12.75" hidden="1" customHeight="1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142"/>
      <c r="P939" s="88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91"/>
      <c r="AZ939" s="91"/>
      <c r="BA939" s="91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</row>
    <row r="940" ht="12.75" hidden="1" customHeight="1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142"/>
      <c r="P940" s="88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91"/>
      <c r="AZ940" s="91"/>
      <c r="BA940" s="91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</row>
    <row r="941" ht="12.75" hidden="1" customHeight="1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142"/>
      <c r="P941" s="88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91"/>
      <c r="AZ941" s="91"/>
      <c r="BA941" s="91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</row>
    <row r="942" ht="12.75" hidden="1" customHeight="1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142"/>
      <c r="P942" s="88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91"/>
      <c r="AZ942" s="91"/>
      <c r="BA942" s="91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</row>
    <row r="943" ht="12.75" hidden="1" customHeight="1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142"/>
      <c r="P943" s="88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91"/>
      <c r="AZ943" s="91"/>
      <c r="BA943" s="91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</row>
    <row r="944" ht="12.75" hidden="1" customHeight="1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142"/>
      <c r="P944" s="88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91"/>
      <c r="AZ944" s="91"/>
      <c r="BA944" s="91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</row>
    <row r="945" ht="12.75" hidden="1" customHeight="1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142"/>
      <c r="P945" s="88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91"/>
      <c r="AZ945" s="91"/>
      <c r="BA945" s="91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</row>
    <row r="946" ht="12.75" hidden="1" customHeight="1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142"/>
      <c r="P946" s="88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91"/>
      <c r="AZ946" s="91"/>
      <c r="BA946" s="91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</row>
    <row r="947" ht="12.75" hidden="1" customHeight="1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142"/>
      <c r="P947" s="88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91"/>
      <c r="AZ947" s="91"/>
      <c r="BA947" s="91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</row>
    <row r="948" ht="12.75" hidden="1" customHeight="1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142"/>
      <c r="P948" s="88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91"/>
      <c r="AZ948" s="91"/>
      <c r="BA948" s="91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</row>
    <row r="949" ht="12.75" hidden="1" customHeight="1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142"/>
      <c r="P949" s="88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91"/>
      <c r="AZ949" s="91"/>
      <c r="BA949" s="91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</row>
    <row r="950" ht="12.75" hidden="1" customHeight="1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142"/>
      <c r="P950" s="88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91"/>
      <c r="AZ950" s="91"/>
      <c r="BA950" s="91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</row>
    <row r="951" ht="12.75" hidden="1" customHeight="1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142"/>
      <c r="P951" s="88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91"/>
      <c r="AZ951" s="91"/>
      <c r="BA951" s="91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</row>
    <row r="952" ht="12.75" hidden="1" customHeight="1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142"/>
      <c r="P952" s="88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91"/>
      <c r="AZ952" s="91"/>
      <c r="BA952" s="91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</row>
    <row r="953" ht="12.75" hidden="1" customHeight="1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142"/>
      <c r="P953" s="88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91"/>
      <c r="AZ953" s="91"/>
      <c r="BA953" s="91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</row>
    <row r="954" ht="12.75" hidden="1" customHeight="1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142"/>
      <c r="P954" s="88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91"/>
      <c r="AZ954" s="91"/>
      <c r="BA954" s="91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</row>
    <row r="955" ht="12.75" hidden="1" customHeight="1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142"/>
      <c r="P955" s="88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91"/>
      <c r="AZ955" s="91"/>
      <c r="BA955" s="91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</row>
    <row r="956" ht="12.75" hidden="1" customHeight="1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142"/>
      <c r="P956" s="88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91"/>
      <c r="AZ956" s="91"/>
      <c r="BA956" s="91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</row>
    <row r="957" ht="12.75" hidden="1" customHeight="1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142"/>
      <c r="P957" s="88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91"/>
      <c r="AZ957" s="91"/>
      <c r="BA957" s="91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</row>
    <row r="958" ht="12.75" hidden="1" customHeight="1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142"/>
      <c r="P958" s="88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91"/>
      <c r="AZ958" s="91"/>
      <c r="BA958" s="91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</row>
    <row r="959" ht="12.75" hidden="1" customHeight="1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142"/>
      <c r="P959" s="88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91"/>
      <c r="AZ959" s="91"/>
      <c r="BA959" s="91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</row>
    <row r="960" ht="12.75" hidden="1" customHeight="1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142"/>
      <c r="P960" s="88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91"/>
      <c r="AZ960" s="91"/>
      <c r="BA960" s="91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</row>
    <row r="961" ht="12.75" hidden="1" customHeight="1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142"/>
      <c r="P961" s="88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91"/>
      <c r="AZ961" s="91"/>
      <c r="BA961" s="91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</row>
    <row r="962" ht="12.75" hidden="1" customHeight="1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142"/>
      <c r="P962" s="88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91"/>
      <c r="AZ962" s="91"/>
      <c r="BA962" s="91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</row>
    <row r="963" ht="12.75" hidden="1" customHeight="1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142"/>
      <c r="P963" s="88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91"/>
      <c r="AZ963" s="91"/>
      <c r="BA963" s="91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</row>
    <row r="964" ht="12.75" hidden="1" customHeight="1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142"/>
      <c r="P964" s="88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91"/>
      <c r="AZ964" s="91"/>
      <c r="BA964" s="91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</row>
    <row r="965" ht="12.75" hidden="1" customHeight="1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142"/>
      <c r="P965" s="88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91"/>
      <c r="AZ965" s="91"/>
      <c r="BA965" s="91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</row>
    <row r="966" ht="12.75" hidden="1" customHeight="1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142"/>
      <c r="P966" s="88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91"/>
      <c r="AZ966" s="91"/>
      <c r="BA966" s="91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</row>
    <row r="967" ht="12.75" hidden="1" customHeight="1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142"/>
      <c r="P967" s="88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91"/>
      <c r="AZ967" s="91"/>
      <c r="BA967" s="91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</row>
    <row r="968" ht="12.75" hidden="1" customHeight="1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142"/>
      <c r="P968" s="88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91"/>
      <c r="AZ968" s="91"/>
      <c r="BA968" s="91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</row>
    <row r="969" ht="12.75" hidden="1" customHeight="1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142"/>
      <c r="P969" s="88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91"/>
      <c r="AZ969" s="91"/>
      <c r="BA969" s="91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</row>
    <row r="970" ht="12.75" hidden="1" customHeight="1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142"/>
      <c r="P970" s="88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91"/>
      <c r="AZ970" s="91"/>
      <c r="BA970" s="91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</row>
    <row r="971" ht="12.75" hidden="1" customHeight="1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142"/>
      <c r="P971" s="88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91"/>
      <c r="AZ971" s="91"/>
      <c r="BA971" s="91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</row>
    <row r="972" ht="12.75" hidden="1" customHeight="1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142"/>
      <c r="P972" s="88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91"/>
      <c r="AZ972" s="91"/>
      <c r="BA972" s="91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</row>
    <row r="973" ht="12.75" hidden="1" customHeight="1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142"/>
      <c r="P973" s="88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91"/>
      <c r="AZ973" s="91"/>
      <c r="BA973" s="91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</row>
    <row r="974" ht="12.75" hidden="1" customHeight="1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142"/>
      <c r="P974" s="88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91"/>
      <c r="AZ974" s="91"/>
      <c r="BA974" s="91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</row>
    <row r="975" ht="12.75" hidden="1" customHeight="1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142"/>
      <c r="P975" s="88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91"/>
      <c r="AZ975" s="91"/>
      <c r="BA975" s="91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</row>
    <row r="976" ht="12.75" hidden="1" customHeight="1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142"/>
      <c r="P976" s="88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91"/>
      <c r="AZ976" s="91"/>
      <c r="BA976" s="91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</row>
    <row r="977" ht="12.75" hidden="1" customHeight="1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142"/>
      <c r="P977" s="88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91"/>
      <c r="AZ977" s="91"/>
      <c r="BA977" s="91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</row>
    <row r="978" ht="12.75" hidden="1" customHeight="1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142"/>
      <c r="P978" s="88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91"/>
      <c r="AZ978" s="91"/>
      <c r="BA978" s="91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</row>
    <row r="979" ht="12.75" hidden="1" customHeight="1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142"/>
      <c r="P979" s="88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91"/>
      <c r="AZ979" s="91"/>
      <c r="BA979" s="91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</row>
    <row r="980" ht="12.75" hidden="1" customHeight="1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142"/>
      <c r="P980" s="88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91"/>
      <c r="AZ980" s="91"/>
      <c r="BA980" s="91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</row>
    <row r="981" ht="12.75" hidden="1" customHeight="1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142"/>
      <c r="P981" s="88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91"/>
      <c r="AZ981" s="91"/>
      <c r="BA981" s="91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</row>
    <row r="982" ht="12.75" hidden="1" customHeight="1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142"/>
      <c r="P982" s="88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91"/>
      <c r="AZ982" s="91"/>
      <c r="BA982" s="91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</row>
    <row r="983" ht="12.75" hidden="1" customHeight="1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142"/>
      <c r="P983" s="88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91"/>
      <c r="AZ983" s="91"/>
      <c r="BA983" s="91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</row>
    <row r="984" ht="12.75" hidden="1" customHeight="1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142"/>
      <c r="P984" s="88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91"/>
      <c r="AZ984" s="91"/>
      <c r="BA984" s="91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</row>
    <row r="985" ht="12.75" hidden="1" customHeight="1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142"/>
      <c r="P985" s="88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91"/>
      <c r="AZ985" s="91"/>
      <c r="BA985" s="91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</row>
    <row r="986" ht="12.75" hidden="1" customHeight="1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142"/>
      <c r="P986" s="88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91"/>
      <c r="AZ986" s="91"/>
      <c r="BA986" s="91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</row>
    <row r="987" ht="12.75" hidden="1" customHeight="1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142"/>
      <c r="P987" s="88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91"/>
      <c r="AZ987" s="91"/>
      <c r="BA987" s="91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</row>
    <row r="988" ht="12.75" hidden="1" customHeight="1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142"/>
      <c r="P988" s="88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91"/>
      <c r="AZ988" s="91"/>
      <c r="BA988" s="91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</row>
    <row r="989" ht="12.75" hidden="1" customHeight="1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142"/>
      <c r="P989" s="88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91"/>
      <c r="AZ989" s="91"/>
      <c r="BA989" s="91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</row>
    <row r="990" ht="12.75" hidden="1" customHeight="1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142"/>
      <c r="P990" s="88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91"/>
      <c r="AZ990" s="91"/>
      <c r="BA990" s="91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</row>
    <row r="991" ht="12.75" hidden="1" customHeight="1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142"/>
      <c r="P991" s="88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91"/>
      <c r="AZ991" s="91"/>
      <c r="BA991" s="91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</row>
    <row r="992" ht="12.75" hidden="1" customHeight="1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142"/>
      <c r="P992" s="88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91"/>
      <c r="AZ992" s="91"/>
      <c r="BA992" s="91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</row>
    <row r="993" ht="12.75" hidden="1" customHeight="1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142"/>
      <c r="P993" s="88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91"/>
      <c r="AZ993" s="91"/>
      <c r="BA993" s="91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</row>
    <row r="994" ht="12.75" hidden="1" customHeight="1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142"/>
      <c r="P994" s="88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91"/>
      <c r="AZ994" s="91"/>
      <c r="BA994" s="91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</row>
    <row r="995" ht="12.75" hidden="1" customHeight="1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142"/>
      <c r="P995" s="88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91"/>
      <c r="AZ995" s="91"/>
      <c r="BA995" s="91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</row>
    <row r="996" ht="12.75" hidden="1" customHeight="1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142"/>
      <c r="P996" s="88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91"/>
      <c r="AZ996" s="91"/>
      <c r="BA996" s="91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</row>
    <row r="997" ht="12.75" hidden="1" customHeight="1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142"/>
      <c r="P997" s="88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91"/>
      <c r="AZ997" s="91"/>
      <c r="BA997" s="91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</row>
    <row r="998" ht="12.75" hidden="1" customHeight="1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142"/>
      <c r="P998" s="88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91"/>
      <c r="AZ998" s="91"/>
      <c r="BA998" s="91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</row>
    <row r="999" ht="12.75" hidden="1" customHeight="1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142"/>
      <c r="P999" s="88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91"/>
      <c r="AZ999" s="91"/>
      <c r="BA999" s="91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</row>
    <row r="1000" ht="12.75" hidden="1" customHeight="1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142"/>
      <c r="P1000" s="88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91"/>
      <c r="AZ1000" s="91"/>
      <c r="BA1000" s="91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</row>
  </sheetData>
  <autoFilter ref="$AB$1:$AB$1000">
    <filterColumn colId="0">
      <filters>
        <filter val="90"/>
      </filters>
    </filterColumn>
  </autoFilter>
  <mergeCells count="11">
    <mergeCell ref="AV6:AW6"/>
    <mergeCell ref="AX6:AY6"/>
    <mergeCell ref="AZ6:BA6"/>
    <mergeCell ref="Q6:S6"/>
    <mergeCell ref="U6:W6"/>
    <mergeCell ref="Z6:AA6"/>
    <mergeCell ref="AD6:AE6"/>
    <mergeCell ref="AF6:AG6"/>
    <mergeCell ref="AP6:AR6"/>
    <mergeCell ref="AT6:AU6"/>
    <mergeCell ref="B69:E69"/>
  </mergeCells>
  <drawing r:id="rId1"/>
</worksheet>
</file>